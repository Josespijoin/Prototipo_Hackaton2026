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  <sheet state="visible" name="Hoja2" sheetId="2" r:id="rId5"/>
  </sheets>
  <definedNames>
    <definedName hidden="1" localSheetId="0" name="_xlnm._FilterDatabase">Hoja1!$A$1:$Q$776</definedName>
  </definedNames>
  <calcPr/>
  <extLst>
    <ext uri="GoogleSheetsCustomDataVersion2">
      <go:sheetsCustomData xmlns:go="http://customooxmlschemas.google.com/" r:id="rId6" roundtripDataChecksum="UsgmrHTOzwO3hXNZie8z8zoKpj7IsgBiNqYNjy1SotM="/>
    </ext>
  </extLst>
</workbook>
</file>

<file path=xl/sharedStrings.xml><?xml version="1.0" encoding="utf-8"?>
<sst xmlns="http://schemas.openxmlformats.org/spreadsheetml/2006/main" count="19709" uniqueCount="158">
  <si>
    <t>CUI</t>
  </si>
  <si>
    <t>SNIP</t>
  </si>
  <si>
    <t>Último Estado</t>
  </si>
  <si>
    <t>Cant. Obs. Adm.</t>
  </si>
  <si>
    <t>Cant. Obs. Cal.</t>
  </si>
  <si>
    <t>Cant. Eval. Inv.</t>
  </si>
  <si>
    <t>Etapa</t>
  </si>
  <si>
    <t>Fecha Inicio</t>
  </si>
  <si>
    <t>Fecha Fin</t>
  </si>
  <si>
    <t>Diferencial Días</t>
  </si>
  <si>
    <t>Monto Inversión</t>
  </si>
  <si>
    <t>MONITOREO</t>
  </si>
  <si>
    <t>MONTO CONTRATADO OBRA</t>
  </si>
  <si>
    <t>MONTO CONTRATADO SUPERVISION</t>
  </si>
  <si>
    <t>MONTO LIQUIDACIÓN OBRA</t>
  </si>
  <si>
    <t>MONTO LIQUIDACIÓN SUPERVISIÓN</t>
  </si>
  <si>
    <t>MONTO LIQUIDACIÓN COMPLEMENTARIO</t>
  </si>
  <si>
    <t>Abandono</t>
  </si>
  <si>
    <t>Calidad</t>
  </si>
  <si>
    <t>Desestimado</t>
  </si>
  <si>
    <t>Aprobado</t>
  </si>
  <si>
    <t>Admisibilidad</t>
  </si>
  <si>
    <t>Observada</t>
  </si>
  <si>
    <t>Inversiones</t>
  </si>
  <si>
    <t>Baja de oficio</t>
  </si>
  <si>
    <t>Desaprobado</t>
  </si>
  <si>
    <t>Elegibilidad</t>
  </si>
  <si>
    <t>Enviada</t>
  </si>
  <si>
    <t>CODIGO_UNIFICADO</t>
  </si>
  <si>
    <t>monto_snip</t>
  </si>
  <si>
    <t>id_proyecto</t>
  </si>
  <si>
    <t>subsector</t>
  </si>
  <si>
    <t>subprograma</t>
  </si>
  <si>
    <t>cod_snip</t>
  </si>
  <si>
    <t>monto_inversion</t>
  </si>
  <si>
    <t>CostoActual</t>
  </si>
  <si>
    <t>DevengadoAcumulado</t>
  </si>
  <si>
    <t>DevengadoTotal2019</t>
  </si>
  <si>
    <t>PimTotal2019</t>
  </si>
  <si>
    <t>estadoPIP</t>
  </si>
  <si>
    <t>Tipo</t>
  </si>
  <si>
    <t>MontoReferencial</t>
  </si>
  <si>
    <t>MontoContratado</t>
  </si>
  <si>
    <t>MontoReferencial2</t>
  </si>
  <si>
    <t>MontoContratado2</t>
  </si>
  <si>
    <t>EstadoEjecucion</t>
  </si>
  <si>
    <t>Estado</t>
  </si>
  <si>
    <t>SubEstado</t>
  </si>
  <si>
    <t>SubEstado2</t>
  </si>
  <si>
    <t>montoLiquidacion</t>
  </si>
  <si>
    <t>montoLiqSupervision</t>
  </si>
  <si>
    <t>montoLiqObraComplementaria</t>
  </si>
  <si>
    <t>PNSU</t>
  </si>
  <si>
    <t>UNIDAD DE GESTION TERRITORIAL - UGT</t>
  </si>
  <si>
    <t>DESACTIVADO PERMANENTE</t>
  </si>
  <si>
    <t>OBRA</t>
  </si>
  <si>
    <t>Concluido - En Liquidación</t>
  </si>
  <si>
    <t>Concluido</t>
  </si>
  <si>
    <t>En Liquidación</t>
  </si>
  <si>
    <t>ACTIVO</t>
  </si>
  <si>
    <t>Concluido - Convenio Cerrado</t>
  </si>
  <si>
    <t>Convenio Cerrado</t>
  </si>
  <si>
    <t>OBRA (SALDO)</t>
  </si>
  <si>
    <t>Convenio y/o Contrato Resuelto</t>
  </si>
  <si>
    <t>UNIDAD DE PROYECTOS - AREA DE ESTUDIOS</t>
  </si>
  <si>
    <t>EXPEDIENTE TECNICO</t>
  </si>
  <si>
    <t>En elaboración - En Proceso</t>
  </si>
  <si>
    <t>En elaboración</t>
  </si>
  <si>
    <t>En Proceso</t>
  </si>
  <si>
    <t>CERRADO</t>
  </si>
  <si>
    <t>Concluido - Recepción observada</t>
  </si>
  <si>
    <t>Recepción observada</t>
  </si>
  <si>
    <t>Concluido - Liquidada</t>
  </si>
  <si>
    <t>Liquidada</t>
  </si>
  <si>
    <t>OBRA (Expediente Saldo)</t>
  </si>
  <si>
    <t>Concluido - Por recepcionar</t>
  </si>
  <si>
    <t>Por recepcionar</t>
  </si>
  <si>
    <t>Paralizada - Permanente - Incumplimiento contractual</t>
  </si>
  <si>
    <t>Paralizada</t>
  </si>
  <si>
    <t>Permanente</t>
  </si>
  <si>
    <t>Incumplimiento contractual</t>
  </si>
  <si>
    <t>En Ejecución - Atrasada - Incremento de Actividades y Plazos al Cronograma</t>
  </si>
  <si>
    <t>En Ejecución</t>
  </si>
  <si>
    <t>Atrasada</t>
  </si>
  <si>
    <t>Incremento de Actividades y Plazos al Cronograma</t>
  </si>
  <si>
    <t>En elaboración - Paralizado</t>
  </si>
  <si>
    <t>Paralizado</t>
  </si>
  <si>
    <t>UNIDAD DE PROYECTOS - AREA DE PROYECTOS ESPECIALES</t>
  </si>
  <si>
    <t>UNIDAD DE PROYECTOS - AREA DE EJECUCION DE PROYECTOS</t>
  </si>
  <si>
    <t>Post Ejecución - Concluida</t>
  </si>
  <si>
    <t>Post Ejecución</t>
  </si>
  <si>
    <t>Concluida</t>
  </si>
  <si>
    <t>Concluido - Con Aprobación Técnica</t>
  </si>
  <si>
    <t>Con Aprobación Técnica</t>
  </si>
  <si>
    <t>Concluido - Recepcionada</t>
  </si>
  <si>
    <t>Recepcionada</t>
  </si>
  <si>
    <t>Paralizada - Permanente - Deficiencia de ET</t>
  </si>
  <si>
    <t>Deficiencia de ET</t>
  </si>
  <si>
    <t>En Ejecución - Adelantada</t>
  </si>
  <si>
    <t>Adelantada</t>
  </si>
  <si>
    <t>Actos Previos - Por Convocar</t>
  </si>
  <si>
    <t>Actos Previos</t>
  </si>
  <si>
    <t>Por Convocar</t>
  </si>
  <si>
    <t>UNIDAD PARA MEJORA DE LA PRESTACION DE SERVICIOS - UMPS</t>
  </si>
  <si>
    <t>En Ejecución - Atrasada - Modificaciones Contractuales</t>
  </si>
  <si>
    <t>Modificaciones Contractuales</t>
  </si>
  <si>
    <t>En Ejecución - Suspensión del plazo de ejecución - Por eventos no atribuibles a las partes</t>
  </si>
  <si>
    <t>Suspensión del plazo de ejecución</t>
  </si>
  <si>
    <t>Por eventos no atribuibles a las partes</t>
  </si>
  <si>
    <t>Paralizada - Permanente - Deficiencia Administrativa UE</t>
  </si>
  <si>
    <t>Deficiencia Administrativa UE</t>
  </si>
  <si>
    <t>EQUIPO ESPECIAL ENCARGADO DE LA RECONSTRUCCIÓN CON CAMBIOS DEL SECTOR SANEAMIENTO - EERCS</t>
  </si>
  <si>
    <t>EXPEDIENTE TECNICO (SALDO)</t>
  </si>
  <si>
    <t>En Ejecución - Atrasada - Deficiencia administrativa de la UE</t>
  </si>
  <si>
    <t>Deficiencia administrativa de la UE</t>
  </si>
  <si>
    <t>Transferencia</t>
  </si>
  <si>
    <t>PREINVERSION</t>
  </si>
  <si>
    <t>Concluido - Viable</t>
  </si>
  <si>
    <t>Viable</t>
  </si>
  <si>
    <t>Cerrado - Inversión Culminada</t>
  </si>
  <si>
    <t>Cerrado</t>
  </si>
  <si>
    <t>Inversión Culminada</t>
  </si>
  <si>
    <t>Actos Previos - Proceso de Selección</t>
  </si>
  <si>
    <t>Proceso de Selección</t>
  </si>
  <si>
    <t>En Ejecución - Suspensión del plazo de ejecución - Suspensión  del plazo de la supervisión por resolución de contrato de obra</t>
  </si>
  <si>
    <t>Suspensión  del plazo de la supervisión por resolución de contrato de obra</t>
  </si>
  <si>
    <t>UIC2 - PROGRAMA DE MODERNIZACIÓN</t>
  </si>
  <si>
    <t>Concluido - Aprobado con RD</t>
  </si>
  <si>
    <t>Aprobado con RD</t>
  </si>
  <si>
    <t>Paralizada - Permanente - Por conflictos sociales</t>
  </si>
  <si>
    <t>Por conflictos sociales</t>
  </si>
  <si>
    <t>En Ejecución - Normal</t>
  </si>
  <si>
    <t>Normal</t>
  </si>
  <si>
    <t>En Ejecución - Atrasada - Falta de Recursos</t>
  </si>
  <si>
    <t>Falta de Recursos</t>
  </si>
  <si>
    <t>En Ejecución - Atrasada - Problemas con Autorizaciones y Permisos</t>
  </si>
  <si>
    <t>Problemas con Autorizaciones y Permisos</t>
  </si>
  <si>
    <t>En Ejecución - Suspensión del plazo de ejecución - Por resolución de contrato de supervisión</t>
  </si>
  <si>
    <t>Por resolución de contrato de supervisión</t>
  </si>
  <si>
    <t>DESACTIVADO TEMPORAL</t>
  </si>
  <si>
    <t>En Ejecución - Normal - Deficiencia administrativa de la UE</t>
  </si>
  <si>
    <t>Actos Previos - Por Iniciar</t>
  </si>
  <si>
    <t>Por Iniciar</t>
  </si>
  <si>
    <t>UNIDAD COORDINADORA DE PROYECTOS UCP JULIACA</t>
  </si>
  <si>
    <t>En Ejecución - Obra Reiniciada</t>
  </si>
  <si>
    <t>Obra Reiniciada</t>
  </si>
  <si>
    <t>PREINVERSION (SALDO)</t>
  </si>
  <si>
    <t>En formulación - Paralizado</t>
  </si>
  <si>
    <t>En formulación</t>
  </si>
  <si>
    <t>En Ejecución - Atrasada - Problemas Climatológicos</t>
  </si>
  <si>
    <t>Problemas Climatológicos</t>
  </si>
  <si>
    <t>En Ejecución - Suspensión del plazo de ejecución - Por no pago de 03 valorizaciones consecutivas al contratista</t>
  </si>
  <si>
    <t>Por no pago de 03 valorizaciones consecutivas al contratista</t>
  </si>
  <si>
    <t>UNIDAD DE PROYECTOS - COORDINACIÓN PARA LOS PROYECTOS VINCULADOS AL CIERRE DE BRECHAS EN GRANDES CIUDADES</t>
  </si>
  <si>
    <t>UNIDAD DE GESTIÓN DE PROGRAMAS Y PROYECTOS - BID</t>
  </si>
  <si>
    <t>En Ejecución - Atrasada - Plazo suspendido</t>
  </si>
  <si>
    <t>Plazo suspendido</t>
  </si>
  <si>
    <t>ESTUDIOS PREINVERSION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</si>
</sst>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S/&quot;\ #,##0.00"/>
  </numFmts>
  <fonts count="3">
    <font>
      <sz val="11.0"/>
      <color theme="1"/>
      <name val="Calibri"/>
      <scheme val="minor"/>
    </font>
    <font>
      <sz val="11.0"/>
      <color theme="1"/>
      <name val="Calibri"/>
    </font>
    <font>
      <color theme="1"/>
      <name val="Calibri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BDD6EE"/>
        <bgColor rgb="FFBDD6EE"/>
      </patternFill>
    </fill>
    <fill>
      <patternFill patternType="solid">
        <fgColor rgb="FFC5E0B3"/>
        <bgColor rgb="FFC5E0B3"/>
      </patternFill>
    </fill>
  </fills>
  <borders count="4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1"/>
    </xf>
    <xf borderId="1" fillId="2" fontId="1" numFmtId="0" xfId="0" applyAlignment="1" applyBorder="1" applyFont="1">
      <alignment shrinkToFit="0" wrapText="1"/>
    </xf>
    <xf borderId="1" fillId="2" fontId="1" numFmtId="22" xfId="0" applyAlignment="1" applyBorder="1" applyFont="1" applyNumberFormat="1">
      <alignment horizontal="center" shrinkToFit="0" wrapText="1"/>
    </xf>
    <xf borderId="2" fillId="2" fontId="1" numFmtId="0" xfId="0" applyAlignment="1" applyBorder="1" applyFont="1">
      <alignment horizontal="center" shrinkToFit="0" wrapText="1"/>
    </xf>
    <xf borderId="1" fillId="2" fontId="1" numFmtId="164" xfId="0" applyAlignment="1" applyBorder="1" applyFont="1" applyNumberFormat="1">
      <alignment horizontal="center" shrinkToFit="0" wrapText="1"/>
    </xf>
    <xf borderId="3" fillId="3" fontId="1" numFmtId="0" xfId="0" applyAlignment="1" applyBorder="1" applyFill="1" applyFont="1">
      <alignment horizontal="center" shrinkToFit="0" vertical="center" wrapText="1"/>
    </xf>
    <xf borderId="3" fillId="3" fontId="1" numFmtId="0" xfId="0" applyAlignment="1" applyBorder="1" applyFont="1">
      <alignment shrinkToFit="0" vertical="center" wrapText="1"/>
    </xf>
    <xf borderId="0" fillId="0" fontId="1" numFmtId="0" xfId="0" applyAlignment="1" applyFont="1">
      <alignment horizontal="center"/>
    </xf>
    <xf borderId="0" fillId="0" fontId="2" numFmtId="0" xfId="0" applyFont="1"/>
    <xf borderId="0" fillId="0" fontId="1" numFmtId="22" xfId="0" applyAlignment="1" applyFont="1" applyNumberFormat="1">
      <alignment horizontal="center"/>
    </xf>
    <xf borderId="0" fillId="0" fontId="1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7.0"/>
    <col customWidth="1" min="3" max="3" width="20.14"/>
    <col customWidth="1" min="4" max="4" width="15.29"/>
    <col customWidth="1" min="5" max="6" width="13.86"/>
    <col customWidth="1" min="7" max="7" width="21.71"/>
    <col customWidth="1" min="8" max="9" width="20.0"/>
    <col customWidth="1" min="10" max="10" width="14.71"/>
    <col customWidth="1" min="11" max="11" width="20.57"/>
    <col customWidth="1" min="12" max="12" width="30.57"/>
    <col customWidth="1" min="13" max="13" width="13.14"/>
    <col customWidth="1" min="14" max="14" width="13.0"/>
    <col customWidth="1" min="15" max="16" width="12.43"/>
    <col customWidth="1" min="17" max="17" width="16.57"/>
    <col customWidth="1" min="18" max="26" width="10.71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3" t="s">
        <v>8</v>
      </c>
      <c r="J1" s="4" t="s">
        <v>9</v>
      </c>
      <c r="K1" s="5" t="s">
        <v>10</v>
      </c>
      <c r="L1" s="6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</row>
    <row r="2" hidden="1">
      <c r="A2" s="8">
        <v>2031691.0</v>
      </c>
      <c r="B2" s="8">
        <v>34548.0</v>
      </c>
      <c r="C2" s="9" t="s">
        <v>17</v>
      </c>
      <c r="D2" s="8">
        <v>2.0</v>
      </c>
      <c r="E2" s="8">
        <v>1.0</v>
      </c>
      <c r="F2" s="8">
        <v>0.0</v>
      </c>
      <c r="G2" s="9" t="s">
        <v>18</v>
      </c>
      <c r="H2" s="10">
        <v>44431.88748480324</v>
      </c>
      <c r="I2" s="10">
        <v>44456.503009293985</v>
      </c>
      <c r="J2" s="8">
        <v>25.0</v>
      </c>
      <c r="K2" s="11">
        <v>4.697185845E7</v>
      </c>
      <c r="L2" s="8" t="str">
        <f>+VLOOKUP(A2,Hoja2!$A$2:$X$2596,19,FALSE)</f>
        <v>En Ejecución</v>
      </c>
      <c r="M2" s="9">
        <f>+VLOOKUP(A2,Hoja2!$A$2:$X$2596,15,FALSE)</f>
        <v>37327356.78</v>
      </c>
      <c r="N2" s="9">
        <f>+VLOOKUP(A2,Hoja2!$A$2:$X$2596,17,FALSE)</f>
        <v>1420721.57</v>
      </c>
      <c r="O2" s="9" t="str">
        <f>+VLOOKUP(A2,Hoja2!$A$2:$X$2596,22,FALSE)</f>
        <v/>
      </c>
      <c r="P2" s="9" t="str">
        <f>+VLOOKUP(A2,Hoja2!$A$2:$X$2596,23,FALSE)</f>
        <v/>
      </c>
      <c r="Q2" s="9" t="str">
        <f>+VLOOKUP(A2,Hoja2!$A$2:$X$2596,24,FALSE)</f>
        <v/>
      </c>
    </row>
    <row r="3" hidden="1">
      <c r="A3" s="8">
        <v>2031691.0</v>
      </c>
      <c r="B3" s="8">
        <v>34548.0</v>
      </c>
      <c r="C3" s="9" t="s">
        <v>19</v>
      </c>
      <c r="D3" s="8">
        <v>1.0</v>
      </c>
      <c r="E3" s="8">
        <v>4.0</v>
      </c>
      <c r="F3" s="8">
        <v>0.0</v>
      </c>
      <c r="G3" s="9" t="s">
        <v>18</v>
      </c>
      <c r="H3" s="10">
        <v>44574.721971956016</v>
      </c>
      <c r="I3" s="10">
        <v>44768.74144626157</v>
      </c>
      <c r="J3" s="8">
        <v>194.0</v>
      </c>
      <c r="K3" s="11">
        <v>4.697185845E7</v>
      </c>
      <c r="L3" s="8" t="str">
        <f>+VLOOKUP(A3,Hoja2!$A$2:$X$2596,19,FALSE)</f>
        <v>En Ejecución</v>
      </c>
      <c r="M3" s="9">
        <f>+VLOOKUP(A3,Hoja2!$A$2:$X$2596,15,FALSE)</f>
        <v>37327356.78</v>
      </c>
      <c r="N3" s="9">
        <f>+VLOOKUP(A3,Hoja2!$A$2:$X$2596,17,FALSE)</f>
        <v>1420721.57</v>
      </c>
      <c r="O3" s="9" t="str">
        <f>+VLOOKUP(A3,Hoja2!$A$2:$X$2596,22,FALSE)</f>
        <v/>
      </c>
      <c r="P3" s="9" t="str">
        <f>+VLOOKUP(A3,Hoja2!$A$2:$X$2596,23,FALSE)</f>
        <v/>
      </c>
      <c r="Q3" s="9" t="str">
        <f>+VLOOKUP(A3,Hoja2!$A$2:$X$2596,24,FALSE)</f>
        <v/>
      </c>
    </row>
    <row r="4">
      <c r="A4" s="8">
        <v>2031691.0</v>
      </c>
      <c r="B4" s="8">
        <v>34548.0</v>
      </c>
      <c r="C4" s="9" t="s">
        <v>20</v>
      </c>
      <c r="D4" s="8">
        <v>1.0</v>
      </c>
      <c r="E4" s="8">
        <v>8.0</v>
      </c>
      <c r="F4" s="8">
        <v>0.0</v>
      </c>
      <c r="G4" s="9" t="s">
        <v>18</v>
      </c>
      <c r="H4" s="10">
        <v>44993.44636732639</v>
      </c>
      <c r="I4" s="10">
        <v>45034.775470636574</v>
      </c>
      <c r="J4" s="8">
        <v>41.0</v>
      </c>
      <c r="K4" s="11">
        <v>4.697185845E7</v>
      </c>
      <c r="L4" s="8" t="str">
        <f>+VLOOKUP(A4,Hoja2!$A$2:$X$2596,19,FALSE)</f>
        <v>En Ejecución</v>
      </c>
      <c r="M4" s="9">
        <f>+VLOOKUP(A4,Hoja2!$A$2:$X$2596,15,FALSE)</f>
        <v>37327356.78</v>
      </c>
      <c r="N4" s="9">
        <f>+VLOOKUP(A4,Hoja2!$A$2:$X$2596,17,FALSE)</f>
        <v>1420721.57</v>
      </c>
      <c r="O4" s="9" t="str">
        <f>+VLOOKUP(A4,Hoja2!$A$2:$X$2596,22,FALSE)</f>
        <v/>
      </c>
      <c r="P4" s="9" t="str">
        <f>+VLOOKUP(A4,Hoja2!$A$2:$X$2596,23,FALSE)</f>
        <v/>
      </c>
      <c r="Q4" s="9" t="str">
        <f>+VLOOKUP(A4,Hoja2!$A$2:$X$2596,24,FALSE)</f>
        <v/>
      </c>
    </row>
    <row r="5">
      <c r="A5" s="8">
        <v>2071970.0</v>
      </c>
      <c r="B5" s="8">
        <v>78623.0</v>
      </c>
      <c r="C5" s="9" t="s">
        <v>20</v>
      </c>
      <c r="D5" s="8">
        <v>2.0</v>
      </c>
      <c r="E5" s="8">
        <v>3.0</v>
      </c>
      <c r="F5" s="8">
        <v>0.0</v>
      </c>
      <c r="G5" s="9" t="s">
        <v>18</v>
      </c>
      <c r="H5" s="10">
        <v>44412.821669826386</v>
      </c>
      <c r="I5" s="10">
        <v>44434.54822056713</v>
      </c>
      <c r="J5" s="8">
        <v>22.0</v>
      </c>
      <c r="K5" s="11">
        <v>9296403.96</v>
      </c>
      <c r="L5" s="8" t="str">
        <f>+VLOOKUP(A5,Hoja2!$A$2:$X$2596,19,FALSE)</f>
        <v>En Ejecución</v>
      </c>
      <c r="M5" s="9">
        <f>+VLOOKUP(A5,Hoja2!$A$2:$X$2596,15,FALSE)</f>
        <v>29497031.26</v>
      </c>
      <c r="N5" s="9">
        <f>+VLOOKUP(A5,Hoja2!$A$2:$X$2596,17,FALSE)</f>
        <v>1233859.58</v>
      </c>
      <c r="O5" s="9" t="str">
        <f>+VLOOKUP(A5,Hoja2!$A$2:$X$2596,22,FALSE)</f>
        <v/>
      </c>
      <c r="P5" s="9" t="str">
        <f>+VLOOKUP(A5,Hoja2!$A$2:$X$2596,23,FALSE)</f>
        <v/>
      </c>
      <c r="Q5" s="9" t="str">
        <f>+VLOOKUP(A5,Hoja2!$A$2:$X$2596,24,FALSE)</f>
        <v/>
      </c>
    </row>
    <row r="6" hidden="1">
      <c r="A6" s="8">
        <v>2082525.0</v>
      </c>
      <c r="B6" s="8">
        <v>80758.0</v>
      </c>
      <c r="C6" s="9" t="s">
        <v>17</v>
      </c>
      <c r="D6" s="8">
        <v>2.0</v>
      </c>
      <c r="E6" s="8">
        <v>0.0</v>
      </c>
      <c r="F6" s="8">
        <v>0.0</v>
      </c>
      <c r="G6" s="9" t="s">
        <v>21</v>
      </c>
      <c r="H6" s="10">
        <v>44525.444637071756</v>
      </c>
      <c r="I6" s="10">
        <v>44539.69159444444</v>
      </c>
      <c r="J6" s="8">
        <v>14.0</v>
      </c>
      <c r="K6" s="11">
        <v>6.776328539E7</v>
      </c>
      <c r="L6" s="8" t="str">
        <f>+VLOOKUP(A6,Hoja2!$A$2:$X$2596,19,FALSE)</f>
        <v>#N/A</v>
      </c>
      <c r="M6" s="9" t="str">
        <f>+VLOOKUP(A6,Hoja2!$A$2:$X$2596,15,FALSE)</f>
        <v>#N/A</v>
      </c>
      <c r="N6" s="9" t="str">
        <f>+VLOOKUP(A6,Hoja2!$A$2:$X$2596,17,FALSE)</f>
        <v>#N/A</v>
      </c>
      <c r="O6" s="9" t="str">
        <f>+VLOOKUP(A6,Hoja2!$A$2:$X$2596,22,FALSE)</f>
        <v>#N/A</v>
      </c>
      <c r="P6" s="9" t="str">
        <f>+VLOOKUP(A6,Hoja2!$A$2:$X$2596,23,FALSE)</f>
        <v>#N/A</v>
      </c>
      <c r="Q6" s="9" t="str">
        <f>+VLOOKUP(A6,Hoja2!$A$2:$X$2596,24,FALSE)</f>
        <v>#N/A</v>
      </c>
    </row>
    <row r="7" hidden="1">
      <c r="A7" s="8">
        <v>2082525.0</v>
      </c>
      <c r="B7" s="8">
        <v>80758.0</v>
      </c>
      <c r="C7" s="9" t="s">
        <v>19</v>
      </c>
      <c r="D7" s="8">
        <v>1.0</v>
      </c>
      <c r="E7" s="8">
        <v>2.0</v>
      </c>
      <c r="F7" s="8">
        <v>0.0</v>
      </c>
      <c r="G7" s="9" t="s">
        <v>18</v>
      </c>
      <c r="H7" s="10">
        <v>44606.37502774306</v>
      </c>
      <c r="I7" s="10">
        <v>44754.615496527775</v>
      </c>
      <c r="J7" s="8">
        <v>148.0</v>
      </c>
      <c r="K7" s="11">
        <v>6.776328539E7</v>
      </c>
      <c r="L7" s="8" t="str">
        <f>+VLOOKUP(A7,Hoja2!$A$2:$X$2596,19,FALSE)</f>
        <v>#N/A</v>
      </c>
      <c r="M7" s="9" t="str">
        <f>+VLOOKUP(A7,Hoja2!$A$2:$X$2596,15,FALSE)</f>
        <v>#N/A</v>
      </c>
      <c r="N7" s="9" t="str">
        <f>+VLOOKUP(A7,Hoja2!$A$2:$X$2596,17,FALSE)</f>
        <v>#N/A</v>
      </c>
      <c r="O7" s="9" t="str">
        <f>+VLOOKUP(A7,Hoja2!$A$2:$X$2596,22,FALSE)</f>
        <v>#N/A</v>
      </c>
      <c r="P7" s="9" t="str">
        <f>+VLOOKUP(A7,Hoja2!$A$2:$X$2596,23,FALSE)</f>
        <v>#N/A</v>
      </c>
      <c r="Q7" s="9" t="str">
        <f>+VLOOKUP(A7,Hoja2!$A$2:$X$2596,24,FALSE)</f>
        <v>#N/A</v>
      </c>
    </row>
    <row r="8" hidden="1">
      <c r="A8" s="8">
        <v>2082525.0</v>
      </c>
      <c r="B8" s="8">
        <v>80758.0</v>
      </c>
      <c r="C8" s="9" t="s">
        <v>19</v>
      </c>
      <c r="D8" s="8">
        <v>1.0</v>
      </c>
      <c r="E8" s="8">
        <v>4.0</v>
      </c>
      <c r="F8" s="8">
        <v>0.0</v>
      </c>
      <c r="G8" s="9" t="s">
        <v>18</v>
      </c>
      <c r="H8" s="10">
        <v>44845.72862248842</v>
      </c>
      <c r="I8" s="10">
        <v>45096.7225602662</v>
      </c>
      <c r="J8" s="8">
        <v>251.0</v>
      </c>
      <c r="K8" s="11">
        <v>6.776328539E7</v>
      </c>
      <c r="L8" s="8" t="str">
        <f>+VLOOKUP(A8,Hoja2!$A$2:$X$2596,19,FALSE)</f>
        <v>#N/A</v>
      </c>
      <c r="M8" s="9" t="str">
        <f>+VLOOKUP(A8,Hoja2!$A$2:$X$2596,15,FALSE)</f>
        <v>#N/A</v>
      </c>
      <c r="N8" s="9" t="str">
        <f>+VLOOKUP(A8,Hoja2!$A$2:$X$2596,17,FALSE)</f>
        <v>#N/A</v>
      </c>
      <c r="O8" s="9" t="str">
        <f>+VLOOKUP(A8,Hoja2!$A$2:$X$2596,22,FALSE)</f>
        <v>#N/A</v>
      </c>
      <c r="P8" s="9" t="str">
        <f>+VLOOKUP(A8,Hoja2!$A$2:$X$2596,23,FALSE)</f>
        <v>#N/A</v>
      </c>
      <c r="Q8" s="9" t="str">
        <f>+VLOOKUP(A8,Hoja2!$A$2:$X$2596,24,FALSE)</f>
        <v>#N/A</v>
      </c>
    </row>
    <row r="9" hidden="1">
      <c r="A9" s="8">
        <v>2082525.0</v>
      </c>
      <c r="B9" s="8">
        <v>80758.0</v>
      </c>
      <c r="C9" s="9" t="s">
        <v>19</v>
      </c>
      <c r="D9" s="8">
        <v>1.0</v>
      </c>
      <c r="E9" s="8">
        <v>1.0</v>
      </c>
      <c r="F9" s="8">
        <v>0.0</v>
      </c>
      <c r="G9" s="9" t="s">
        <v>18</v>
      </c>
      <c r="H9" s="10">
        <v>45322.33271149306</v>
      </c>
      <c r="I9" s="10">
        <v>45411.74648649306</v>
      </c>
      <c r="J9" s="8">
        <v>89.0</v>
      </c>
      <c r="K9" s="11">
        <v>6.776328539E7</v>
      </c>
      <c r="L9" s="8" t="str">
        <f>+VLOOKUP(A9,Hoja2!$A$2:$X$2596,19,FALSE)</f>
        <v>#N/A</v>
      </c>
      <c r="M9" s="9" t="str">
        <f>+VLOOKUP(A9,Hoja2!$A$2:$X$2596,15,FALSE)</f>
        <v>#N/A</v>
      </c>
      <c r="N9" s="9" t="str">
        <f>+VLOOKUP(A9,Hoja2!$A$2:$X$2596,17,FALSE)</f>
        <v>#N/A</v>
      </c>
      <c r="O9" s="9" t="str">
        <f>+VLOOKUP(A9,Hoja2!$A$2:$X$2596,22,FALSE)</f>
        <v>#N/A</v>
      </c>
      <c r="P9" s="9" t="str">
        <f>+VLOOKUP(A9,Hoja2!$A$2:$X$2596,23,FALSE)</f>
        <v>#N/A</v>
      </c>
      <c r="Q9" s="9" t="str">
        <f>+VLOOKUP(A9,Hoja2!$A$2:$X$2596,24,FALSE)</f>
        <v>#N/A</v>
      </c>
    </row>
    <row r="10" hidden="1">
      <c r="A10" s="8">
        <v>2082525.0</v>
      </c>
      <c r="B10" s="8">
        <v>80758.0</v>
      </c>
      <c r="C10" s="9" t="s">
        <v>19</v>
      </c>
      <c r="D10" s="8">
        <v>5.0</v>
      </c>
      <c r="E10" s="8">
        <v>0.0</v>
      </c>
      <c r="F10" s="8">
        <v>0.0</v>
      </c>
      <c r="G10" s="9" t="s">
        <v>21</v>
      </c>
      <c r="H10" s="10">
        <v>45645.71271782408</v>
      </c>
      <c r="I10" s="10">
        <v>45768.71551284722</v>
      </c>
      <c r="J10" s="8">
        <v>123.0</v>
      </c>
      <c r="K10" s="11">
        <v>6.776328539E7</v>
      </c>
      <c r="L10" s="8" t="str">
        <f>+VLOOKUP(A10,Hoja2!$A$2:$X$2596,19,FALSE)</f>
        <v>#N/A</v>
      </c>
      <c r="M10" s="9" t="str">
        <f>+VLOOKUP(A10,Hoja2!$A$2:$X$2596,15,FALSE)</f>
        <v>#N/A</v>
      </c>
      <c r="N10" s="9" t="str">
        <f>+VLOOKUP(A10,Hoja2!$A$2:$X$2596,17,FALSE)</f>
        <v>#N/A</v>
      </c>
      <c r="O10" s="9" t="str">
        <f>+VLOOKUP(A10,Hoja2!$A$2:$X$2596,22,FALSE)</f>
        <v>#N/A</v>
      </c>
      <c r="P10" s="9" t="str">
        <f>+VLOOKUP(A10,Hoja2!$A$2:$X$2596,23,FALSE)</f>
        <v>#N/A</v>
      </c>
      <c r="Q10" s="9" t="str">
        <f>+VLOOKUP(A10,Hoja2!$A$2:$X$2596,24,FALSE)</f>
        <v>#N/A</v>
      </c>
    </row>
    <row r="11" hidden="1">
      <c r="A11" s="8">
        <v>2073692.0</v>
      </c>
      <c r="B11" s="8">
        <v>83462.0</v>
      </c>
      <c r="C11" s="9" t="s">
        <v>19</v>
      </c>
      <c r="D11" s="8">
        <v>2.0</v>
      </c>
      <c r="E11" s="8">
        <v>1.0</v>
      </c>
      <c r="F11" s="8">
        <v>0.0</v>
      </c>
      <c r="G11" s="9" t="s">
        <v>18</v>
      </c>
      <c r="H11" s="10">
        <v>44214.50831211806</v>
      </c>
      <c r="I11" s="10">
        <v>44350.08373116898</v>
      </c>
      <c r="J11" s="8">
        <v>136.0</v>
      </c>
      <c r="K11" s="11">
        <v>1.638051086E7</v>
      </c>
      <c r="L11" s="8" t="str">
        <f>+VLOOKUP(A11,Hoja2!$A$2:$X$2596,19,FALSE)</f>
        <v>En Ejecución</v>
      </c>
      <c r="M11" s="9">
        <f>+VLOOKUP(A11,Hoja2!$A$2:$X$2596,15,FALSE)</f>
        <v>21560454.8</v>
      </c>
      <c r="N11" s="9">
        <f>+VLOOKUP(A11,Hoja2!$A$2:$X$2596,17,FALSE)</f>
        <v>1056645.95</v>
      </c>
      <c r="O11" s="9" t="str">
        <f>+VLOOKUP(A11,Hoja2!$A$2:$X$2596,22,FALSE)</f>
        <v/>
      </c>
      <c r="P11" s="9" t="str">
        <f>+VLOOKUP(A11,Hoja2!$A$2:$X$2596,23,FALSE)</f>
        <v/>
      </c>
      <c r="Q11" s="9" t="str">
        <f>+VLOOKUP(A11,Hoja2!$A$2:$X$2596,24,FALSE)</f>
        <v/>
      </c>
    </row>
    <row r="12" hidden="1">
      <c r="A12" s="8">
        <v>2073692.0</v>
      </c>
      <c r="B12" s="8">
        <v>83462.0</v>
      </c>
      <c r="C12" s="9" t="s">
        <v>19</v>
      </c>
      <c r="D12" s="8">
        <v>3.0</v>
      </c>
      <c r="E12" s="8">
        <v>3.0</v>
      </c>
      <c r="F12" s="8">
        <v>0.0</v>
      </c>
      <c r="G12" s="9" t="s">
        <v>18</v>
      </c>
      <c r="H12" s="10">
        <v>44456.80465648148</v>
      </c>
      <c r="I12" s="10">
        <v>44607.36693344908</v>
      </c>
      <c r="J12" s="8">
        <v>151.0</v>
      </c>
      <c r="K12" s="11">
        <v>1.638051086E7</v>
      </c>
      <c r="L12" s="8" t="str">
        <f>+VLOOKUP(A12,Hoja2!$A$2:$X$2596,19,FALSE)</f>
        <v>En Ejecución</v>
      </c>
      <c r="M12" s="9">
        <f>+VLOOKUP(A12,Hoja2!$A$2:$X$2596,15,FALSE)</f>
        <v>21560454.8</v>
      </c>
      <c r="N12" s="9">
        <f>+VLOOKUP(A12,Hoja2!$A$2:$X$2596,17,FALSE)</f>
        <v>1056645.95</v>
      </c>
      <c r="O12" s="9" t="str">
        <f>+VLOOKUP(A12,Hoja2!$A$2:$X$2596,22,FALSE)</f>
        <v/>
      </c>
      <c r="P12" s="9" t="str">
        <f>+VLOOKUP(A12,Hoja2!$A$2:$X$2596,23,FALSE)</f>
        <v/>
      </c>
      <c r="Q12" s="9" t="str">
        <f>+VLOOKUP(A12,Hoja2!$A$2:$X$2596,24,FALSE)</f>
        <v/>
      </c>
    </row>
    <row r="13">
      <c r="A13" s="8">
        <v>2073692.0</v>
      </c>
      <c r="B13" s="8">
        <v>83462.0</v>
      </c>
      <c r="C13" s="9" t="s">
        <v>20</v>
      </c>
      <c r="D13" s="8">
        <v>4.0</v>
      </c>
      <c r="E13" s="8">
        <v>4.0</v>
      </c>
      <c r="F13" s="8">
        <v>0.0</v>
      </c>
      <c r="G13" s="9" t="s">
        <v>18</v>
      </c>
      <c r="H13" s="10">
        <v>44629.88165451389</v>
      </c>
      <c r="I13" s="10">
        <v>44715.55860648148</v>
      </c>
      <c r="J13" s="8">
        <v>86.0</v>
      </c>
      <c r="K13" s="11">
        <v>1.638051086E7</v>
      </c>
      <c r="L13" s="8" t="str">
        <f>+VLOOKUP(A13,Hoja2!$A$2:$X$2596,19,FALSE)</f>
        <v>En Ejecución</v>
      </c>
      <c r="M13" s="9">
        <f>+VLOOKUP(A13,Hoja2!$A$2:$X$2596,15,FALSE)</f>
        <v>21560454.8</v>
      </c>
      <c r="N13" s="9">
        <f>+VLOOKUP(A13,Hoja2!$A$2:$X$2596,17,FALSE)</f>
        <v>1056645.95</v>
      </c>
      <c r="O13" s="9" t="str">
        <f>+VLOOKUP(A13,Hoja2!$A$2:$X$2596,22,FALSE)</f>
        <v/>
      </c>
      <c r="P13" s="9" t="str">
        <f>+VLOOKUP(A13,Hoja2!$A$2:$X$2596,23,FALSE)</f>
        <v/>
      </c>
      <c r="Q13" s="9" t="str">
        <f>+VLOOKUP(A13,Hoja2!$A$2:$X$2596,24,FALSE)</f>
        <v/>
      </c>
    </row>
    <row r="14" hidden="1">
      <c r="A14" s="8">
        <v>2095204.0</v>
      </c>
      <c r="B14" s="8">
        <v>111080.0</v>
      </c>
      <c r="C14" s="9" t="s">
        <v>19</v>
      </c>
      <c r="D14" s="8">
        <v>3.0</v>
      </c>
      <c r="E14" s="8">
        <v>2.0</v>
      </c>
      <c r="F14" s="8">
        <v>0.0</v>
      </c>
      <c r="G14" s="9" t="s">
        <v>18</v>
      </c>
      <c r="H14" s="10">
        <v>44279.61077118055</v>
      </c>
      <c r="I14" s="10">
        <v>44488.75896454861</v>
      </c>
      <c r="J14" s="8">
        <v>209.0</v>
      </c>
      <c r="K14" s="11">
        <v>2.5031692452E8</v>
      </c>
      <c r="L14" s="8" t="str">
        <f>+VLOOKUP(A14,Hoja2!$A$2:$X$2596,19,FALSE)</f>
        <v>En Ejecución</v>
      </c>
      <c r="M14" s="9">
        <f>+VLOOKUP(A14,Hoja2!$A$2:$X$2596,15,FALSE)</f>
        <v>118000000</v>
      </c>
      <c r="N14" s="9">
        <f>+VLOOKUP(A14,Hoja2!$A$2:$X$2596,17,FALSE)</f>
        <v>4055610.6</v>
      </c>
      <c r="O14" s="9" t="str">
        <f>+VLOOKUP(A14,Hoja2!$A$2:$X$2596,22,FALSE)</f>
        <v/>
      </c>
      <c r="P14" s="9" t="str">
        <f>+VLOOKUP(A14,Hoja2!$A$2:$X$2596,23,FALSE)</f>
        <v/>
      </c>
      <c r="Q14" s="9" t="str">
        <f>+VLOOKUP(A14,Hoja2!$A$2:$X$2596,24,FALSE)</f>
        <v/>
      </c>
    </row>
    <row r="15" hidden="1">
      <c r="A15" s="8">
        <v>2095204.0</v>
      </c>
      <c r="B15" s="8">
        <v>111080.0</v>
      </c>
      <c r="C15" s="9" t="s">
        <v>17</v>
      </c>
      <c r="D15" s="8">
        <v>5.0</v>
      </c>
      <c r="E15" s="8">
        <v>1.0</v>
      </c>
      <c r="F15" s="8">
        <v>0.0</v>
      </c>
      <c r="G15" s="9" t="s">
        <v>18</v>
      </c>
      <c r="H15" s="10">
        <v>44512.78176273148</v>
      </c>
      <c r="I15" s="10">
        <v>44582.5024590625</v>
      </c>
      <c r="J15" s="8">
        <v>70.0</v>
      </c>
      <c r="K15" s="11">
        <v>2.5031692452E8</v>
      </c>
      <c r="L15" s="8" t="str">
        <f>+VLOOKUP(A15,Hoja2!$A$2:$X$2596,19,FALSE)</f>
        <v>En Ejecución</v>
      </c>
      <c r="M15" s="9">
        <f>+VLOOKUP(A15,Hoja2!$A$2:$X$2596,15,FALSE)</f>
        <v>118000000</v>
      </c>
      <c r="N15" s="9">
        <f>+VLOOKUP(A15,Hoja2!$A$2:$X$2596,17,FALSE)</f>
        <v>4055610.6</v>
      </c>
      <c r="O15" s="9" t="str">
        <f>+VLOOKUP(A15,Hoja2!$A$2:$X$2596,22,FALSE)</f>
        <v/>
      </c>
      <c r="P15" s="9" t="str">
        <f>+VLOOKUP(A15,Hoja2!$A$2:$X$2596,23,FALSE)</f>
        <v/>
      </c>
      <c r="Q15" s="9" t="str">
        <f>+VLOOKUP(A15,Hoja2!$A$2:$X$2596,24,FALSE)</f>
        <v/>
      </c>
    </row>
    <row r="16">
      <c r="A16" s="8">
        <v>2095204.0</v>
      </c>
      <c r="B16" s="8">
        <v>111080.0</v>
      </c>
      <c r="C16" s="9" t="s">
        <v>20</v>
      </c>
      <c r="D16" s="8">
        <v>1.0</v>
      </c>
      <c r="E16" s="8">
        <v>2.0</v>
      </c>
      <c r="F16" s="8">
        <v>0.0</v>
      </c>
      <c r="G16" s="9" t="s">
        <v>18</v>
      </c>
      <c r="H16" s="10">
        <v>44629.39269918981</v>
      </c>
      <c r="I16" s="10">
        <v>44669.787905289355</v>
      </c>
      <c r="J16" s="8">
        <v>40.0</v>
      </c>
      <c r="K16" s="11">
        <v>2.5031692452E8</v>
      </c>
      <c r="L16" s="8" t="str">
        <f>+VLOOKUP(A16,Hoja2!$A$2:$X$2596,19,FALSE)</f>
        <v>En Ejecución</v>
      </c>
      <c r="M16" s="9">
        <f>+VLOOKUP(A16,Hoja2!$A$2:$X$2596,15,FALSE)</f>
        <v>118000000</v>
      </c>
      <c r="N16" s="9">
        <f>+VLOOKUP(A16,Hoja2!$A$2:$X$2596,17,FALSE)</f>
        <v>4055610.6</v>
      </c>
      <c r="O16" s="9" t="str">
        <f>+VLOOKUP(A16,Hoja2!$A$2:$X$2596,22,FALSE)</f>
        <v/>
      </c>
      <c r="P16" s="9" t="str">
        <f>+VLOOKUP(A16,Hoja2!$A$2:$X$2596,23,FALSE)</f>
        <v/>
      </c>
      <c r="Q16" s="9" t="str">
        <f>+VLOOKUP(A16,Hoja2!$A$2:$X$2596,24,FALSE)</f>
        <v/>
      </c>
    </row>
    <row r="17" hidden="1">
      <c r="A17" s="8">
        <v>2156818.0</v>
      </c>
      <c r="B17" s="8">
        <v>125853.0</v>
      </c>
      <c r="C17" s="9" t="s">
        <v>19</v>
      </c>
      <c r="D17" s="8">
        <v>2.0</v>
      </c>
      <c r="E17" s="8">
        <v>3.0</v>
      </c>
      <c r="F17" s="8">
        <v>0.0</v>
      </c>
      <c r="G17" s="9" t="s">
        <v>18</v>
      </c>
      <c r="H17" s="10">
        <v>44377.95630547454</v>
      </c>
      <c r="I17" s="10">
        <v>44498.03998217593</v>
      </c>
      <c r="J17" s="8">
        <v>121.0</v>
      </c>
      <c r="K17" s="11">
        <v>2.171357664E7</v>
      </c>
      <c r="L17" s="8" t="str">
        <f>+VLOOKUP(A17,Hoja2!$A$2:$X$2596,19,FALSE)</f>
        <v>#N/A</v>
      </c>
      <c r="M17" s="9" t="str">
        <f>+VLOOKUP(A17,Hoja2!$A$2:$X$2596,15,FALSE)</f>
        <v>#N/A</v>
      </c>
      <c r="N17" s="9" t="str">
        <f>+VLOOKUP(A17,Hoja2!$A$2:$X$2596,17,FALSE)</f>
        <v>#N/A</v>
      </c>
      <c r="O17" s="9" t="str">
        <f>+VLOOKUP(A17,Hoja2!$A$2:$X$2596,22,FALSE)</f>
        <v>#N/A</v>
      </c>
      <c r="P17" s="9" t="str">
        <f>+VLOOKUP(A17,Hoja2!$A$2:$X$2596,23,FALSE)</f>
        <v>#N/A</v>
      </c>
      <c r="Q17" s="9" t="str">
        <f>+VLOOKUP(A17,Hoja2!$A$2:$X$2596,24,FALSE)</f>
        <v>#N/A</v>
      </c>
    </row>
    <row r="18" hidden="1">
      <c r="A18" s="8">
        <v>2156818.0</v>
      </c>
      <c r="B18" s="8">
        <v>125853.0</v>
      </c>
      <c r="C18" s="9" t="s">
        <v>17</v>
      </c>
      <c r="D18" s="8">
        <v>1.0</v>
      </c>
      <c r="E18" s="8">
        <v>1.0</v>
      </c>
      <c r="F18" s="8">
        <v>0.0</v>
      </c>
      <c r="G18" s="9" t="s">
        <v>18</v>
      </c>
      <c r="H18" s="10">
        <v>44517.42367033565</v>
      </c>
      <c r="I18" s="10">
        <v>44530.92176802083</v>
      </c>
      <c r="J18" s="8">
        <v>13.0</v>
      </c>
      <c r="K18" s="11">
        <v>2.171357664E7</v>
      </c>
      <c r="L18" s="8" t="str">
        <f>+VLOOKUP(A18,Hoja2!$A$2:$X$2596,19,FALSE)</f>
        <v>#N/A</v>
      </c>
      <c r="M18" s="9" t="str">
        <f>+VLOOKUP(A18,Hoja2!$A$2:$X$2596,15,FALSE)</f>
        <v>#N/A</v>
      </c>
      <c r="N18" s="9" t="str">
        <f>+VLOOKUP(A18,Hoja2!$A$2:$X$2596,17,FALSE)</f>
        <v>#N/A</v>
      </c>
      <c r="O18" s="9" t="str">
        <f>+VLOOKUP(A18,Hoja2!$A$2:$X$2596,22,FALSE)</f>
        <v>#N/A</v>
      </c>
      <c r="P18" s="9" t="str">
        <f>+VLOOKUP(A18,Hoja2!$A$2:$X$2596,23,FALSE)</f>
        <v>#N/A</v>
      </c>
      <c r="Q18" s="9" t="str">
        <f>+VLOOKUP(A18,Hoja2!$A$2:$X$2596,24,FALSE)</f>
        <v>#N/A</v>
      </c>
    </row>
    <row r="19" hidden="1">
      <c r="A19" s="8">
        <v>2156818.0</v>
      </c>
      <c r="B19" s="8">
        <v>125853.0</v>
      </c>
      <c r="C19" s="9" t="s">
        <v>19</v>
      </c>
      <c r="D19" s="8">
        <v>2.0</v>
      </c>
      <c r="E19" s="8">
        <v>8.0</v>
      </c>
      <c r="F19" s="8">
        <v>0.0</v>
      </c>
      <c r="G19" s="9" t="s">
        <v>18</v>
      </c>
      <c r="H19" s="10">
        <v>44609.661195486115</v>
      </c>
      <c r="I19" s="10">
        <v>44753.599153587966</v>
      </c>
      <c r="J19" s="8">
        <v>144.0</v>
      </c>
      <c r="K19" s="11">
        <v>2.171357664E7</v>
      </c>
      <c r="L19" s="8" t="str">
        <f>+VLOOKUP(A19,Hoja2!$A$2:$X$2596,19,FALSE)</f>
        <v>#N/A</v>
      </c>
      <c r="M19" s="9" t="str">
        <f>+VLOOKUP(A19,Hoja2!$A$2:$X$2596,15,FALSE)</f>
        <v>#N/A</v>
      </c>
      <c r="N19" s="9" t="str">
        <f>+VLOOKUP(A19,Hoja2!$A$2:$X$2596,17,FALSE)</f>
        <v>#N/A</v>
      </c>
      <c r="O19" s="9" t="str">
        <f>+VLOOKUP(A19,Hoja2!$A$2:$X$2596,22,FALSE)</f>
        <v>#N/A</v>
      </c>
      <c r="P19" s="9" t="str">
        <f>+VLOOKUP(A19,Hoja2!$A$2:$X$2596,23,FALSE)</f>
        <v>#N/A</v>
      </c>
      <c r="Q19" s="9" t="str">
        <f>+VLOOKUP(A19,Hoja2!$A$2:$X$2596,24,FALSE)</f>
        <v>#N/A</v>
      </c>
    </row>
    <row r="20" hidden="1">
      <c r="A20" s="8">
        <v>2156818.0</v>
      </c>
      <c r="B20" s="8">
        <v>125853.0</v>
      </c>
      <c r="C20" s="9" t="s">
        <v>19</v>
      </c>
      <c r="D20" s="8">
        <v>2.0</v>
      </c>
      <c r="E20" s="8">
        <v>2.0</v>
      </c>
      <c r="F20" s="8">
        <v>0.0</v>
      </c>
      <c r="G20" s="9" t="s">
        <v>18</v>
      </c>
      <c r="H20" s="10">
        <v>44775.450799039354</v>
      </c>
      <c r="I20" s="10">
        <v>44817.71134996528</v>
      </c>
      <c r="J20" s="8">
        <v>42.0</v>
      </c>
      <c r="K20" s="11">
        <v>2.171357664E7</v>
      </c>
      <c r="L20" s="8" t="str">
        <f>+VLOOKUP(A20,Hoja2!$A$2:$X$2596,19,FALSE)</f>
        <v>#N/A</v>
      </c>
      <c r="M20" s="9" t="str">
        <f>+VLOOKUP(A20,Hoja2!$A$2:$X$2596,15,FALSE)</f>
        <v>#N/A</v>
      </c>
      <c r="N20" s="9" t="str">
        <f>+VLOOKUP(A20,Hoja2!$A$2:$X$2596,17,FALSE)</f>
        <v>#N/A</v>
      </c>
      <c r="O20" s="9" t="str">
        <f>+VLOOKUP(A20,Hoja2!$A$2:$X$2596,22,FALSE)</f>
        <v>#N/A</v>
      </c>
      <c r="P20" s="9" t="str">
        <f>+VLOOKUP(A20,Hoja2!$A$2:$X$2596,23,FALSE)</f>
        <v>#N/A</v>
      </c>
      <c r="Q20" s="9" t="str">
        <f>+VLOOKUP(A20,Hoja2!$A$2:$X$2596,24,FALSE)</f>
        <v>#N/A</v>
      </c>
    </row>
    <row r="21" ht="15.75" hidden="1" customHeight="1">
      <c r="A21" s="8">
        <v>2156818.0</v>
      </c>
      <c r="B21" s="8">
        <v>125853.0</v>
      </c>
      <c r="C21" s="9" t="s">
        <v>17</v>
      </c>
      <c r="D21" s="8">
        <v>2.0</v>
      </c>
      <c r="E21" s="8">
        <v>0.0</v>
      </c>
      <c r="F21" s="8">
        <v>0.0</v>
      </c>
      <c r="G21" s="9" t="s">
        <v>21</v>
      </c>
      <c r="H21" s="10">
        <v>45252.50891420139</v>
      </c>
      <c r="I21" s="10">
        <v>45253.73159459491</v>
      </c>
      <c r="J21" s="8">
        <v>1.0</v>
      </c>
      <c r="K21" s="11">
        <v>2.171357664E7</v>
      </c>
      <c r="L21" s="8" t="str">
        <f>+VLOOKUP(A21,Hoja2!$A$2:$X$2596,19,FALSE)</f>
        <v>#N/A</v>
      </c>
      <c r="M21" s="9" t="str">
        <f>+VLOOKUP(A21,Hoja2!$A$2:$X$2596,15,FALSE)</f>
        <v>#N/A</v>
      </c>
      <c r="N21" s="9" t="str">
        <f>+VLOOKUP(A21,Hoja2!$A$2:$X$2596,17,FALSE)</f>
        <v>#N/A</v>
      </c>
      <c r="O21" s="9" t="str">
        <f>+VLOOKUP(A21,Hoja2!$A$2:$X$2596,22,FALSE)</f>
        <v>#N/A</v>
      </c>
      <c r="P21" s="9" t="str">
        <f>+VLOOKUP(A21,Hoja2!$A$2:$X$2596,23,FALSE)</f>
        <v>#N/A</v>
      </c>
      <c r="Q21" s="9" t="str">
        <f>+VLOOKUP(A21,Hoja2!$A$2:$X$2596,24,FALSE)</f>
        <v>#N/A</v>
      </c>
    </row>
    <row r="22" ht="15.75" hidden="1" customHeight="1">
      <c r="A22" s="8">
        <v>2156818.0</v>
      </c>
      <c r="B22" s="8">
        <v>125853.0</v>
      </c>
      <c r="C22" s="9" t="s">
        <v>19</v>
      </c>
      <c r="D22" s="8">
        <v>2.0</v>
      </c>
      <c r="E22" s="8">
        <v>5.0</v>
      </c>
      <c r="F22" s="8">
        <v>0.0</v>
      </c>
      <c r="G22" s="9" t="s">
        <v>18</v>
      </c>
      <c r="H22" s="10">
        <v>45374.543672025466</v>
      </c>
      <c r="I22" s="10">
        <v>45636.35395324074</v>
      </c>
      <c r="J22" s="8">
        <v>262.0</v>
      </c>
      <c r="K22" s="11">
        <v>2.171357664E7</v>
      </c>
      <c r="L22" s="8" t="str">
        <f>+VLOOKUP(A22,Hoja2!$A$2:$X$2596,19,FALSE)</f>
        <v>#N/A</v>
      </c>
      <c r="M22" s="9" t="str">
        <f>+VLOOKUP(A22,Hoja2!$A$2:$X$2596,15,FALSE)</f>
        <v>#N/A</v>
      </c>
      <c r="N22" s="9" t="str">
        <f>+VLOOKUP(A22,Hoja2!$A$2:$X$2596,17,FALSE)</f>
        <v>#N/A</v>
      </c>
      <c r="O22" s="9" t="str">
        <f>+VLOOKUP(A22,Hoja2!$A$2:$X$2596,22,FALSE)</f>
        <v>#N/A</v>
      </c>
      <c r="P22" s="9" t="str">
        <f>+VLOOKUP(A22,Hoja2!$A$2:$X$2596,23,FALSE)</f>
        <v>#N/A</v>
      </c>
      <c r="Q22" s="9" t="str">
        <f>+VLOOKUP(A22,Hoja2!$A$2:$X$2596,24,FALSE)</f>
        <v>#N/A</v>
      </c>
    </row>
    <row r="23" ht="15.75" hidden="1" customHeight="1">
      <c r="A23" s="8">
        <v>2156818.0</v>
      </c>
      <c r="B23" s="8">
        <v>125853.0</v>
      </c>
      <c r="C23" s="9" t="s">
        <v>22</v>
      </c>
      <c r="D23" s="8">
        <v>1.0</v>
      </c>
      <c r="E23" s="8">
        <v>13.0</v>
      </c>
      <c r="F23" s="8">
        <v>1.0</v>
      </c>
      <c r="G23" s="9" t="s">
        <v>23</v>
      </c>
      <c r="H23" s="10">
        <v>45646.21952295139</v>
      </c>
      <c r="I23" s="10">
        <v>45957.61774366898</v>
      </c>
      <c r="J23" s="8">
        <v>311.0</v>
      </c>
      <c r="K23" s="11">
        <v>2.171357664E7</v>
      </c>
      <c r="L23" s="8" t="str">
        <f>+VLOOKUP(A23,Hoja2!$A$2:$X$2596,19,FALSE)</f>
        <v>#N/A</v>
      </c>
      <c r="M23" s="9" t="str">
        <f>+VLOOKUP(A23,Hoja2!$A$2:$X$2596,15,FALSE)</f>
        <v>#N/A</v>
      </c>
      <c r="N23" s="9" t="str">
        <f>+VLOOKUP(A23,Hoja2!$A$2:$X$2596,17,FALSE)</f>
        <v>#N/A</v>
      </c>
      <c r="O23" s="9" t="str">
        <f>+VLOOKUP(A23,Hoja2!$A$2:$X$2596,22,FALSE)</f>
        <v>#N/A</v>
      </c>
      <c r="P23" s="9" t="str">
        <f>+VLOOKUP(A23,Hoja2!$A$2:$X$2596,23,FALSE)</f>
        <v>#N/A</v>
      </c>
      <c r="Q23" s="9" t="str">
        <f>+VLOOKUP(A23,Hoja2!$A$2:$X$2596,24,FALSE)</f>
        <v>#N/A</v>
      </c>
    </row>
    <row r="24" ht="15.75" hidden="1" customHeight="1">
      <c r="A24" s="8">
        <v>2113607.0</v>
      </c>
      <c r="B24" s="8">
        <v>135800.0</v>
      </c>
      <c r="C24" s="9" t="s">
        <v>17</v>
      </c>
      <c r="D24" s="8">
        <v>2.0</v>
      </c>
      <c r="E24" s="8">
        <v>0.0</v>
      </c>
      <c r="F24" s="8">
        <v>0.0</v>
      </c>
      <c r="G24" s="9" t="s">
        <v>21</v>
      </c>
      <c r="H24" s="10">
        <v>45042.46522175926</v>
      </c>
      <c r="I24" s="10">
        <v>45056.348677662034</v>
      </c>
      <c r="J24" s="8">
        <v>14.0</v>
      </c>
      <c r="K24" s="11">
        <v>8697034.17</v>
      </c>
      <c r="L24" s="8" t="str">
        <f>+VLOOKUP(A24,Hoja2!$A$2:$X$2596,19,FALSE)</f>
        <v>#N/A</v>
      </c>
      <c r="M24" s="9" t="str">
        <f>+VLOOKUP(A24,Hoja2!$A$2:$X$2596,15,FALSE)</f>
        <v>#N/A</v>
      </c>
      <c r="N24" s="9" t="str">
        <f>+VLOOKUP(A24,Hoja2!$A$2:$X$2596,17,FALSE)</f>
        <v>#N/A</v>
      </c>
      <c r="O24" s="9" t="str">
        <f>+VLOOKUP(A24,Hoja2!$A$2:$X$2596,22,FALSE)</f>
        <v>#N/A</v>
      </c>
      <c r="P24" s="9" t="str">
        <f>+VLOOKUP(A24,Hoja2!$A$2:$X$2596,23,FALSE)</f>
        <v>#N/A</v>
      </c>
      <c r="Q24" s="9" t="str">
        <f>+VLOOKUP(A24,Hoja2!$A$2:$X$2596,24,FALSE)</f>
        <v>#N/A</v>
      </c>
    </row>
    <row r="25" ht="15.75" hidden="1" customHeight="1">
      <c r="A25" s="8">
        <v>2303630.0</v>
      </c>
      <c r="B25" s="8">
        <v>150924.0</v>
      </c>
      <c r="C25" s="9" t="s">
        <v>22</v>
      </c>
      <c r="D25" s="8">
        <v>2.0</v>
      </c>
      <c r="E25" s="8">
        <v>0.0</v>
      </c>
      <c r="F25" s="8">
        <v>0.0</v>
      </c>
      <c r="G25" s="9" t="s">
        <v>21</v>
      </c>
      <c r="H25" s="10">
        <v>45932.48618221065</v>
      </c>
      <c r="I25" s="10">
        <v>45945.687473067126</v>
      </c>
      <c r="J25" s="8">
        <v>13.0</v>
      </c>
      <c r="K25" s="11">
        <v>9232756.07</v>
      </c>
      <c r="L25" s="8" t="str">
        <f>+VLOOKUP(A25,Hoja2!$A$2:$X$2596,19,FALSE)</f>
        <v>#N/A</v>
      </c>
      <c r="M25" s="9" t="str">
        <f>+VLOOKUP(A25,Hoja2!$A$2:$X$2596,15,FALSE)</f>
        <v>#N/A</v>
      </c>
      <c r="N25" s="9" t="str">
        <f>+VLOOKUP(A25,Hoja2!$A$2:$X$2596,17,FALSE)</f>
        <v>#N/A</v>
      </c>
      <c r="O25" s="9" t="str">
        <f>+VLOOKUP(A25,Hoja2!$A$2:$X$2596,22,FALSE)</f>
        <v>#N/A</v>
      </c>
      <c r="P25" s="9" t="str">
        <f>+VLOOKUP(A25,Hoja2!$A$2:$X$2596,23,FALSE)</f>
        <v>#N/A</v>
      </c>
      <c r="Q25" s="9" t="str">
        <f>+VLOOKUP(A25,Hoja2!$A$2:$X$2596,24,FALSE)</f>
        <v>#N/A</v>
      </c>
    </row>
    <row r="26" ht="15.75" hidden="1" customHeight="1">
      <c r="A26" s="8">
        <v>2217616.0</v>
      </c>
      <c r="B26" s="8">
        <v>159036.0</v>
      </c>
      <c r="C26" s="9" t="s">
        <v>19</v>
      </c>
      <c r="D26" s="8">
        <v>4.0</v>
      </c>
      <c r="E26" s="8">
        <v>0.0</v>
      </c>
      <c r="F26" s="8">
        <v>0.0</v>
      </c>
      <c r="G26" s="9" t="s">
        <v>21</v>
      </c>
      <c r="H26" s="10">
        <v>44550.757117326386</v>
      </c>
      <c r="I26" s="10">
        <v>44620.70757503472</v>
      </c>
      <c r="J26" s="8">
        <v>70.0</v>
      </c>
      <c r="K26" s="11">
        <v>2.1792272489E8</v>
      </c>
      <c r="L26" s="8" t="str">
        <f>+VLOOKUP(A26,Hoja2!$A$2:$X$2596,19,FALSE)</f>
        <v>Concluido</v>
      </c>
      <c r="M26" s="9" t="str">
        <f>+VLOOKUP(A26,Hoja2!$A$2:$X$2596,15,FALSE)</f>
        <v/>
      </c>
      <c r="N26" s="9" t="str">
        <f>+VLOOKUP(A26,Hoja2!$A$2:$X$2596,17,FALSE)</f>
        <v/>
      </c>
      <c r="O26" s="9" t="str">
        <f>+VLOOKUP(A26,Hoja2!$A$2:$X$2596,22,FALSE)</f>
        <v/>
      </c>
      <c r="P26" s="9" t="str">
        <f>+VLOOKUP(A26,Hoja2!$A$2:$X$2596,23,FALSE)</f>
        <v/>
      </c>
      <c r="Q26" s="9" t="str">
        <f>+VLOOKUP(A26,Hoja2!$A$2:$X$2596,24,FALSE)</f>
        <v/>
      </c>
    </row>
    <row r="27" ht="15.75" hidden="1" customHeight="1">
      <c r="A27" s="8">
        <v>2217616.0</v>
      </c>
      <c r="B27" s="8">
        <v>159036.0</v>
      </c>
      <c r="C27" s="9" t="s">
        <v>17</v>
      </c>
      <c r="D27" s="8">
        <v>3.0</v>
      </c>
      <c r="E27" s="8">
        <v>0.0</v>
      </c>
      <c r="F27" s="8">
        <v>0.0</v>
      </c>
      <c r="G27" s="9" t="s">
        <v>21</v>
      </c>
      <c r="H27" s="10">
        <v>44693.25017519676</v>
      </c>
      <c r="I27" s="10">
        <v>44757.44229039352</v>
      </c>
      <c r="J27" s="8">
        <v>64.0</v>
      </c>
      <c r="K27" s="11">
        <v>2.1792272489E8</v>
      </c>
      <c r="L27" s="8" t="str">
        <f>+VLOOKUP(A27,Hoja2!$A$2:$X$2596,19,FALSE)</f>
        <v>Concluido</v>
      </c>
      <c r="M27" s="9" t="str">
        <f>+VLOOKUP(A27,Hoja2!$A$2:$X$2596,15,FALSE)</f>
        <v/>
      </c>
      <c r="N27" s="9" t="str">
        <f>+VLOOKUP(A27,Hoja2!$A$2:$X$2596,17,FALSE)</f>
        <v/>
      </c>
      <c r="O27" s="9" t="str">
        <f>+VLOOKUP(A27,Hoja2!$A$2:$X$2596,22,FALSE)</f>
        <v/>
      </c>
      <c r="P27" s="9" t="str">
        <f>+VLOOKUP(A27,Hoja2!$A$2:$X$2596,23,FALSE)</f>
        <v/>
      </c>
      <c r="Q27" s="9" t="str">
        <f>+VLOOKUP(A27,Hoja2!$A$2:$X$2596,24,FALSE)</f>
        <v/>
      </c>
    </row>
    <row r="28" ht="15.75" hidden="1" customHeight="1">
      <c r="A28" s="8">
        <v>2217616.0</v>
      </c>
      <c r="B28" s="8">
        <v>159036.0</v>
      </c>
      <c r="C28" s="9" t="s">
        <v>19</v>
      </c>
      <c r="D28" s="8">
        <v>5.0</v>
      </c>
      <c r="E28" s="8">
        <v>0.0</v>
      </c>
      <c r="F28" s="8">
        <v>0.0</v>
      </c>
      <c r="G28" s="9" t="s">
        <v>21</v>
      </c>
      <c r="H28" s="10">
        <v>44799.49308637731</v>
      </c>
      <c r="I28" s="10">
        <v>44880.61637600695</v>
      </c>
      <c r="J28" s="8">
        <v>81.0</v>
      </c>
      <c r="K28" s="11">
        <v>2.1792272489E8</v>
      </c>
      <c r="L28" s="8" t="str">
        <f>+VLOOKUP(A28,Hoja2!$A$2:$X$2596,19,FALSE)</f>
        <v>Concluido</v>
      </c>
      <c r="M28" s="9" t="str">
        <f>+VLOOKUP(A28,Hoja2!$A$2:$X$2596,15,FALSE)</f>
        <v/>
      </c>
      <c r="N28" s="9" t="str">
        <f>+VLOOKUP(A28,Hoja2!$A$2:$X$2596,17,FALSE)</f>
        <v/>
      </c>
      <c r="O28" s="9" t="str">
        <f>+VLOOKUP(A28,Hoja2!$A$2:$X$2596,22,FALSE)</f>
        <v/>
      </c>
      <c r="P28" s="9" t="str">
        <f>+VLOOKUP(A28,Hoja2!$A$2:$X$2596,23,FALSE)</f>
        <v/>
      </c>
      <c r="Q28" s="9" t="str">
        <f>+VLOOKUP(A28,Hoja2!$A$2:$X$2596,24,FALSE)</f>
        <v/>
      </c>
    </row>
    <row r="29" ht="15.75" hidden="1" customHeight="1">
      <c r="A29" s="8">
        <v>2217616.0</v>
      </c>
      <c r="B29" s="8">
        <v>159036.0</v>
      </c>
      <c r="C29" s="9" t="s">
        <v>19</v>
      </c>
      <c r="D29" s="8">
        <v>3.0</v>
      </c>
      <c r="E29" s="8">
        <v>2.0</v>
      </c>
      <c r="F29" s="8">
        <v>0.0</v>
      </c>
      <c r="G29" s="9" t="s">
        <v>18</v>
      </c>
      <c r="H29" s="10">
        <v>45034.43160431713</v>
      </c>
      <c r="I29" s="10">
        <v>45184.39879988426</v>
      </c>
      <c r="J29" s="8">
        <v>150.0</v>
      </c>
      <c r="K29" s="11">
        <v>2.1792272489E8</v>
      </c>
      <c r="L29" s="8" t="str">
        <f>+VLOOKUP(A29,Hoja2!$A$2:$X$2596,19,FALSE)</f>
        <v>Concluido</v>
      </c>
      <c r="M29" s="9" t="str">
        <f>+VLOOKUP(A29,Hoja2!$A$2:$X$2596,15,FALSE)</f>
        <v/>
      </c>
      <c r="N29" s="9" t="str">
        <f>+VLOOKUP(A29,Hoja2!$A$2:$X$2596,17,FALSE)</f>
        <v/>
      </c>
      <c r="O29" s="9" t="str">
        <f>+VLOOKUP(A29,Hoja2!$A$2:$X$2596,22,FALSE)</f>
        <v/>
      </c>
      <c r="P29" s="9" t="str">
        <f>+VLOOKUP(A29,Hoja2!$A$2:$X$2596,23,FALSE)</f>
        <v/>
      </c>
      <c r="Q29" s="9" t="str">
        <f>+VLOOKUP(A29,Hoja2!$A$2:$X$2596,24,FALSE)</f>
        <v/>
      </c>
    </row>
    <row r="30" ht="15.75" hidden="1" customHeight="1">
      <c r="A30" s="8">
        <v>2217616.0</v>
      </c>
      <c r="B30" s="8">
        <v>159036.0</v>
      </c>
      <c r="C30" s="9" t="s">
        <v>19</v>
      </c>
      <c r="D30" s="8">
        <v>2.0</v>
      </c>
      <c r="E30" s="8">
        <v>2.0</v>
      </c>
      <c r="F30" s="8">
        <v>0.0</v>
      </c>
      <c r="G30" s="9" t="s">
        <v>18</v>
      </c>
      <c r="H30" s="10">
        <v>45246.58734212963</v>
      </c>
      <c r="I30" s="10">
        <v>45349.646319479165</v>
      </c>
      <c r="J30" s="8">
        <v>103.0</v>
      </c>
      <c r="K30" s="11">
        <v>2.1792272489E8</v>
      </c>
      <c r="L30" s="8" t="str">
        <f>+VLOOKUP(A30,Hoja2!$A$2:$X$2596,19,FALSE)</f>
        <v>Concluido</v>
      </c>
      <c r="M30" s="9" t="str">
        <f>+VLOOKUP(A30,Hoja2!$A$2:$X$2596,15,FALSE)</f>
        <v/>
      </c>
      <c r="N30" s="9" t="str">
        <f>+VLOOKUP(A30,Hoja2!$A$2:$X$2596,17,FALSE)</f>
        <v/>
      </c>
      <c r="O30" s="9" t="str">
        <f>+VLOOKUP(A30,Hoja2!$A$2:$X$2596,22,FALSE)</f>
        <v/>
      </c>
      <c r="P30" s="9" t="str">
        <f>+VLOOKUP(A30,Hoja2!$A$2:$X$2596,23,FALSE)</f>
        <v/>
      </c>
      <c r="Q30" s="9" t="str">
        <f>+VLOOKUP(A30,Hoja2!$A$2:$X$2596,24,FALSE)</f>
        <v/>
      </c>
    </row>
    <row r="31" ht="15.75" customHeight="1">
      <c r="A31" s="8">
        <v>2217616.0</v>
      </c>
      <c r="B31" s="8">
        <v>159036.0</v>
      </c>
      <c r="C31" s="9" t="s">
        <v>20</v>
      </c>
      <c r="D31" s="8">
        <v>3.0</v>
      </c>
      <c r="E31" s="8">
        <v>5.0</v>
      </c>
      <c r="F31" s="8">
        <v>0.0</v>
      </c>
      <c r="G31" s="9" t="s">
        <v>18</v>
      </c>
      <c r="H31" s="10">
        <v>45412.42768599537</v>
      </c>
      <c r="I31" s="10">
        <v>45601.58435081018</v>
      </c>
      <c r="J31" s="8">
        <v>189.0</v>
      </c>
      <c r="K31" s="11">
        <v>2.1792272489E8</v>
      </c>
      <c r="L31" s="8" t="str">
        <f>+VLOOKUP(A31,Hoja2!$A$2:$X$2596,19,FALSE)</f>
        <v>Concluido</v>
      </c>
      <c r="M31" s="9" t="str">
        <f>+VLOOKUP(A31,Hoja2!$A$2:$X$2596,15,FALSE)</f>
        <v/>
      </c>
      <c r="N31" s="9" t="str">
        <f>+VLOOKUP(A31,Hoja2!$A$2:$X$2596,17,FALSE)</f>
        <v/>
      </c>
      <c r="O31" s="9" t="str">
        <f>+VLOOKUP(A31,Hoja2!$A$2:$X$2596,22,FALSE)</f>
        <v/>
      </c>
      <c r="P31" s="9" t="str">
        <f>+VLOOKUP(A31,Hoja2!$A$2:$X$2596,23,FALSE)</f>
        <v/>
      </c>
      <c r="Q31" s="9" t="str">
        <f>+VLOOKUP(A31,Hoja2!$A$2:$X$2596,24,FALSE)</f>
        <v/>
      </c>
    </row>
    <row r="32" ht="15.75" hidden="1" customHeight="1">
      <c r="A32" s="8">
        <v>2204758.0</v>
      </c>
      <c r="B32" s="8">
        <v>169666.0</v>
      </c>
      <c r="C32" s="9" t="s">
        <v>17</v>
      </c>
      <c r="D32" s="8">
        <v>2.0</v>
      </c>
      <c r="E32" s="8">
        <v>0.0</v>
      </c>
      <c r="F32" s="8">
        <v>0.0</v>
      </c>
      <c r="G32" s="9" t="s">
        <v>21</v>
      </c>
      <c r="H32" s="10">
        <v>44383.965834027775</v>
      </c>
      <c r="I32" s="10">
        <v>44396.06998105324</v>
      </c>
      <c r="J32" s="8">
        <v>13.0</v>
      </c>
      <c r="K32" s="11">
        <v>2.300889654E7</v>
      </c>
      <c r="L32" s="8" t="str">
        <f>+VLOOKUP(A32,Hoja2!$A$2:$X$2596,19,FALSE)</f>
        <v>#N/A</v>
      </c>
      <c r="M32" s="9" t="str">
        <f>+VLOOKUP(A32,Hoja2!$A$2:$X$2596,15,FALSE)</f>
        <v>#N/A</v>
      </c>
      <c r="N32" s="9" t="str">
        <f>+VLOOKUP(A32,Hoja2!$A$2:$X$2596,17,FALSE)</f>
        <v>#N/A</v>
      </c>
      <c r="O32" s="9" t="str">
        <f>+VLOOKUP(A32,Hoja2!$A$2:$X$2596,22,FALSE)</f>
        <v>#N/A</v>
      </c>
      <c r="P32" s="9" t="str">
        <f>+VLOOKUP(A32,Hoja2!$A$2:$X$2596,23,FALSE)</f>
        <v>#N/A</v>
      </c>
      <c r="Q32" s="9" t="str">
        <f>+VLOOKUP(A32,Hoja2!$A$2:$X$2596,24,FALSE)</f>
        <v>#N/A</v>
      </c>
    </row>
    <row r="33" ht="15.75" hidden="1" customHeight="1">
      <c r="A33" s="8">
        <v>2142428.0</v>
      </c>
      <c r="B33" s="8">
        <v>171217.0</v>
      </c>
      <c r="C33" s="9" t="s">
        <v>17</v>
      </c>
      <c r="D33" s="8">
        <v>2.0</v>
      </c>
      <c r="E33" s="8">
        <v>0.0</v>
      </c>
      <c r="F33" s="8">
        <v>0.0</v>
      </c>
      <c r="G33" s="9" t="s">
        <v>21</v>
      </c>
      <c r="H33" s="10">
        <v>44360.970005868054</v>
      </c>
      <c r="I33" s="10">
        <v>44365.92950775463</v>
      </c>
      <c r="J33" s="8">
        <v>5.0</v>
      </c>
      <c r="K33" s="11">
        <v>8.093770553E7</v>
      </c>
      <c r="L33" s="8" t="str">
        <f>+VLOOKUP(A33,Hoja2!$A$2:$X$2596,19,FALSE)</f>
        <v>#N/A</v>
      </c>
      <c r="M33" s="9" t="str">
        <f>+VLOOKUP(A33,Hoja2!$A$2:$X$2596,15,FALSE)</f>
        <v>#N/A</v>
      </c>
      <c r="N33" s="9" t="str">
        <f>+VLOOKUP(A33,Hoja2!$A$2:$X$2596,17,FALSE)</f>
        <v>#N/A</v>
      </c>
      <c r="O33" s="9" t="str">
        <f>+VLOOKUP(A33,Hoja2!$A$2:$X$2596,22,FALSE)</f>
        <v>#N/A</v>
      </c>
      <c r="P33" s="9" t="str">
        <f>+VLOOKUP(A33,Hoja2!$A$2:$X$2596,23,FALSE)</f>
        <v>#N/A</v>
      </c>
      <c r="Q33" s="9" t="str">
        <f>+VLOOKUP(A33,Hoja2!$A$2:$X$2596,24,FALSE)</f>
        <v>#N/A</v>
      </c>
    </row>
    <row r="34" ht="15.75" hidden="1" customHeight="1">
      <c r="A34" s="8">
        <v>2142428.0</v>
      </c>
      <c r="B34" s="8">
        <v>171217.0</v>
      </c>
      <c r="C34" s="9" t="s">
        <v>17</v>
      </c>
      <c r="D34" s="8">
        <v>3.0</v>
      </c>
      <c r="E34" s="8">
        <v>0.0</v>
      </c>
      <c r="F34" s="8">
        <v>0.0</v>
      </c>
      <c r="G34" s="9" t="s">
        <v>21</v>
      </c>
      <c r="H34" s="10">
        <v>44634.38372716435</v>
      </c>
      <c r="I34" s="10">
        <v>44707.65962268518</v>
      </c>
      <c r="J34" s="8">
        <v>73.0</v>
      </c>
      <c r="K34" s="11">
        <v>8.093770553E7</v>
      </c>
      <c r="L34" s="8" t="str">
        <f>+VLOOKUP(A34,Hoja2!$A$2:$X$2596,19,FALSE)</f>
        <v>#N/A</v>
      </c>
      <c r="M34" s="9" t="str">
        <f>+VLOOKUP(A34,Hoja2!$A$2:$X$2596,15,FALSE)</f>
        <v>#N/A</v>
      </c>
      <c r="N34" s="9" t="str">
        <f>+VLOOKUP(A34,Hoja2!$A$2:$X$2596,17,FALSE)</f>
        <v>#N/A</v>
      </c>
      <c r="O34" s="9" t="str">
        <f>+VLOOKUP(A34,Hoja2!$A$2:$X$2596,22,FALSE)</f>
        <v>#N/A</v>
      </c>
      <c r="P34" s="9" t="str">
        <f>+VLOOKUP(A34,Hoja2!$A$2:$X$2596,23,FALSE)</f>
        <v>#N/A</v>
      </c>
      <c r="Q34" s="9" t="str">
        <f>+VLOOKUP(A34,Hoja2!$A$2:$X$2596,24,FALSE)</f>
        <v>#N/A</v>
      </c>
    </row>
    <row r="35" ht="15.75" hidden="1" customHeight="1">
      <c r="A35" s="8">
        <v>2143323.0</v>
      </c>
      <c r="B35" s="8">
        <v>171498.0</v>
      </c>
      <c r="C35" s="9" t="s">
        <v>17</v>
      </c>
      <c r="D35" s="8">
        <v>3.0</v>
      </c>
      <c r="E35" s="8">
        <v>2.0</v>
      </c>
      <c r="F35" s="8">
        <v>0.0</v>
      </c>
      <c r="G35" s="9" t="s">
        <v>18</v>
      </c>
      <c r="H35" s="10">
        <v>44419.691720752315</v>
      </c>
      <c r="I35" s="10">
        <v>44505.49197202546</v>
      </c>
      <c r="J35" s="8">
        <v>86.0</v>
      </c>
      <c r="K35" s="11">
        <v>6503051.81</v>
      </c>
      <c r="L35" s="8" t="str">
        <f>+VLOOKUP(A35,Hoja2!$A$2:$X$2596,19,FALSE)</f>
        <v>En Ejecución</v>
      </c>
      <c r="M35" s="9">
        <f>+VLOOKUP(A35,Hoja2!$A$2:$X$2596,15,FALSE)</f>
        <v>7831928.25</v>
      </c>
      <c r="N35" s="9">
        <f>+VLOOKUP(A35,Hoja2!$A$2:$X$2596,17,FALSE)</f>
        <v>429565.77</v>
      </c>
      <c r="O35" s="9" t="str">
        <f>+VLOOKUP(A35,Hoja2!$A$2:$X$2596,22,FALSE)</f>
        <v/>
      </c>
      <c r="P35" s="9" t="str">
        <f>+VLOOKUP(A35,Hoja2!$A$2:$X$2596,23,FALSE)</f>
        <v/>
      </c>
      <c r="Q35" s="9" t="str">
        <f>+VLOOKUP(A35,Hoja2!$A$2:$X$2596,24,FALSE)</f>
        <v/>
      </c>
    </row>
    <row r="36" ht="15.75" customHeight="1">
      <c r="A36" s="8">
        <v>2143323.0</v>
      </c>
      <c r="B36" s="8">
        <v>171498.0</v>
      </c>
      <c r="C36" s="9" t="s">
        <v>20</v>
      </c>
      <c r="D36" s="8">
        <v>2.0</v>
      </c>
      <c r="E36" s="8">
        <v>2.0</v>
      </c>
      <c r="F36" s="8">
        <v>0.0</v>
      </c>
      <c r="G36" s="9" t="s">
        <v>18</v>
      </c>
      <c r="H36" s="10">
        <v>44579.70386929398</v>
      </c>
      <c r="I36" s="10">
        <v>44610.651618668984</v>
      </c>
      <c r="J36" s="8">
        <v>31.0</v>
      </c>
      <c r="K36" s="11">
        <v>6503051.81</v>
      </c>
      <c r="L36" s="8" t="str">
        <f>+VLOOKUP(A36,Hoja2!$A$2:$X$2596,19,FALSE)</f>
        <v>En Ejecución</v>
      </c>
      <c r="M36" s="9">
        <f>+VLOOKUP(A36,Hoja2!$A$2:$X$2596,15,FALSE)</f>
        <v>7831928.25</v>
      </c>
      <c r="N36" s="9">
        <f>+VLOOKUP(A36,Hoja2!$A$2:$X$2596,17,FALSE)</f>
        <v>429565.77</v>
      </c>
      <c r="O36" s="9" t="str">
        <f>+VLOOKUP(A36,Hoja2!$A$2:$X$2596,22,FALSE)</f>
        <v/>
      </c>
      <c r="P36" s="9" t="str">
        <f>+VLOOKUP(A36,Hoja2!$A$2:$X$2596,23,FALSE)</f>
        <v/>
      </c>
      <c r="Q36" s="9" t="str">
        <f>+VLOOKUP(A36,Hoja2!$A$2:$X$2596,24,FALSE)</f>
        <v/>
      </c>
    </row>
    <row r="37" ht="15.75" hidden="1" customHeight="1">
      <c r="A37" s="8">
        <v>2225842.0</v>
      </c>
      <c r="B37" s="8">
        <v>176171.0</v>
      </c>
      <c r="C37" s="9" t="s">
        <v>17</v>
      </c>
      <c r="D37" s="8">
        <v>2.0</v>
      </c>
      <c r="E37" s="8">
        <v>0.0</v>
      </c>
      <c r="F37" s="8">
        <v>0.0</v>
      </c>
      <c r="G37" s="9" t="s">
        <v>21</v>
      </c>
      <c r="H37" s="10">
        <v>44819.435001701386</v>
      </c>
      <c r="I37" s="10">
        <v>44830.681342094904</v>
      </c>
      <c r="J37" s="8">
        <v>11.0</v>
      </c>
      <c r="K37" s="11">
        <v>2.209785579E8</v>
      </c>
      <c r="L37" s="8" t="str">
        <f>+VLOOKUP(A37,Hoja2!$A$2:$X$2596,19,FALSE)</f>
        <v>Concluido</v>
      </c>
      <c r="M37" s="9" t="str">
        <f>+VLOOKUP(A37,Hoja2!$A$2:$X$2596,15,FALSE)</f>
        <v/>
      </c>
      <c r="N37" s="9" t="str">
        <f>+VLOOKUP(A37,Hoja2!$A$2:$X$2596,17,FALSE)</f>
        <v/>
      </c>
      <c r="O37" s="9" t="str">
        <f>+VLOOKUP(A37,Hoja2!$A$2:$X$2596,22,FALSE)</f>
        <v/>
      </c>
      <c r="P37" s="9" t="str">
        <f>+VLOOKUP(A37,Hoja2!$A$2:$X$2596,23,FALSE)</f>
        <v/>
      </c>
      <c r="Q37" s="9" t="str">
        <f>+VLOOKUP(A37,Hoja2!$A$2:$X$2596,24,FALSE)</f>
        <v/>
      </c>
    </row>
    <row r="38" ht="15.75" hidden="1" customHeight="1">
      <c r="A38" s="8">
        <v>2225842.0</v>
      </c>
      <c r="B38" s="8">
        <v>176171.0</v>
      </c>
      <c r="C38" s="9" t="s">
        <v>17</v>
      </c>
      <c r="D38" s="8">
        <v>3.0</v>
      </c>
      <c r="E38" s="8">
        <v>0.0</v>
      </c>
      <c r="F38" s="8">
        <v>0.0</v>
      </c>
      <c r="G38" s="9" t="s">
        <v>21</v>
      </c>
      <c r="H38" s="10">
        <v>45012.61273700232</v>
      </c>
      <c r="I38" s="10">
        <v>45020.7456318287</v>
      </c>
      <c r="J38" s="8">
        <v>8.0</v>
      </c>
      <c r="K38" s="11">
        <v>2.209785579E8</v>
      </c>
      <c r="L38" s="8" t="str">
        <f>+VLOOKUP(A38,Hoja2!$A$2:$X$2596,19,FALSE)</f>
        <v>Concluido</v>
      </c>
      <c r="M38" s="9" t="str">
        <f>+VLOOKUP(A38,Hoja2!$A$2:$X$2596,15,FALSE)</f>
        <v/>
      </c>
      <c r="N38" s="9" t="str">
        <f>+VLOOKUP(A38,Hoja2!$A$2:$X$2596,17,FALSE)</f>
        <v/>
      </c>
      <c r="O38" s="9" t="str">
        <f>+VLOOKUP(A38,Hoja2!$A$2:$X$2596,22,FALSE)</f>
        <v/>
      </c>
      <c r="P38" s="9" t="str">
        <f>+VLOOKUP(A38,Hoja2!$A$2:$X$2596,23,FALSE)</f>
        <v/>
      </c>
      <c r="Q38" s="9" t="str">
        <f>+VLOOKUP(A38,Hoja2!$A$2:$X$2596,24,FALSE)</f>
        <v/>
      </c>
    </row>
    <row r="39" ht="15.75" customHeight="1">
      <c r="A39" s="8">
        <v>2138958.0</v>
      </c>
      <c r="B39" s="8">
        <v>176710.0</v>
      </c>
      <c r="C39" s="9" t="s">
        <v>20</v>
      </c>
      <c r="D39" s="8">
        <v>2.0</v>
      </c>
      <c r="E39" s="8">
        <v>1.0</v>
      </c>
      <c r="F39" s="8">
        <v>0.0</v>
      </c>
      <c r="G39" s="9" t="s">
        <v>18</v>
      </c>
      <c r="H39" s="10">
        <v>44391.438980011575</v>
      </c>
      <c r="I39" s="10">
        <v>44428.009944363424</v>
      </c>
      <c r="J39" s="8">
        <v>37.0</v>
      </c>
      <c r="K39" s="11">
        <v>2936923.24</v>
      </c>
      <c r="L39" s="8" t="str">
        <f>+VLOOKUP(A39,Hoja2!$A$2:$X$2596,19,FALSE)</f>
        <v>Concluido</v>
      </c>
      <c r="M39" s="9">
        <f>+VLOOKUP(A39,Hoja2!$A$2:$X$2596,15,FALSE)</f>
        <v>4258510.4</v>
      </c>
      <c r="N39" s="9">
        <f>+VLOOKUP(A39,Hoja2!$A$2:$X$2596,17,FALSE)</f>
        <v>229959.9</v>
      </c>
      <c r="O39" s="9" t="str">
        <f>+VLOOKUP(A39,Hoja2!$A$2:$X$2596,22,FALSE)</f>
        <v/>
      </c>
      <c r="P39" s="9" t="str">
        <f>+VLOOKUP(A39,Hoja2!$A$2:$X$2596,23,FALSE)</f>
        <v/>
      </c>
      <c r="Q39" s="9" t="str">
        <f>+VLOOKUP(A39,Hoja2!$A$2:$X$2596,24,FALSE)</f>
        <v/>
      </c>
    </row>
    <row r="40" ht="15.75" hidden="1" customHeight="1">
      <c r="A40" s="8">
        <v>2180967.0</v>
      </c>
      <c r="B40" s="8">
        <v>200899.0</v>
      </c>
      <c r="C40" s="9" t="s">
        <v>17</v>
      </c>
      <c r="D40" s="8">
        <v>3.0</v>
      </c>
      <c r="E40" s="8">
        <v>0.0</v>
      </c>
      <c r="F40" s="8">
        <v>0.0</v>
      </c>
      <c r="G40" s="9" t="s">
        <v>21</v>
      </c>
      <c r="H40" s="10">
        <v>44473.635184293984</v>
      </c>
      <c r="I40" s="10">
        <v>44481.539283101854</v>
      </c>
      <c r="J40" s="8">
        <v>8.0</v>
      </c>
      <c r="K40" s="11">
        <v>5758040.18</v>
      </c>
      <c r="L40" s="8" t="str">
        <f>+VLOOKUP(A40,Hoja2!$A$2:$X$2596,19,FALSE)</f>
        <v>#N/A</v>
      </c>
      <c r="M40" s="9" t="str">
        <f>+VLOOKUP(A40,Hoja2!$A$2:$X$2596,15,FALSE)</f>
        <v>#N/A</v>
      </c>
      <c r="N40" s="9" t="str">
        <f>+VLOOKUP(A40,Hoja2!$A$2:$X$2596,17,FALSE)</f>
        <v>#N/A</v>
      </c>
      <c r="O40" s="9" t="str">
        <f>+VLOOKUP(A40,Hoja2!$A$2:$X$2596,22,FALSE)</f>
        <v>#N/A</v>
      </c>
      <c r="P40" s="9" t="str">
        <f>+VLOOKUP(A40,Hoja2!$A$2:$X$2596,23,FALSE)</f>
        <v>#N/A</v>
      </c>
      <c r="Q40" s="9" t="str">
        <f>+VLOOKUP(A40,Hoja2!$A$2:$X$2596,24,FALSE)</f>
        <v>#N/A</v>
      </c>
    </row>
    <row r="41" ht="15.75" hidden="1" customHeight="1">
      <c r="A41" s="8">
        <v>2180967.0</v>
      </c>
      <c r="B41" s="8">
        <v>200899.0</v>
      </c>
      <c r="C41" s="9" t="s">
        <v>19</v>
      </c>
      <c r="D41" s="8">
        <v>5.0</v>
      </c>
      <c r="E41" s="8">
        <v>0.0</v>
      </c>
      <c r="F41" s="8">
        <v>0.0</v>
      </c>
      <c r="G41" s="9" t="s">
        <v>21</v>
      </c>
      <c r="H41" s="10">
        <v>44539.37738614583</v>
      </c>
      <c r="I41" s="10">
        <v>44588.795304050924</v>
      </c>
      <c r="J41" s="8">
        <v>49.0</v>
      </c>
      <c r="K41" s="11">
        <v>5758040.18</v>
      </c>
      <c r="L41" s="8" t="str">
        <f>+VLOOKUP(A41,Hoja2!$A$2:$X$2596,19,FALSE)</f>
        <v>#N/A</v>
      </c>
      <c r="M41" s="9" t="str">
        <f>+VLOOKUP(A41,Hoja2!$A$2:$X$2596,15,FALSE)</f>
        <v>#N/A</v>
      </c>
      <c r="N41" s="9" t="str">
        <f>+VLOOKUP(A41,Hoja2!$A$2:$X$2596,17,FALSE)</f>
        <v>#N/A</v>
      </c>
      <c r="O41" s="9" t="str">
        <f>+VLOOKUP(A41,Hoja2!$A$2:$X$2596,22,FALSE)</f>
        <v>#N/A</v>
      </c>
      <c r="P41" s="9" t="str">
        <f>+VLOOKUP(A41,Hoja2!$A$2:$X$2596,23,FALSE)</f>
        <v>#N/A</v>
      </c>
      <c r="Q41" s="9" t="str">
        <f>+VLOOKUP(A41,Hoja2!$A$2:$X$2596,24,FALSE)</f>
        <v>#N/A</v>
      </c>
    </row>
    <row r="42" ht="15.75" hidden="1" customHeight="1">
      <c r="A42" s="8">
        <v>2180967.0</v>
      </c>
      <c r="B42" s="8">
        <v>200899.0</v>
      </c>
      <c r="C42" s="9" t="s">
        <v>17</v>
      </c>
      <c r="D42" s="8">
        <v>4.0</v>
      </c>
      <c r="E42" s="8">
        <v>0.0</v>
      </c>
      <c r="F42" s="8">
        <v>0.0</v>
      </c>
      <c r="G42" s="9" t="s">
        <v>21</v>
      </c>
      <c r="H42" s="10">
        <v>44851.62101346065</v>
      </c>
      <c r="I42" s="10">
        <v>44895.41352954861</v>
      </c>
      <c r="J42" s="8">
        <v>44.0</v>
      </c>
      <c r="K42" s="11">
        <v>5758040.18</v>
      </c>
      <c r="L42" s="8" t="str">
        <f>+VLOOKUP(A42,Hoja2!$A$2:$X$2596,19,FALSE)</f>
        <v>#N/A</v>
      </c>
      <c r="M42" s="9" t="str">
        <f>+VLOOKUP(A42,Hoja2!$A$2:$X$2596,15,FALSE)</f>
        <v>#N/A</v>
      </c>
      <c r="N42" s="9" t="str">
        <f>+VLOOKUP(A42,Hoja2!$A$2:$X$2596,17,FALSE)</f>
        <v>#N/A</v>
      </c>
      <c r="O42" s="9" t="str">
        <f>+VLOOKUP(A42,Hoja2!$A$2:$X$2596,22,FALSE)</f>
        <v>#N/A</v>
      </c>
      <c r="P42" s="9" t="str">
        <f>+VLOOKUP(A42,Hoja2!$A$2:$X$2596,23,FALSE)</f>
        <v>#N/A</v>
      </c>
      <c r="Q42" s="9" t="str">
        <f>+VLOOKUP(A42,Hoja2!$A$2:$X$2596,24,FALSE)</f>
        <v>#N/A</v>
      </c>
    </row>
    <row r="43" ht="15.75" hidden="1" customHeight="1">
      <c r="A43" s="8">
        <v>2180967.0</v>
      </c>
      <c r="B43" s="8">
        <v>200899.0</v>
      </c>
      <c r="C43" s="9" t="s">
        <v>17</v>
      </c>
      <c r="D43" s="8">
        <v>4.0</v>
      </c>
      <c r="E43" s="8">
        <v>0.0</v>
      </c>
      <c r="F43" s="8">
        <v>0.0</v>
      </c>
      <c r="G43" s="9" t="s">
        <v>21</v>
      </c>
      <c r="H43" s="10">
        <v>44942.466770520834</v>
      </c>
      <c r="I43" s="10">
        <v>44984.515630636575</v>
      </c>
      <c r="J43" s="8">
        <v>42.0</v>
      </c>
      <c r="K43" s="11">
        <v>5758040.18</v>
      </c>
      <c r="L43" s="8" t="str">
        <f>+VLOOKUP(A43,Hoja2!$A$2:$X$2596,19,FALSE)</f>
        <v>#N/A</v>
      </c>
      <c r="M43" s="9" t="str">
        <f>+VLOOKUP(A43,Hoja2!$A$2:$X$2596,15,FALSE)</f>
        <v>#N/A</v>
      </c>
      <c r="N43" s="9" t="str">
        <f>+VLOOKUP(A43,Hoja2!$A$2:$X$2596,17,FALSE)</f>
        <v>#N/A</v>
      </c>
      <c r="O43" s="9" t="str">
        <f>+VLOOKUP(A43,Hoja2!$A$2:$X$2596,22,FALSE)</f>
        <v>#N/A</v>
      </c>
      <c r="P43" s="9" t="str">
        <f>+VLOOKUP(A43,Hoja2!$A$2:$X$2596,23,FALSE)</f>
        <v>#N/A</v>
      </c>
      <c r="Q43" s="9" t="str">
        <f>+VLOOKUP(A43,Hoja2!$A$2:$X$2596,24,FALSE)</f>
        <v>#N/A</v>
      </c>
    </row>
    <row r="44" ht="15.75" hidden="1" customHeight="1">
      <c r="A44" s="8">
        <v>2180967.0</v>
      </c>
      <c r="B44" s="8">
        <v>200899.0</v>
      </c>
      <c r="C44" s="9" t="s">
        <v>19</v>
      </c>
      <c r="D44" s="8">
        <v>4.0</v>
      </c>
      <c r="E44" s="8">
        <v>1.0</v>
      </c>
      <c r="F44" s="8">
        <v>0.0</v>
      </c>
      <c r="G44" s="9" t="s">
        <v>18</v>
      </c>
      <c r="H44" s="10">
        <v>45181.47933857639</v>
      </c>
      <c r="I44" s="10">
        <v>45233.355190775466</v>
      </c>
      <c r="J44" s="8">
        <v>52.0</v>
      </c>
      <c r="K44" s="11">
        <v>5758040.18</v>
      </c>
      <c r="L44" s="8" t="str">
        <f>+VLOOKUP(A44,Hoja2!$A$2:$X$2596,19,FALSE)</f>
        <v>#N/A</v>
      </c>
      <c r="M44" s="9" t="str">
        <f>+VLOOKUP(A44,Hoja2!$A$2:$X$2596,15,FALSE)</f>
        <v>#N/A</v>
      </c>
      <c r="N44" s="9" t="str">
        <f>+VLOOKUP(A44,Hoja2!$A$2:$X$2596,17,FALSE)</f>
        <v>#N/A</v>
      </c>
      <c r="O44" s="9" t="str">
        <f>+VLOOKUP(A44,Hoja2!$A$2:$X$2596,22,FALSE)</f>
        <v>#N/A</v>
      </c>
      <c r="P44" s="9" t="str">
        <f>+VLOOKUP(A44,Hoja2!$A$2:$X$2596,23,FALSE)</f>
        <v>#N/A</v>
      </c>
      <c r="Q44" s="9" t="str">
        <f>+VLOOKUP(A44,Hoja2!$A$2:$X$2596,24,FALSE)</f>
        <v>#N/A</v>
      </c>
    </row>
    <row r="45" ht="15.75" hidden="1" customHeight="1">
      <c r="A45" s="8">
        <v>2180967.0</v>
      </c>
      <c r="B45" s="8">
        <v>200899.0</v>
      </c>
      <c r="C45" s="9" t="s">
        <v>19</v>
      </c>
      <c r="D45" s="8">
        <v>3.0</v>
      </c>
      <c r="E45" s="8">
        <v>3.0</v>
      </c>
      <c r="F45" s="8">
        <v>0.0</v>
      </c>
      <c r="G45" s="9" t="s">
        <v>18</v>
      </c>
      <c r="H45" s="10">
        <v>45374.466596527775</v>
      </c>
      <c r="I45" s="10">
        <v>45579.36950914352</v>
      </c>
      <c r="J45" s="8">
        <v>205.0</v>
      </c>
      <c r="K45" s="11">
        <v>5758040.18</v>
      </c>
      <c r="L45" s="8" t="str">
        <f>+VLOOKUP(A45,Hoja2!$A$2:$X$2596,19,FALSE)</f>
        <v>#N/A</v>
      </c>
      <c r="M45" s="9" t="str">
        <f>+VLOOKUP(A45,Hoja2!$A$2:$X$2596,15,FALSE)</f>
        <v>#N/A</v>
      </c>
      <c r="N45" s="9" t="str">
        <f>+VLOOKUP(A45,Hoja2!$A$2:$X$2596,17,FALSE)</f>
        <v>#N/A</v>
      </c>
      <c r="O45" s="9" t="str">
        <f>+VLOOKUP(A45,Hoja2!$A$2:$X$2596,22,FALSE)</f>
        <v>#N/A</v>
      </c>
      <c r="P45" s="9" t="str">
        <f>+VLOOKUP(A45,Hoja2!$A$2:$X$2596,23,FALSE)</f>
        <v>#N/A</v>
      </c>
      <c r="Q45" s="9" t="str">
        <f>+VLOOKUP(A45,Hoja2!$A$2:$X$2596,24,FALSE)</f>
        <v>#N/A</v>
      </c>
    </row>
    <row r="46" ht="15.75" hidden="1" customHeight="1">
      <c r="A46" s="8">
        <v>2180967.0</v>
      </c>
      <c r="B46" s="8">
        <v>200899.0</v>
      </c>
      <c r="C46" s="9" t="s">
        <v>19</v>
      </c>
      <c r="D46" s="8">
        <v>4.0</v>
      </c>
      <c r="E46" s="8">
        <v>0.0</v>
      </c>
      <c r="F46" s="8">
        <v>0.0</v>
      </c>
      <c r="G46" s="9" t="s">
        <v>21</v>
      </c>
      <c r="H46" s="10">
        <v>45622.65911767361</v>
      </c>
      <c r="I46" s="10">
        <v>45667.74731400463</v>
      </c>
      <c r="J46" s="8">
        <v>45.0</v>
      </c>
      <c r="K46" s="11">
        <v>5758040.18</v>
      </c>
      <c r="L46" s="8" t="str">
        <f>+VLOOKUP(A46,Hoja2!$A$2:$X$2596,19,FALSE)</f>
        <v>#N/A</v>
      </c>
      <c r="M46" s="9" t="str">
        <f>+VLOOKUP(A46,Hoja2!$A$2:$X$2596,15,FALSE)</f>
        <v>#N/A</v>
      </c>
      <c r="N46" s="9" t="str">
        <f>+VLOOKUP(A46,Hoja2!$A$2:$X$2596,17,FALSE)</f>
        <v>#N/A</v>
      </c>
      <c r="O46" s="9" t="str">
        <f>+VLOOKUP(A46,Hoja2!$A$2:$X$2596,22,FALSE)</f>
        <v>#N/A</v>
      </c>
      <c r="P46" s="9" t="str">
        <f>+VLOOKUP(A46,Hoja2!$A$2:$X$2596,23,FALSE)</f>
        <v>#N/A</v>
      </c>
      <c r="Q46" s="9" t="str">
        <f>+VLOOKUP(A46,Hoja2!$A$2:$X$2596,24,FALSE)</f>
        <v>#N/A</v>
      </c>
    </row>
    <row r="47" ht="15.75" hidden="1" customHeight="1">
      <c r="A47" s="8">
        <v>2180967.0</v>
      </c>
      <c r="B47" s="8">
        <v>200899.0</v>
      </c>
      <c r="C47" s="9" t="s">
        <v>22</v>
      </c>
      <c r="D47" s="8">
        <v>4.0</v>
      </c>
      <c r="E47" s="8">
        <v>2.0</v>
      </c>
      <c r="F47" s="8">
        <v>0.0</v>
      </c>
      <c r="G47" s="9" t="s">
        <v>18</v>
      </c>
      <c r="H47" s="10">
        <v>45825.01238298611</v>
      </c>
      <c r="I47" s="10">
        <v>45891.4526596875</v>
      </c>
      <c r="J47" s="8">
        <v>66.0</v>
      </c>
      <c r="K47" s="11">
        <v>5758040.18</v>
      </c>
      <c r="L47" s="8" t="str">
        <f>+VLOOKUP(A47,Hoja2!$A$2:$X$2596,19,FALSE)</f>
        <v>#N/A</v>
      </c>
      <c r="M47" s="9" t="str">
        <f>+VLOOKUP(A47,Hoja2!$A$2:$X$2596,15,FALSE)</f>
        <v>#N/A</v>
      </c>
      <c r="N47" s="9" t="str">
        <f>+VLOOKUP(A47,Hoja2!$A$2:$X$2596,17,FALSE)</f>
        <v>#N/A</v>
      </c>
      <c r="O47" s="9" t="str">
        <f>+VLOOKUP(A47,Hoja2!$A$2:$X$2596,22,FALSE)</f>
        <v>#N/A</v>
      </c>
      <c r="P47" s="9" t="str">
        <f>+VLOOKUP(A47,Hoja2!$A$2:$X$2596,23,FALSE)</f>
        <v>#N/A</v>
      </c>
      <c r="Q47" s="9" t="str">
        <f>+VLOOKUP(A47,Hoja2!$A$2:$X$2596,24,FALSE)</f>
        <v>#N/A</v>
      </c>
    </row>
    <row r="48" ht="15.75" hidden="1" customHeight="1">
      <c r="A48" s="8">
        <v>2190237.0</v>
      </c>
      <c r="B48" s="8">
        <v>205184.0</v>
      </c>
      <c r="C48" s="9" t="s">
        <v>19</v>
      </c>
      <c r="D48" s="8">
        <v>4.0</v>
      </c>
      <c r="E48" s="8">
        <v>0.0</v>
      </c>
      <c r="F48" s="8">
        <v>0.0</v>
      </c>
      <c r="G48" s="9" t="s">
        <v>21</v>
      </c>
      <c r="H48" s="10">
        <v>44504.50116261574</v>
      </c>
      <c r="I48" s="10">
        <v>44575.491243020835</v>
      </c>
      <c r="J48" s="8">
        <v>71.0</v>
      </c>
      <c r="K48" s="11">
        <v>1.2433765249E8</v>
      </c>
      <c r="L48" s="8" t="str">
        <f>+VLOOKUP(A48,Hoja2!$A$2:$X$2596,19,FALSE)</f>
        <v>#N/A</v>
      </c>
      <c r="M48" s="9" t="str">
        <f>+VLOOKUP(A48,Hoja2!$A$2:$X$2596,15,FALSE)</f>
        <v>#N/A</v>
      </c>
      <c r="N48" s="9" t="str">
        <f>+VLOOKUP(A48,Hoja2!$A$2:$X$2596,17,FALSE)</f>
        <v>#N/A</v>
      </c>
      <c r="O48" s="9" t="str">
        <f>+VLOOKUP(A48,Hoja2!$A$2:$X$2596,22,FALSE)</f>
        <v>#N/A</v>
      </c>
      <c r="P48" s="9" t="str">
        <f>+VLOOKUP(A48,Hoja2!$A$2:$X$2596,23,FALSE)</f>
        <v>#N/A</v>
      </c>
      <c r="Q48" s="9" t="str">
        <f>+VLOOKUP(A48,Hoja2!$A$2:$X$2596,24,FALSE)</f>
        <v>#N/A</v>
      </c>
    </row>
    <row r="49" ht="15.75" hidden="1" customHeight="1">
      <c r="A49" s="8">
        <v>2190237.0</v>
      </c>
      <c r="B49" s="8">
        <v>205184.0</v>
      </c>
      <c r="C49" s="9" t="s">
        <v>17</v>
      </c>
      <c r="D49" s="8">
        <v>2.0</v>
      </c>
      <c r="E49" s="8">
        <v>0.0</v>
      </c>
      <c r="F49" s="8">
        <v>0.0</v>
      </c>
      <c r="G49" s="9" t="s">
        <v>21</v>
      </c>
      <c r="H49" s="10">
        <v>44713.69151241898</v>
      </c>
      <c r="I49" s="10">
        <v>44729.69785015046</v>
      </c>
      <c r="J49" s="8">
        <v>16.0</v>
      </c>
      <c r="K49" s="11">
        <v>1.2433765249E8</v>
      </c>
      <c r="L49" s="8" t="str">
        <f>+VLOOKUP(A49,Hoja2!$A$2:$X$2596,19,FALSE)</f>
        <v>#N/A</v>
      </c>
      <c r="M49" s="9" t="str">
        <f>+VLOOKUP(A49,Hoja2!$A$2:$X$2596,15,FALSE)</f>
        <v>#N/A</v>
      </c>
      <c r="N49" s="9" t="str">
        <f>+VLOOKUP(A49,Hoja2!$A$2:$X$2596,17,FALSE)</f>
        <v>#N/A</v>
      </c>
      <c r="O49" s="9" t="str">
        <f>+VLOOKUP(A49,Hoja2!$A$2:$X$2596,22,FALSE)</f>
        <v>#N/A</v>
      </c>
      <c r="P49" s="9" t="str">
        <f>+VLOOKUP(A49,Hoja2!$A$2:$X$2596,23,FALSE)</f>
        <v>#N/A</v>
      </c>
      <c r="Q49" s="9" t="str">
        <f>+VLOOKUP(A49,Hoja2!$A$2:$X$2596,24,FALSE)</f>
        <v>#N/A</v>
      </c>
    </row>
    <row r="50" ht="15.75" hidden="1" customHeight="1">
      <c r="A50" s="8">
        <v>2190237.0</v>
      </c>
      <c r="B50" s="8">
        <v>205184.0</v>
      </c>
      <c r="C50" s="9" t="s">
        <v>19</v>
      </c>
      <c r="D50" s="8">
        <v>4.0</v>
      </c>
      <c r="E50" s="8">
        <v>1.0</v>
      </c>
      <c r="F50" s="8">
        <v>0.0</v>
      </c>
      <c r="G50" s="9" t="s">
        <v>18</v>
      </c>
      <c r="H50" s="10">
        <v>44801.68569537037</v>
      </c>
      <c r="I50" s="10">
        <v>44924.474050729164</v>
      </c>
      <c r="J50" s="8">
        <v>123.0</v>
      </c>
      <c r="K50" s="11">
        <v>1.2433765249E8</v>
      </c>
      <c r="L50" s="8" t="str">
        <f>+VLOOKUP(A50,Hoja2!$A$2:$X$2596,19,FALSE)</f>
        <v>#N/A</v>
      </c>
      <c r="M50" s="9" t="str">
        <f>+VLOOKUP(A50,Hoja2!$A$2:$X$2596,15,FALSE)</f>
        <v>#N/A</v>
      </c>
      <c r="N50" s="9" t="str">
        <f>+VLOOKUP(A50,Hoja2!$A$2:$X$2596,17,FALSE)</f>
        <v>#N/A</v>
      </c>
      <c r="O50" s="9" t="str">
        <f>+VLOOKUP(A50,Hoja2!$A$2:$X$2596,22,FALSE)</f>
        <v>#N/A</v>
      </c>
      <c r="P50" s="9" t="str">
        <f>+VLOOKUP(A50,Hoja2!$A$2:$X$2596,23,FALSE)</f>
        <v>#N/A</v>
      </c>
      <c r="Q50" s="9" t="str">
        <f>+VLOOKUP(A50,Hoja2!$A$2:$X$2596,24,FALSE)</f>
        <v>#N/A</v>
      </c>
    </row>
    <row r="51" ht="15.75" hidden="1" customHeight="1">
      <c r="A51" s="8">
        <v>2190237.0</v>
      </c>
      <c r="B51" s="8">
        <v>205184.0</v>
      </c>
      <c r="C51" s="9" t="s">
        <v>19</v>
      </c>
      <c r="D51" s="8">
        <v>5.0</v>
      </c>
      <c r="E51" s="8">
        <v>0.0</v>
      </c>
      <c r="F51" s="8">
        <v>0.0</v>
      </c>
      <c r="G51" s="9" t="s">
        <v>21</v>
      </c>
      <c r="H51" s="10">
        <v>45027.409057094905</v>
      </c>
      <c r="I51" s="10">
        <v>45110.44361246528</v>
      </c>
      <c r="J51" s="8">
        <v>83.0</v>
      </c>
      <c r="K51" s="11">
        <v>1.2433765249E8</v>
      </c>
      <c r="L51" s="8" t="str">
        <f>+VLOOKUP(A51,Hoja2!$A$2:$X$2596,19,FALSE)</f>
        <v>#N/A</v>
      </c>
      <c r="M51" s="9" t="str">
        <f>+VLOOKUP(A51,Hoja2!$A$2:$X$2596,15,FALSE)</f>
        <v>#N/A</v>
      </c>
      <c r="N51" s="9" t="str">
        <f>+VLOOKUP(A51,Hoja2!$A$2:$X$2596,17,FALSE)</f>
        <v>#N/A</v>
      </c>
      <c r="O51" s="9" t="str">
        <f>+VLOOKUP(A51,Hoja2!$A$2:$X$2596,22,FALSE)</f>
        <v>#N/A</v>
      </c>
      <c r="P51" s="9" t="str">
        <f>+VLOOKUP(A51,Hoja2!$A$2:$X$2596,23,FALSE)</f>
        <v>#N/A</v>
      </c>
      <c r="Q51" s="9" t="str">
        <f>+VLOOKUP(A51,Hoja2!$A$2:$X$2596,24,FALSE)</f>
        <v>#N/A</v>
      </c>
    </row>
    <row r="52" ht="15.75" hidden="1" customHeight="1">
      <c r="A52" s="8">
        <v>2190237.0</v>
      </c>
      <c r="B52" s="8">
        <v>205184.0</v>
      </c>
      <c r="C52" s="9" t="s">
        <v>19</v>
      </c>
      <c r="D52" s="8">
        <v>4.0</v>
      </c>
      <c r="E52" s="8">
        <v>0.0</v>
      </c>
      <c r="F52" s="8">
        <v>0.0</v>
      </c>
      <c r="G52" s="9" t="s">
        <v>21</v>
      </c>
      <c r="H52" s="10">
        <v>45222.95521458334</v>
      </c>
      <c r="I52" s="10">
        <v>45317.68711681713</v>
      </c>
      <c r="J52" s="8">
        <v>95.0</v>
      </c>
      <c r="K52" s="11">
        <v>1.2433765249E8</v>
      </c>
      <c r="L52" s="8" t="str">
        <f>+VLOOKUP(A52,Hoja2!$A$2:$X$2596,19,FALSE)</f>
        <v>#N/A</v>
      </c>
      <c r="M52" s="9" t="str">
        <f>+VLOOKUP(A52,Hoja2!$A$2:$X$2596,15,FALSE)</f>
        <v>#N/A</v>
      </c>
      <c r="N52" s="9" t="str">
        <f>+VLOOKUP(A52,Hoja2!$A$2:$X$2596,17,FALSE)</f>
        <v>#N/A</v>
      </c>
      <c r="O52" s="9" t="str">
        <f>+VLOOKUP(A52,Hoja2!$A$2:$X$2596,22,FALSE)</f>
        <v>#N/A</v>
      </c>
      <c r="P52" s="9" t="str">
        <f>+VLOOKUP(A52,Hoja2!$A$2:$X$2596,23,FALSE)</f>
        <v>#N/A</v>
      </c>
      <c r="Q52" s="9" t="str">
        <f>+VLOOKUP(A52,Hoja2!$A$2:$X$2596,24,FALSE)</f>
        <v>#N/A</v>
      </c>
    </row>
    <row r="53" ht="15.75" hidden="1" customHeight="1">
      <c r="A53" s="8">
        <v>2190237.0</v>
      </c>
      <c r="B53" s="8">
        <v>205184.0</v>
      </c>
      <c r="C53" s="9" t="s">
        <v>19</v>
      </c>
      <c r="D53" s="8">
        <v>4.0</v>
      </c>
      <c r="E53" s="8">
        <v>2.0</v>
      </c>
      <c r="F53" s="8">
        <v>0.0</v>
      </c>
      <c r="G53" s="9" t="s">
        <v>18</v>
      </c>
      <c r="H53" s="10">
        <v>45393.42284244213</v>
      </c>
      <c r="I53" s="10">
        <v>45629.41823506945</v>
      </c>
      <c r="J53" s="8">
        <v>236.0</v>
      </c>
      <c r="K53" s="11">
        <v>1.2433765249E8</v>
      </c>
      <c r="L53" s="8" t="str">
        <f>+VLOOKUP(A53,Hoja2!$A$2:$X$2596,19,FALSE)</f>
        <v>#N/A</v>
      </c>
      <c r="M53" s="9" t="str">
        <f>+VLOOKUP(A53,Hoja2!$A$2:$X$2596,15,FALSE)</f>
        <v>#N/A</v>
      </c>
      <c r="N53" s="9" t="str">
        <f>+VLOOKUP(A53,Hoja2!$A$2:$X$2596,17,FALSE)</f>
        <v>#N/A</v>
      </c>
      <c r="O53" s="9" t="str">
        <f>+VLOOKUP(A53,Hoja2!$A$2:$X$2596,22,FALSE)</f>
        <v>#N/A</v>
      </c>
      <c r="P53" s="9" t="str">
        <f>+VLOOKUP(A53,Hoja2!$A$2:$X$2596,23,FALSE)</f>
        <v>#N/A</v>
      </c>
      <c r="Q53" s="9" t="str">
        <f>+VLOOKUP(A53,Hoja2!$A$2:$X$2596,24,FALSE)</f>
        <v>#N/A</v>
      </c>
    </row>
    <row r="54" ht="15.75" customHeight="1">
      <c r="A54" s="8">
        <v>2190237.0</v>
      </c>
      <c r="B54" s="8">
        <v>205184.0</v>
      </c>
      <c r="C54" s="9" t="s">
        <v>20</v>
      </c>
      <c r="D54" s="8">
        <v>3.0</v>
      </c>
      <c r="E54" s="8">
        <v>5.0</v>
      </c>
      <c r="F54" s="8">
        <v>1.0</v>
      </c>
      <c r="G54" s="9" t="s">
        <v>23</v>
      </c>
      <c r="H54" s="10">
        <v>45677.558032789355</v>
      </c>
      <c r="I54" s="10">
        <v>45888.53744267361</v>
      </c>
      <c r="J54" s="8">
        <v>211.0</v>
      </c>
      <c r="K54" s="11">
        <v>1.2433765249E8</v>
      </c>
      <c r="L54" s="8" t="str">
        <f>+VLOOKUP(A54,Hoja2!$A$2:$X$2596,19,FALSE)</f>
        <v>#N/A</v>
      </c>
      <c r="M54" s="9" t="str">
        <f>+VLOOKUP(A54,Hoja2!$A$2:$X$2596,15,FALSE)</f>
        <v>#N/A</v>
      </c>
      <c r="N54" s="9" t="str">
        <f>+VLOOKUP(A54,Hoja2!$A$2:$X$2596,17,FALSE)</f>
        <v>#N/A</v>
      </c>
      <c r="O54" s="9" t="str">
        <f>+VLOOKUP(A54,Hoja2!$A$2:$X$2596,22,FALSE)</f>
        <v>#N/A</v>
      </c>
      <c r="P54" s="9" t="str">
        <f>+VLOOKUP(A54,Hoja2!$A$2:$X$2596,23,FALSE)</f>
        <v>#N/A</v>
      </c>
      <c r="Q54" s="9" t="str">
        <f>+VLOOKUP(A54,Hoja2!$A$2:$X$2596,24,FALSE)</f>
        <v>#N/A</v>
      </c>
    </row>
    <row r="55" ht="15.75" hidden="1" customHeight="1">
      <c r="A55" s="8">
        <v>2217587.0</v>
      </c>
      <c r="B55" s="8">
        <v>213437.0</v>
      </c>
      <c r="C55" s="9" t="s">
        <v>19</v>
      </c>
      <c r="D55" s="8">
        <v>3.0</v>
      </c>
      <c r="E55" s="8">
        <v>0.0</v>
      </c>
      <c r="F55" s="8">
        <v>0.0</v>
      </c>
      <c r="G55" s="9" t="s">
        <v>21</v>
      </c>
      <c r="H55" s="10">
        <v>44230.56107299768</v>
      </c>
      <c r="I55" s="10">
        <v>44242.811072303244</v>
      </c>
      <c r="J55" s="8">
        <v>12.0</v>
      </c>
      <c r="K55" s="11">
        <v>2.047882102E7</v>
      </c>
      <c r="L55" s="8" t="str">
        <f>+VLOOKUP(A55,Hoja2!$A$2:$X$2596,19,FALSE)</f>
        <v>#N/A</v>
      </c>
      <c r="M55" s="9" t="str">
        <f>+VLOOKUP(A55,Hoja2!$A$2:$X$2596,15,FALSE)</f>
        <v>#N/A</v>
      </c>
      <c r="N55" s="9" t="str">
        <f>+VLOOKUP(A55,Hoja2!$A$2:$X$2596,17,FALSE)</f>
        <v>#N/A</v>
      </c>
      <c r="O55" s="9" t="str">
        <f>+VLOOKUP(A55,Hoja2!$A$2:$X$2596,22,FALSE)</f>
        <v>#N/A</v>
      </c>
      <c r="P55" s="9" t="str">
        <f>+VLOOKUP(A55,Hoja2!$A$2:$X$2596,23,FALSE)</f>
        <v>#N/A</v>
      </c>
      <c r="Q55" s="9" t="str">
        <f>+VLOOKUP(A55,Hoja2!$A$2:$X$2596,24,FALSE)</f>
        <v>#N/A</v>
      </c>
    </row>
    <row r="56" ht="15.75" hidden="1" customHeight="1">
      <c r="A56" s="8">
        <v>2217587.0</v>
      </c>
      <c r="B56" s="8">
        <v>213437.0</v>
      </c>
      <c r="C56" s="9" t="s">
        <v>17</v>
      </c>
      <c r="D56" s="8">
        <v>3.0</v>
      </c>
      <c r="E56" s="8">
        <v>0.0</v>
      </c>
      <c r="F56" s="8">
        <v>0.0</v>
      </c>
      <c r="G56" s="9" t="s">
        <v>21</v>
      </c>
      <c r="H56" s="10">
        <v>44466.474095983795</v>
      </c>
      <c r="I56" s="10">
        <v>44469.540143784725</v>
      </c>
      <c r="J56" s="8">
        <v>3.0</v>
      </c>
      <c r="K56" s="11">
        <v>2.047882102E7</v>
      </c>
      <c r="L56" s="8" t="str">
        <f>+VLOOKUP(A56,Hoja2!$A$2:$X$2596,19,FALSE)</f>
        <v>#N/A</v>
      </c>
      <c r="M56" s="9" t="str">
        <f>+VLOOKUP(A56,Hoja2!$A$2:$X$2596,15,FALSE)</f>
        <v>#N/A</v>
      </c>
      <c r="N56" s="9" t="str">
        <f>+VLOOKUP(A56,Hoja2!$A$2:$X$2596,17,FALSE)</f>
        <v>#N/A</v>
      </c>
      <c r="O56" s="9" t="str">
        <f>+VLOOKUP(A56,Hoja2!$A$2:$X$2596,22,FALSE)</f>
        <v>#N/A</v>
      </c>
      <c r="P56" s="9" t="str">
        <f>+VLOOKUP(A56,Hoja2!$A$2:$X$2596,23,FALSE)</f>
        <v>#N/A</v>
      </c>
      <c r="Q56" s="9" t="str">
        <f>+VLOOKUP(A56,Hoja2!$A$2:$X$2596,24,FALSE)</f>
        <v>#N/A</v>
      </c>
    </row>
    <row r="57" ht="15.75" hidden="1" customHeight="1">
      <c r="A57" s="8">
        <v>2217587.0</v>
      </c>
      <c r="B57" s="8">
        <v>213437.0</v>
      </c>
      <c r="C57" s="9" t="s">
        <v>19</v>
      </c>
      <c r="D57" s="8">
        <v>4.0</v>
      </c>
      <c r="E57" s="8">
        <v>0.0</v>
      </c>
      <c r="F57" s="8">
        <v>0.0</v>
      </c>
      <c r="G57" s="9" t="s">
        <v>21</v>
      </c>
      <c r="H57" s="10">
        <v>44587.77563267361</v>
      </c>
      <c r="I57" s="10">
        <v>44629.69441539352</v>
      </c>
      <c r="J57" s="8">
        <v>42.0</v>
      </c>
      <c r="K57" s="11">
        <v>2.047882102E7</v>
      </c>
      <c r="L57" s="8" t="str">
        <f>+VLOOKUP(A57,Hoja2!$A$2:$X$2596,19,FALSE)</f>
        <v>#N/A</v>
      </c>
      <c r="M57" s="9" t="str">
        <f>+VLOOKUP(A57,Hoja2!$A$2:$X$2596,15,FALSE)</f>
        <v>#N/A</v>
      </c>
      <c r="N57" s="9" t="str">
        <f>+VLOOKUP(A57,Hoja2!$A$2:$X$2596,17,FALSE)</f>
        <v>#N/A</v>
      </c>
      <c r="O57" s="9" t="str">
        <f>+VLOOKUP(A57,Hoja2!$A$2:$X$2596,22,FALSE)</f>
        <v>#N/A</v>
      </c>
      <c r="P57" s="9" t="str">
        <f>+VLOOKUP(A57,Hoja2!$A$2:$X$2596,23,FALSE)</f>
        <v>#N/A</v>
      </c>
      <c r="Q57" s="9" t="str">
        <f>+VLOOKUP(A57,Hoja2!$A$2:$X$2596,24,FALSE)</f>
        <v>#N/A</v>
      </c>
    </row>
    <row r="58" ht="15.75" hidden="1" customHeight="1">
      <c r="A58" s="8">
        <v>2217587.0</v>
      </c>
      <c r="B58" s="8">
        <v>213437.0</v>
      </c>
      <c r="C58" s="9" t="s">
        <v>17</v>
      </c>
      <c r="D58" s="8">
        <v>3.0</v>
      </c>
      <c r="E58" s="8">
        <v>0.0</v>
      </c>
      <c r="F58" s="8">
        <v>0.0</v>
      </c>
      <c r="G58" s="9" t="s">
        <v>21</v>
      </c>
      <c r="H58" s="10">
        <v>44715.876279131946</v>
      </c>
      <c r="I58" s="10">
        <v>44726.529041898146</v>
      </c>
      <c r="J58" s="8">
        <v>11.0</v>
      </c>
      <c r="K58" s="11">
        <v>2.047882102E7</v>
      </c>
      <c r="L58" s="8" t="str">
        <f>+VLOOKUP(A58,Hoja2!$A$2:$X$2596,19,FALSE)</f>
        <v>#N/A</v>
      </c>
      <c r="M58" s="9" t="str">
        <f>+VLOOKUP(A58,Hoja2!$A$2:$X$2596,15,FALSE)</f>
        <v>#N/A</v>
      </c>
      <c r="N58" s="9" t="str">
        <f>+VLOOKUP(A58,Hoja2!$A$2:$X$2596,17,FALSE)</f>
        <v>#N/A</v>
      </c>
      <c r="O58" s="9" t="str">
        <f>+VLOOKUP(A58,Hoja2!$A$2:$X$2596,22,FALSE)</f>
        <v>#N/A</v>
      </c>
      <c r="P58" s="9" t="str">
        <f>+VLOOKUP(A58,Hoja2!$A$2:$X$2596,23,FALSE)</f>
        <v>#N/A</v>
      </c>
      <c r="Q58" s="9" t="str">
        <f>+VLOOKUP(A58,Hoja2!$A$2:$X$2596,24,FALSE)</f>
        <v>#N/A</v>
      </c>
    </row>
    <row r="59" ht="15.75" hidden="1" customHeight="1">
      <c r="A59" s="8">
        <v>2217587.0</v>
      </c>
      <c r="B59" s="8">
        <v>213437.0</v>
      </c>
      <c r="C59" s="9" t="s">
        <v>17</v>
      </c>
      <c r="D59" s="8">
        <v>3.0</v>
      </c>
      <c r="E59" s="8">
        <v>0.0</v>
      </c>
      <c r="F59" s="8">
        <v>0.0</v>
      </c>
      <c r="G59" s="9" t="s">
        <v>21</v>
      </c>
      <c r="H59" s="10">
        <v>44903.44955952546</v>
      </c>
      <c r="I59" s="10">
        <v>44911.7199912037</v>
      </c>
      <c r="J59" s="8">
        <v>8.0</v>
      </c>
      <c r="K59" s="11">
        <v>2.047882102E7</v>
      </c>
      <c r="L59" s="8" t="str">
        <f>+VLOOKUP(A59,Hoja2!$A$2:$X$2596,19,FALSE)</f>
        <v>#N/A</v>
      </c>
      <c r="M59" s="9" t="str">
        <f>+VLOOKUP(A59,Hoja2!$A$2:$X$2596,15,FALSE)</f>
        <v>#N/A</v>
      </c>
      <c r="N59" s="9" t="str">
        <f>+VLOOKUP(A59,Hoja2!$A$2:$X$2596,17,FALSE)</f>
        <v>#N/A</v>
      </c>
      <c r="O59" s="9" t="str">
        <f>+VLOOKUP(A59,Hoja2!$A$2:$X$2596,22,FALSE)</f>
        <v>#N/A</v>
      </c>
      <c r="P59" s="9" t="str">
        <f>+VLOOKUP(A59,Hoja2!$A$2:$X$2596,23,FALSE)</f>
        <v>#N/A</v>
      </c>
      <c r="Q59" s="9" t="str">
        <f>+VLOOKUP(A59,Hoja2!$A$2:$X$2596,24,FALSE)</f>
        <v>#N/A</v>
      </c>
    </row>
    <row r="60" ht="15.75" hidden="1" customHeight="1">
      <c r="A60" s="8">
        <v>2217587.0</v>
      </c>
      <c r="B60" s="8">
        <v>213437.0</v>
      </c>
      <c r="C60" s="9" t="s">
        <v>17</v>
      </c>
      <c r="D60" s="8">
        <v>3.0</v>
      </c>
      <c r="E60" s="8">
        <v>0.0</v>
      </c>
      <c r="F60" s="8">
        <v>0.0</v>
      </c>
      <c r="G60" s="9" t="s">
        <v>21</v>
      </c>
      <c r="H60" s="10">
        <v>45155.36162241898</v>
      </c>
      <c r="I60" s="10">
        <v>45163.67226168981</v>
      </c>
      <c r="J60" s="8">
        <v>8.0</v>
      </c>
      <c r="K60" s="11">
        <v>2.047882102E7</v>
      </c>
      <c r="L60" s="8" t="str">
        <f>+VLOOKUP(A60,Hoja2!$A$2:$X$2596,19,FALSE)</f>
        <v>#N/A</v>
      </c>
      <c r="M60" s="9" t="str">
        <f>+VLOOKUP(A60,Hoja2!$A$2:$X$2596,15,FALSE)</f>
        <v>#N/A</v>
      </c>
      <c r="N60" s="9" t="str">
        <f>+VLOOKUP(A60,Hoja2!$A$2:$X$2596,17,FALSE)</f>
        <v>#N/A</v>
      </c>
      <c r="O60" s="9" t="str">
        <f>+VLOOKUP(A60,Hoja2!$A$2:$X$2596,22,FALSE)</f>
        <v>#N/A</v>
      </c>
      <c r="P60" s="9" t="str">
        <f>+VLOOKUP(A60,Hoja2!$A$2:$X$2596,23,FALSE)</f>
        <v>#N/A</v>
      </c>
      <c r="Q60" s="9" t="str">
        <f>+VLOOKUP(A60,Hoja2!$A$2:$X$2596,24,FALSE)</f>
        <v>#N/A</v>
      </c>
    </row>
    <row r="61" ht="15.75" hidden="1" customHeight="1">
      <c r="A61" s="8">
        <v>2224626.0</v>
      </c>
      <c r="B61" s="8">
        <v>217230.0</v>
      </c>
      <c r="C61" s="9" t="s">
        <v>19</v>
      </c>
      <c r="D61" s="8">
        <v>6.0</v>
      </c>
      <c r="E61" s="8">
        <v>0.0</v>
      </c>
      <c r="F61" s="8">
        <v>0.0</v>
      </c>
      <c r="G61" s="9" t="s">
        <v>21</v>
      </c>
      <c r="H61" s="10">
        <v>44242.303927280096</v>
      </c>
      <c r="I61" s="10">
        <v>44350.68692083333</v>
      </c>
      <c r="J61" s="8">
        <v>108.0</v>
      </c>
      <c r="K61" s="11">
        <v>9393882.12</v>
      </c>
      <c r="L61" s="8" t="str">
        <f>+VLOOKUP(A61,Hoja2!$A$2:$X$2596,19,FALSE)</f>
        <v>#N/A</v>
      </c>
      <c r="M61" s="9" t="str">
        <f>+VLOOKUP(A61,Hoja2!$A$2:$X$2596,15,FALSE)</f>
        <v>#N/A</v>
      </c>
      <c r="N61" s="9" t="str">
        <f>+VLOOKUP(A61,Hoja2!$A$2:$X$2596,17,FALSE)</f>
        <v>#N/A</v>
      </c>
      <c r="O61" s="9" t="str">
        <f>+VLOOKUP(A61,Hoja2!$A$2:$X$2596,22,FALSE)</f>
        <v>#N/A</v>
      </c>
      <c r="P61" s="9" t="str">
        <f>+VLOOKUP(A61,Hoja2!$A$2:$X$2596,23,FALSE)</f>
        <v>#N/A</v>
      </c>
      <c r="Q61" s="9" t="str">
        <f>+VLOOKUP(A61,Hoja2!$A$2:$X$2596,24,FALSE)</f>
        <v>#N/A</v>
      </c>
    </row>
    <row r="62" ht="15.75" hidden="1" customHeight="1">
      <c r="A62" s="8">
        <v>2224626.0</v>
      </c>
      <c r="B62" s="8">
        <v>217230.0</v>
      </c>
      <c r="C62" s="9" t="s">
        <v>19</v>
      </c>
      <c r="D62" s="8">
        <v>2.0</v>
      </c>
      <c r="E62" s="8">
        <v>3.0</v>
      </c>
      <c r="F62" s="8">
        <v>0.0</v>
      </c>
      <c r="G62" s="9" t="s">
        <v>18</v>
      </c>
      <c r="H62" s="10">
        <v>44473.92776427083</v>
      </c>
      <c r="I62" s="10">
        <v>44614.61523206018</v>
      </c>
      <c r="J62" s="8">
        <v>141.0</v>
      </c>
      <c r="K62" s="11">
        <v>9393882.12</v>
      </c>
      <c r="L62" s="8" t="str">
        <f>+VLOOKUP(A62,Hoja2!$A$2:$X$2596,19,FALSE)</f>
        <v>#N/A</v>
      </c>
      <c r="M62" s="9" t="str">
        <f>+VLOOKUP(A62,Hoja2!$A$2:$X$2596,15,FALSE)</f>
        <v>#N/A</v>
      </c>
      <c r="N62" s="9" t="str">
        <f>+VLOOKUP(A62,Hoja2!$A$2:$X$2596,17,FALSE)</f>
        <v>#N/A</v>
      </c>
      <c r="O62" s="9" t="str">
        <f>+VLOOKUP(A62,Hoja2!$A$2:$X$2596,22,FALSE)</f>
        <v>#N/A</v>
      </c>
      <c r="P62" s="9" t="str">
        <f>+VLOOKUP(A62,Hoja2!$A$2:$X$2596,23,FALSE)</f>
        <v>#N/A</v>
      </c>
      <c r="Q62" s="9" t="str">
        <f>+VLOOKUP(A62,Hoja2!$A$2:$X$2596,24,FALSE)</f>
        <v>#N/A</v>
      </c>
    </row>
    <row r="63" ht="15.75" hidden="1" customHeight="1">
      <c r="A63" s="8">
        <v>2224626.0</v>
      </c>
      <c r="B63" s="8">
        <v>217230.0</v>
      </c>
      <c r="C63" s="9" t="s">
        <v>19</v>
      </c>
      <c r="D63" s="8">
        <v>3.0</v>
      </c>
      <c r="E63" s="8">
        <v>1.0</v>
      </c>
      <c r="F63" s="8">
        <v>0.0</v>
      </c>
      <c r="G63" s="9" t="s">
        <v>18</v>
      </c>
      <c r="H63" s="10">
        <v>44707.28968715278</v>
      </c>
      <c r="I63" s="10">
        <v>44771.691308946756</v>
      </c>
      <c r="J63" s="8">
        <v>64.0</v>
      </c>
      <c r="K63" s="11">
        <v>9393882.12</v>
      </c>
      <c r="L63" s="8" t="str">
        <f>+VLOOKUP(A63,Hoja2!$A$2:$X$2596,19,FALSE)</f>
        <v>#N/A</v>
      </c>
      <c r="M63" s="9" t="str">
        <f>+VLOOKUP(A63,Hoja2!$A$2:$X$2596,15,FALSE)</f>
        <v>#N/A</v>
      </c>
      <c r="N63" s="9" t="str">
        <f>+VLOOKUP(A63,Hoja2!$A$2:$X$2596,17,FALSE)</f>
        <v>#N/A</v>
      </c>
      <c r="O63" s="9" t="str">
        <f>+VLOOKUP(A63,Hoja2!$A$2:$X$2596,22,FALSE)</f>
        <v>#N/A</v>
      </c>
      <c r="P63" s="9" t="str">
        <f>+VLOOKUP(A63,Hoja2!$A$2:$X$2596,23,FALSE)</f>
        <v>#N/A</v>
      </c>
      <c r="Q63" s="9" t="str">
        <f>+VLOOKUP(A63,Hoja2!$A$2:$X$2596,24,FALSE)</f>
        <v>#N/A</v>
      </c>
    </row>
    <row r="64" ht="15.75" hidden="1" customHeight="1">
      <c r="A64" s="8">
        <v>2175949.0</v>
      </c>
      <c r="B64" s="8">
        <v>230114.0</v>
      </c>
      <c r="C64" s="9" t="s">
        <v>19</v>
      </c>
      <c r="D64" s="8">
        <v>3.0</v>
      </c>
      <c r="E64" s="8">
        <v>4.0</v>
      </c>
      <c r="F64" s="8">
        <v>0.0</v>
      </c>
      <c r="G64" s="9" t="s">
        <v>18</v>
      </c>
      <c r="H64" s="10">
        <v>44485.670781712965</v>
      </c>
      <c r="I64" s="10">
        <v>44652.6767628125</v>
      </c>
      <c r="J64" s="8">
        <v>167.0</v>
      </c>
      <c r="K64" s="11">
        <v>7011884.07</v>
      </c>
      <c r="L64" s="8" t="str">
        <f>+VLOOKUP(A64,Hoja2!$A$2:$X$2596,19,FALSE)</f>
        <v>Concluido</v>
      </c>
      <c r="M64" s="9">
        <f>+VLOOKUP(A64,Hoja2!$A$2:$X$2596,15,FALSE)</f>
        <v>5377342.2</v>
      </c>
      <c r="N64" s="9">
        <f>+VLOOKUP(A64,Hoja2!$A$2:$X$2596,17,FALSE)</f>
        <v>192566.96</v>
      </c>
      <c r="O64" s="9" t="str">
        <f>+VLOOKUP(A64,Hoja2!$A$2:$X$2596,22,FALSE)</f>
        <v/>
      </c>
      <c r="P64" s="9" t="str">
        <f>+VLOOKUP(A64,Hoja2!$A$2:$X$2596,23,FALSE)</f>
        <v/>
      </c>
      <c r="Q64" s="9" t="str">
        <f>+VLOOKUP(A64,Hoja2!$A$2:$X$2596,24,FALSE)</f>
        <v/>
      </c>
    </row>
    <row r="65" ht="15.75" customHeight="1">
      <c r="A65" s="8">
        <v>2175949.0</v>
      </c>
      <c r="B65" s="8">
        <v>230114.0</v>
      </c>
      <c r="C65" s="9" t="s">
        <v>20</v>
      </c>
      <c r="D65" s="8">
        <v>2.0</v>
      </c>
      <c r="E65" s="8">
        <v>2.0</v>
      </c>
      <c r="F65" s="8">
        <v>0.0</v>
      </c>
      <c r="G65" s="9" t="s">
        <v>18</v>
      </c>
      <c r="H65" s="10">
        <v>44678.11756369213</v>
      </c>
      <c r="I65" s="10">
        <v>44796.645608645835</v>
      </c>
      <c r="J65" s="8">
        <v>118.0</v>
      </c>
      <c r="K65" s="11">
        <v>7011884.07</v>
      </c>
      <c r="L65" s="8" t="str">
        <f>+VLOOKUP(A65,Hoja2!$A$2:$X$2596,19,FALSE)</f>
        <v>Concluido</v>
      </c>
      <c r="M65" s="9">
        <f>+VLOOKUP(A65,Hoja2!$A$2:$X$2596,15,FALSE)</f>
        <v>5377342.2</v>
      </c>
      <c r="N65" s="9">
        <f>+VLOOKUP(A65,Hoja2!$A$2:$X$2596,17,FALSE)</f>
        <v>192566.96</v>
      </c>
      <c r="O65" s="9" t="str">
        <f>+VLOOKUP(A65,Hoja2!$A$2:$X$2596,22,FALSE)</f>
        <v/>
      </c>
      <c r="P65" s="9" t="str">
        <f>+VLOOKUP(A65,Hoja2!$A$2:$X$2596,23,FALSE)</f>
        <v/>
      </c>
      <c r="Q65" s="9" t="str">
        <f>+VLOOKUP(A65,Hoja2!$A$2:$X$2596,24,FALSE)</f>
        <v/>
      </c>
    </row>
    <row r="66" ht="15.75" hidden="1" customHeight="1">
      <c r="A66" s="8">
        <v>2226019.0</v>
      </c>
      <c r="B66" s="8">
        <v>232359.0</v>
      </c>
      <c r="C66" s="9" t="s">
        <v>19</v>
      </c>
      <c r="D66" s="8">
        <v>2.0</v>
      </c>
      <c r="E66" s="8">
        <v>0.0</v>
      </c>
      <c r="F66" s="8">
        <v>0.0</v>
      </c>
      <c r="G66" s="9" t="s">
        <v>21</v>
      </c>
      <c r="H66" s="10">
        <v>44264.39619788194</v>
      </c>
      <c r="I66" s="10">
        <v>44278.457401886575</v>
      </c>
      <c r="J66" s="8">
        <v>14.0</v>
      </c>
      <c r="K66" s="11">
        <v>7975890.0</v>
      </c>
      <c r="L66" s="8" t="str">
        <f>+VLOOKUP(A66,Hoja2!$A$2:$X$2596,19,FALSE)</f>
        <v>#N/A</v>
      </c>
      <c r="M66" s="9" t="str">
        <f>+VLOOKUP(A66,Hoja2!$A$2:$X$2596,15,FALSE)</f>
        <v>#N/A</v>
      </c>
      <c r="N66" s="9" t="str">
        <f>+VLOOKUP(A66,Hoja2!$A$2:$X$2596,17,FALSE)</f>
        <v>#N/A</v>
      </c>
      <c r="O66" s="9" t="str">
        <f>+VLOOKUP(A66,Hoja2!$A$2:$X$2596,22,FALSE)</f>
        <v>#N/A</v>
      </c>
      <c r="P66" s="9" t="str">
        <f>+VLOOKUP(A66,Hoja2!$A$2:$X$2596,23,FALSE)</f>
        <v>#N/A</v>
      </c>
      <c r="Q66" s="9" t="str">
        <f>+VLOOKUP(A66,Hoja2!$A$2:$X$2596,24,FALSE)</f>
        <v>#N/A</v>
      </c>
    </row>
    <row r="67" ht="15.75" hidden="1" customHeight="1">
      <c r="A67" s="8">
        <v>2226019.0</v>
      </c>
      <c r="B67" s="8">
        <v>232359.0</v>
      </c>
      <c r="C67" s="9" t="s">
        <v>17</v>
      </c>
      <c r="D67" s="8">
        <v>3.0</v>
      </c>
      <c r="E67" s="8">
        <v>0.0</v>
      </c>
      <c r="F67" s="8">
        <v>0.0</v>
      </c>
      <c r="G67" s="9" t="s">
        <v>21</v>
      </c>
      <c r="H67" s="10">
        <v>44384.319338657406</v>
      </c>
      <c r="I67" s="10">
        <v>44396.46395601852</v>
      </c>
      <c r="J67" s="8">
        <v>12.0</v>
      </c>
      <c r="K67" s="11">
        <v>7975890.0</v>
      </c>
      <c r="L67" s="8" t="str">
        <f>+VLOOKUP(A67,Hoja2!$A$2:$X$2596,19,FALSE)</f>
        <v>#N/A</v>
      </c>
      <c r="M67" s="9" t="str">
        <f>+VLOOKUP(A67,Hoja2!$A$2:$X$2596,15,FALSE)</f>
        <v>#N/A</v>
      </c>
      <c r="N67" s="9" t="str">
        <f>+VLOOKUP(A67,Hoja2!$A$2:$X$2596,17,FALSE)</f>
        <v>#N/A</v>
      </c>
      <c r="O67" s="9" t="str">
        <f>+VLOOKUP(A67,Hoja2!$A$2:$X$2596,22,FALSE)</f>
        <v>#N/A</v>
      </c>
      <c r="P67" s="9" t="str">
        <f>+VLOOKUP(A67,Hoja2!$A$2:$X$2596,23,FALSE)</f>
        <v>#N/A</v>
      </c>
      <c r="Q67" s="9" t="str">
        <f>+VLOOKUP(A67,Hoja2!$A$2:$X$2596,24,FALSE)</f>
        <v>#N/A</v>
      </c>
    </row>
    <row r="68" ht="15.75" hidden="1" customHeight="1">
      <c r="A68" s="8">
        <v>2226019.0</v>
      </c>
      <c r="B68" s="8">
        <v>232359.0</v>
      </c>
      <c r="C68" s="9" t="s">
        <v>17</v>
      </c>
      <c r="D68" s="8">
        <v>3.0</v>
      </c>
      <c r="E68" s="8">
        <v>0.0</v>
      </c>
      <c r="F68" s="8">
        <v>0.0</v>
      </c>
      <c r="G68" s="9" t="s">
        <v>21</v>
      </c>
      <c r="H68" s="10">
        <v>44453.83110640047</v>
      </c>
      <c r="I68" s="10">
        <v>44463.86591774305</v>
      </c>
      <c r="J68" s="8">
        <v>10.0</v>
      </c>
      <c r="K68" s="11">
        <v>7975890.0</v>
      </c>
      <c r="L68" s="8" t="str">
        <f>+VLOOKUP(A68,Hoja2!$A$2:$X$2596,19,FALSE)</f>
        <v>#N/A</v>
      </c>
      <c r="M68" s="9" t="str">
        <f>+VLOOKUP(A68,Hoja2!$A$2:$X$2596,15,FALSE)</f>
        <v>#N/A</v>
      </c>
      <c r="N68" s="9" t="str">
        <f>+VLOOKUP(A68,Hoja2!$A$2:$X$2596,17,FALSE)</f>
        <v>#N/A</v>
      </c>
      <c r="O68" s="9" t="str">
        <f>+VLOOKUP(A68,Hoja2!$A$2:$X$2596,22,FALSE)</f>
        <v>#N/A</v>
      </c>
      <c r="P68" s="9" t="str">
        <f>+VLOOKUP(A68,Hoja2!$A$2:$X$2596,23,FALSE)</f>
        <v>#N/A</v>
      </c>
      <c r="Q68" s="9" t="str">
        <f>+VLOOKUP(A68,Hoja2!$A$2:$X$2596,24,FALSE)</f>
        <v>#N/A</v>
      </c>
    </row>
    <row r="69" ht="15.75" hidden="1" customHeight="1">
      <c r="A69" s="8">
        <v>2226019.0</v>
      </c>
      <c r="B69" s="8">
        <v>232359.0</v>
      </c>
      <c r="C69" s="9" t="s">
        <v>17</v>
      </c>
      <c r="D69" s="8">
        <v>3.0</v>
      </c>
      <c r="E69" s="8">
        <v>0.0</v>
      </c>
      <c r="F69" s="8">
        <v>0.0</v>
      </c>
      <c r="G69" s="9" t="s">
        <v>21</v>
      </c>
      <c r="H69" s="10">
        <v>44722.378603854166</v>
      </c>
      <c r="I69" s="10">
        <v>44734.509310416666</v>
      </c>
      <c r="J69" s="8">
        <v>12.0</v>
      </c>
      <c r="K69" s="11">
        <v>7975890.0</v>
      </c>
      <c r="L69" s="8" t="str">
        <f>+VLOOKUP(A69,Hoja2!$A$2:$X$2596,19,FALSE)</f>
        <v>#N/A</v>
      </c>
      <c r="M69" s="9" t="str">
        <f>+VLOOKUP(A69,Hoja2!$A$2:$X$2596,15,FALSE)</f>
        <v>#N/A</v>
      </c>
      <c r="N69" s="9" t="str">
        <f>+VLOOKUP(A69,Hoja2!$A$2:$X$2596,17,FALSE)</f>
        <v>#N/A</v>
      </c>
      <c r="O69" s="9" t="str">
        <f>+VLOOKUP(A69,Hoja2!$A$2:$X$2596,22,FALSE)</f>
        <v>#N/A</v>
      </c>
      <c r="P69" s="9" t="str">
        <f>+VLOOKUP(A69,Hoja2!$A$2:$X$2596,23,FALSE)</f>
        <v>#N/A</v>
      </c>
      <c r="Q69" s="9" t="str">
        <f>+VLOOKUP(A69,Hoja2!$A$2:$X$2596,24,FALSE)</f>
        <v>#N/A</v>
      </c>
    </row>
    <row r="70" ht="15.75" hidden="1" customHeight="1">
      <c r="A70" s="8">
        <v>2226019.0</v>
      </c>
      <c r="B70" s="8">
        <v>232359.0</v>
      </c>
      <c r="C70" s="9" t="s">
        <v>19</v>
      </c>
      <c r="D70" s="8">
        <v>1.0</v>
      </c>
      <c r="E70" s="8">
        <v>1.0</v>
      </c>
      <c r="F70" s="8">
        <v>0.0</v>
      </c>
      <c r="G70" s="9" t="s">
        <v>18</v>
      </c>
      <c r="H70" s="10">
        <v>45041.457389270836</v>
      </c>
      <c r="I70" s="10">
        <v>45082.352658020834</v>
      </c>
      <c r="J70" s="8">
        <v>41.0</v>
      </c>
      <c r="K70" s="11">
        <v>7975890.0</v>
      </c>
      <c r="L70" s="8" t="str">
        <f>+VLOOKUP(A70,Hoja2!$A$2:$X$2596,19,FALSE)</f>
        <v>#N/A</v>
      </c>
      <c r="M70" s="9" t="str">
        <f>+VLOOKUP(A70,Hoja2!$A$2:$X$2596,15,FALSE)</f>
        <v>#N/A</v>
      </c>
      <c r="N70" s="9" t="str">
        <f>+VLOOKUP(A70,Hoja2!$A$2:$X$2596,17,FALSE)</f>
        <v>#N/A</v>
      </c>
      <c r="O70" s="9" t="str">
        <f>+VLOOKUP(A70,Hoja2!$A$2:$X$2596,22,FALSE)</f>
        <v>#N/A</v>
      </c>
      <c r="P70" s="9" t="str">
        <f>+VLOOKUP(A70,Hoja2!$A$2:$X$2596,23,FALSE)</f>
        <v>#N/A</v>
      </c>
      <c r="Q70" s="9" t="str">
        <f>+VLOOKUP(A70,Hoja2!$A$2:$X$2596,24,FALSE)</f>
        <v>#N/A</v>
      </c>
    </row>
    <row r="71" ht="15.75" hidden="1" customHeight="1">
      <c r="A71" s="8">
        <v>2226019.0</v>
      </c>
      <c r="B71" s="8">
        <v>232359.0</v>
      </c>
      <c r="C71" s="9" t="s">
        <v>17</v>
      </c>
      <c r="D71" s="8">
        <v>5.0</v>
      </c>
      <c r="E71" s="8">
        <v>0.0</v>
      </c>
      <c r="F71" s="8">
        <v>0.0</v>
      </c>
      <c r="G71" s="9" t="s">
        <v>21</v>
      </c>
      <c r="H71" s="10">
        <v>45169.80744146991</v>
      </c>
      <c r="I71" s="10">
        <v>45215.41052650463</v>
      </c>
      <c r="J71" s="8">
        <v>46.0</v>
      </c>
      <c r="K71" s="11">
        <v>7975890.0</v>
      </c>
      <c r="L71" s="8" t="str">
        <f>+VLOOKUP(A71,Hoja2!$A$2:$X$2596,19,FALSE)</f>
        <v>#N/A</v>
      </c>
      <c r="M71" s="9" t="str">
        <f>+VLOOKUP(A71,Hoja2!$A$2:$X$2596,15,FALSE)</f>
        <v>#N/A</v>
      </c>
      <c r="N71" s="9" t="str">
        <f>+VLOOKUP(A71,Hoja2!$A$2:$X$2596,17,FALSE)</f>
        <v>#N/A</v>
      </c>
      <c r="O71" s="9" t="str">
        <f>+VLOOKUP(A71,Hoja2!$A$2:$X$2596,22,FALSE)</f>
        <v>#N/A</v>
      </c>
      <c r="P71" s="9" t="str">
        <f>+VLOOKUP(A71,Hoja2!$A$2:$X$2596,23,FALSE)</f>
        <v>#N/A</v>
      </c>
      <c r="Q71" s="9" t="str">
        <f>+VLOOKUP(A71,Hoja2!$A$2:$X$2596,24,FALSE)</f>
        <v>#N/A</v>
      </c>
    </row>
    <row r="72" ht="15.75" hidden="1" customHeight="1">
      <c r="A72" s="8">
        <v>2226019.0</v>
      </c>
      <c r="B72" s="8">
        <v>232359.0</v>
      </c>
      <c r="C72" s="9" t="s">
        <v>19</v>
      </c>
      <c r="D72" s="8">
        <v>2.0</v>
      </c>
      <c r="E72" s="8">
        <v>0.0</v>
      </c>
      <c r="F72" s="8">
        <v>0.0</v>
      </c>
      <c r="G72" s="9" t="s">
        <v>21</v>
      </c>
      <c r="H72" s="10">
        <v>45677.57568645833</v>
      </c>
      <c r="I72" s="10">
        <v>45680.45763503472</v>
      </c>
      <c r="J72" s="8">
        <v>3.0</v>
      </c>
      <c r="K72" s="11">
        <v>7975890.0</v>
      </c>
      <c r="L72" s="8" t="str">
        <f>+VLOOKUP(A72,Hoja2!$A$2:$X$2596,19,FALSE)</f>
        <v>#N/A</v>
      </c>
      <c r="M72" s="9" t="str">
        <f>+VLOOKUP(A72,Hoja2!$A$2:$X$2596,15,FALSE)</f>
        <v>#N/A</v>
      </c>
      <c r="N72" s="9" t="str">
        <f>+VLOOKUP(A72,Hoja2!$A$2:$X$2596,17,FALSE)</f>
        <v>#N/A</v>
      </c>
      <c r="O72" s="9" t="str">
        <f>+VLOOKUP(A72,Hoja2!$A$2:$X$2596,22,FALSE)</f>
        <v>#N/A</v>
      </c>
      <c r="P72" s="9" t="str">
        <f>+VLOOKUP(A72,Hoja2!$A$2:$X$2596,23,FALSE)</f>
        <v>#N/A</v>
      </c>
      <c r="Q72" s="9" t="str">
        <f>+VLOOKUP(A72,Hoja2!$A$2:$X$2596,24,FALSE)</f>
        <v>#N/A</v>
      </c>
    </row>
    <row r="73" ht="15.75" hidden="1" customHeight="1">
      <c r="A73" s="8">
        <v>2195474.0</v>
      </c>
      <c r="B73" s="8">
        <v>236858.0</v>
      </c>
      <c r="C73" s="9" t="s">
        <v>19</v>
      </c>
      <c r="D73" s="8">
        <v>4.0</v>
      </c>
      <c r="E73" s="8">
        <v>0.0</v>
      </c>
      <c r="F73" s="8">
        <v>0.0</v>
      </c>
      <c r="G73" s="9" t="s">
        <v>21</v>
      </c>
      <c r="H73" s="10">
        <v>45046.065322372684</v>
      </c>
      <c r="I73" s="10">
        <v>45132.74911041667</v>
      </c>
      <c r="J73" s="8">
        <v>86.0</v>
      </c>
      <c r="K73" s="11">
        <v>4.468832605E7</v>
      </c>
      <c r="L73" s="8" t="str">
        <f>+VLOOKUP(A73,Hoja2!$A$2:$X$2596,19,FALSE)</f>
        <v>#N/A</v>
      </c>
      <c r="M73" s="9" t="str">
        <f>+VLOOKUP(A73,Hoja2!$A$2:$X$2596,15,FALSE)</f>
        <v>#N/A</v>
      </c>
      <c r="N73" s="9" t="str">
        <f>+VLOOKUP(A73,Hoja2!$A$2:$X$2596,17,FALSE)</f>
        <v>#N/A</v>
      </c>
      <c r="O73" s="9" t="str">
        <f>+VLOOKUP(A73,Hoja2!$A$2:$X$2596,22,FALSE)</f>
        <v>#N/A</v>
      </c>
      <c r="P73" s="9" t="str">
        <f>+VLOOKUP(A73,Hoja2!$A$2:$X$2596,23,FALSE)</f>
        <v>#N/A</v>
      </c>
      <c r="Q73" s="9" t="str">
        <f>+VLOOKUP(A73,Hoja2!$A$2:$X$2596,24,FALSE)</f>
        <v>#N/A</v>
      </c>
    </row>
    <row r="74" ht="15.75" hidden="1" customHeight="1">
      <c r="A74" s="8">
        <v>2195474.0</v>
      </c>
      <c r="B74" s="8">
        <v>236858.0</v>
      </c>
      <c r="C74" s="9" t="s">
        <v>19</v>
      </c>
      <c r="D74" s="8">
        <v>5.0</v>
      </c>
      <c r="E74" s="8">
        <v>0.0</v>
      </c>
      <c r="F74" s="8">
        <v>0.0</v>
      </c>
      <c r="G74" s="9" t="s">
        <v>21</v>
      </c>
      <c r="H74" s="10">
        <v>45155.99921944444</v>
      </c>
      <c r="I74" s="10">
        <v>45239.5312653588</v>
      </c>
      <c r="J74" s="8">
        <v>84.0</v>
      </c>
      <c r="K74" s="11">
        <v>4.468832605E7</v>
      </c>
      <c r="L74" s="8" t="str">
        <f>+VLOOKUP(A74,Hoja2!$A$2:$X$2596,19,FALSE)</f>
        <v>#N/A</v>
      </c>
      <c r="M74" s="9" t="str">
        <f>+VLOOKUP(A74,Hoja2!$A$2:$X$2596,15,FALSE)</f>
        <v>#N/A</v>
      </c>
      <c r="N74" s="9" t="str">
        <f>+VLOOKUP(A74,Hoja2!$A$2:$X$2596,17,FALSE)</f>
        <v>#N/A</v>
      </c>
      <c r="O74" s="9" t="str">
        <f>+VLOOKUP(A74,Hoja2!$A$2:$X$2596,22,FALSE)</f>
        <v>#N/A</v>
      </c>
      <c r="P74" s="9" t="str">
        <f>+VLOOKUP(A74,Hoja2!$A$2:$X$2596,23,FALSE)</f>
        <v>#N/A</v>
      </c>
      <c r="Q74" s="9" t="str">
        <f>+VLOOKUP(A74,Hoja2!$A$2:$X$2596,24,FALSE)</f>
        <v>#N/A</v>
      </c>
    </row>
    <row r="75" ht="15.75" hidden="1" customHeight="1">
      <c r="A75" s="8">
        <v>2195474.0</v>
      </c>
      <c r="B75" s="8">
        <v>236858.0</v>
      </c>
      <c r="C75" s="9" t="s">
        <v>19</v>
      </c>
      <c r="D75" s="8">
        <v>2.0</v>
      </c>
      <c r="E75" s="8">
        <v>2.0</v>
      </c>
      <c r="F75" s="8">
        <v>0.0</v>
      </c>
      <c r="G75" s="9" t="s">
        <v>18</v>
      </c>
      <c r="H75" s="10">
        <v>45254.74970332176</v>
      </c>
      <c r="I75" s="10">
        <v>45401.756392511576</v>
      </c>
      <c r="J75" s="8">
        <v>147.0</v>
      </c>
      <c r="K75" s="11">
        <v>4.468832605E7</v>
      </c>
      <c r="L75" s="8" t="str">
        <f>+VLOOKUP(A75,Hoja2!$A$2:$X$2596,19,FALSE)</f>
        <v>#N/A</v>
      </c>
      <c r="M75" s="9" t="str">
        <f>+VLOOKUP(A75,Hoja2!$A$2:$X$2596,15,FALSE)</f>
        <v>#N/A</v>
      </c>
      <c r="N75" s="9" t="str">
        <f>+VLOOKUP(A75,Hoja2!$A$2:$X$2596,17,FALSE)</f>
        <v>#N/A</v>
      </c>
      <c r="O75" s="9" t="str">
        <f>+VLOOKUP(A75,Hoja2!$A$2:$X$2596,22,FALSE)</f>
        <v>#N/A</v>
      </c>
      <c r="P75" s="9" t="str">
        <f>+VLOOKUP(A75,Hoja2!$A$2:$X$2596,23,FALSE)</f>
        <v>#N/A</v>
      </c>
      <c r="Q75" s="9" t="str">
        <f>+VLOOKUP(A75,Hoja2!$A$2:$X$2596,24,FALSE)</f>
        <v>#N/A</v>
      </c>
    </row>
    <row r="76" ht="15.75" hidden="1" customHeight="1">
      <c r="A76" s="8">
        <v>2195474.0</v>
      </c>
      <c r="B76" s="8">
        <v>236858.0</v>
      </c>
      <c r="C76" s="9" t="s">
        <v>19</v>
      </c>
      <c r="D76" s="8">
        <v>4.0</v>
      </c>
      <c r="E76" s="8">
        <v>0.0</v>
      </c>
      <c r="F76" s="8">
        <v>0.0</v>
      </c>
      <c r="G76" s="9" t="s">
        <v>21</v>
      </c>
      <c r="H76" s="10">
        <v>45457.86998163194</v>
      </c>
      <c r="I76" s="10">
        <v>45548.72314398148</v>
      </c>
      <c r="J76" s="8">
        <v>91.0</v>
      </c>
      <c r="K76" s="11">
        <v>4.468832605E7</v>
      </c>
      <c r="L76" s="8" t="str">
        <f>+VLOOKUP(A76,Hoja2!$A$2:$X$2596,19,FALSE)</f>
        <v>#N/A</v>
      </c>
      <c r="M76" s="9" t="str">
        <f>+VLOOKUP(A76,Hoja2!$A$2:$X$2596,15,FALSE)</f>
        <v>#N/A</v>
      </c>
      <c r="N76" s="9" t="str">
        <f>+VLOOKUP(A76,Hoja2!$A$2:$X$2596,17,FALSE)</f>
        <v>#N/A</v>
      </c>
      <c r="O76" s="9" t="str">
        <f>+VLOOKUP(A76,Hoja2!$A$2:$X$2596,22,FALSE)</f>
        <v>#N/A</v>
      </c>
      <c r="P76" s="9" t="str">
        <f>+VLOOKUP(A76,Hoja2!$A$2:$X$2596,23,FALSE)</f>
        <v>#N/A</v>
      </c>
      <c r="Q76" s="9" t="str">
        <f>+VLOOKUP(A76,Hoja2!$A$2:$X$2596,24,FALSE)</f>
        <v>#N/A</v>
      </c>
    </row>
    <row r="77" ht="15.75" hidden="1" customHeight="1">
      <c r="A77" s="8">
        <v>2195474.0</v>
      </c>
      <c r="B77" s="8">
        <v>236858.0</v>
      </c>
      <c r="C77" s="9" t="s">
        <v>19</v>
      </c>
      <c r="D77" s="8">
        <v>2.0</v>
      </c>
      <c r="E77" s="8">
        <v>2.0</v>
      </c>
      <c r="F77" s="8">
        <v>0.0</v>
      </c>
      <c r="G77" s="9" t="s">
        <v>18</v>
      </c>
      <c r="H77" s="10">
        <v>45632.60877584491</v>
      </c>
      <c r="I77" s="10">
        <v>45758.561371261574</v>
      </c>
      <c r="J77" s="8">
        <v>126.0</v>
      </c>
      <c r="K77" s="11">
        <v>4.468832605E7</v>
      </c>
      <c r="L77" s="8" t="str">
        <f>+VLOOKUP(A77,Hoja2!$A$2:$X$2596,19,FALSE)</f>
        <v>#N/A</v>
      </c>
      <c r="M77" s="9" t="str">
        <f>+VLOOKUP(A77,Hoja2!$A$2:$X$2596,15,FALSE)</f>
        <v>#N/A</v>
      </c>
      <c r="N77" s="9" t="str">
        <f>+VLOOKUP(A77,Hoja2!$A$2:$X$2596,17,FALSE)</f>
        <v>#N/A</v>
      </c>
      <c r="O77" s="9" t="str">
        <f>+VLOOKUP(A77,Hoja2!$A$2:$X$2596,22,FALSE)</f>
        <v>#N/A</v>
      </c>
      <c r="P77" s="9" t="str">
        <f>+VLOOKUP(A77,Hoja2!$A$2:$X$2596,23,FALSE)</f>
        <v>#N/A</v>
      </c>
      <c r="Q77" s="9" t="str">
        <f>+VLOOKUP(A77,Hoja2!$A$2:$X$2596,24,FALSE)</f>
        <v>#N/A</v>
      </c>
    </row>
    <row r="78" ht="15.75" hidden="1" customHeight="1">
      <c r="A78" s="8">
        <v>2195474.0</v>
      </c>
      <c r="B78" s="8">
        <v>236858.0</v>
      </c>
      <c r="C78" s="9" t="s">
        <v>19</v>
      </c>
      <c r="D78" s="8">
        <v>1.0</v>
      </c>
      <c r="E78" s="8">
        <v>1.0</v>
      </c>
      <c r="F78" s="8">
        <v>0.0</v>
      </c>
      <c r="G78" s="9" t="s">
        <v>18</v>
      </c>
      <c r="H78" s="10">
        <v>45775.40074603009</v>
      </c>
      <c r="I78" s="10">
        <v>45786.52336944445</v>
      </c>
      <c r="J78" s="8">
        <v>11.0</v>
      </c>
      <c r="K78" s="11">
        <v>4.468832605E7</v>
      </c>
      <c r="L78" s="8" t="str">
        <f>+VLOOKUP(A78,Hoja2!$A$2:$X$2596,19,FALSE)</f>
        <v>#N/A</v>
      </c>
      <c r="M78" s="9" t="str">
        <f>+VLOOKUP(A78,Hoja2!$A$2:$X$2596,15,FALSE)</f>
        <v>#N/A</v>
      </c>
      <c r="N78" s="9" t="str">
        <f>+VLOOKUP(A78,Hoja2!$A$2:$X$2596,17,FALSE)</f>
        <v>#N/A</v>
      </c>
      <c r="O78" s="9" t="str">
        <f>+VLOOKUP(A78,Hoja2!$A$2:$X$2596,22,FALSE)</f>
        <v>#N/A</v>
      </c>
      <c r="P78" s="9" t="str">
        <f>+VLOOKUP(A78,Hoja2!$A$2:$X$2596,23,FALSE)</f>
        <v>#N/A</v>
      </c>
      <c r="Q78" s="9" t="str">
        <f>+VLOOKUP(A78,Hoja2!$A$2:$X$2596,24,FALSE)</f>
        <v>#N/A</v>
      </c>
    </row>
    <row r="79" ht="15.75" hidden="1" customHeight="1">
      <c r="A79" s="8">
        <v>2234976.0</v>
      </c>
      <c r="B79" s="8">
        <v>246010.0</v>
      </c>
      <c r="C79" s="9" t="s">
        <v>17</v>
      </c>
      <c r="D79" s="8">
        <v>2.0</v>
      </c>
      <c r="E79" s="8">
        <v>0.0</v>
      </c>
      <c r="F79" s="8">
        <v>0.0</v>
      </c>
      <c r="G79" s="9" t="s">
        <v>21</v>
      </c>
      <c r="H79" s="10">
        <v>44742.001190243056</v>
      </c>
      <c r="I79" s="10">
        <v>44747.5280784375</v>
      </c>
      <c r="J79" s="8">
        <v>5.0</v>
      </c>
      <c r="K79" s="11">
        <v>8734677.92</v>
      </c>
      <c r="L79" s="8" t="str">
        <f>+VLOOKUP(A79,Hoja2!$A$2:$X$2596,19,FALSE)</f>
        <v>#N/A</v>
      </c>
      <c r="M79" s="9" t="str">
        <f>+VLOOKUP(A79,Hoja2!$A$2:$X$2596,15,FALSE)</f>
        <v>#N/A</v>
      </c>
      <c r="N79" s="9" t="str">
        <f>+VLOOKUP(A79,Hoja2!$A$2:$X$2596,17,FALSE)</f>
        <v>#N/A</v>
      </c>
      <c r="O79" s="9" t="str">
        <f>+VLOOKUP(A79,Hoja2!$A$2:$X$2596,22,FALSE)</f>
        <v>#N/A</v>
      </c>
      <c r="P79" s="9" t="str">
        <f>+VLOOKUP(A79,Hoja2!$A$2:$X$2596,23,FALSE)</f>
        <v>#N/A</v>
      </c>
      <c r="Q79" s="9" t="str">
        <f>+VLOOKUP(A79,Hoja2!$A$2:$X$2596,24,FALSE)</f>
        <v>#N/A</v>
      </c>
    </row>
    <row r="80" ht="15.75" customHeight="1">
      <c r="A80" s="8">
        <v>2234976.0</v>
      </c>
      <c r="B80" s="8">
        <v>246010.0</v>
      </c>
      <c r="C80" s="9" t="s">
        <v>20</v>
      </c>
      <c r="D80" s="8">
        <v>4.0</v>
      </c>
      <c r="E80" s="8">
        <v>4.0</v>
      </c>
      <c r="F80" s="8">
        <v>0.0</v>
      </c>
      <c r="G80" s="9" t="s">
        <v>18</v>
      </c>
      <c r="H80" s="10">
        <v>45119.93460590278</v>
      </c>
      <c r="I80" s="10">
        <v>45259.45260084491</v>
      </c>
      <c r="J80" s="8">
        <v>140.0</v>
      </c>
      <c r="K80" s="11">
        <v>8734677.92</v>
      </c>
      <c r="L80" s="8" t="str">
        <f>+VLOOKUP(A80,Hoja2!$A$2:$X$2596,19,FALSE)</f>
        <v>#N/A</v>
      </c>
      <c r="M80" s="9" t="str">
        <f>+VLOOKUP(A80,Hoja2!$A$2:$X$2596,15,FALSE)</f>
        <v>#N/A</v>
      </c>
      <c r="N80" s="9" t="str">
        <f>+VLOOKUP(A80,Hoja2!$A$2:$X$2596,17,FALSE)</f>
        <v>#N/A</v>
      </c>
      <c r="O80" s="9" t="str">
        <f>+VLOOKUP(A80,Hoja2!$A$2:$X$2596,22,FALSE)</f>
        <v>#N/A</v>
      </c>
      <c r="P80" s="9" t="str">
        <f>+VLOOKUP(A80,Hoja2!$A$2:$X$2596,23,FALSE)</f>
        <v>#N/A</v>
      </c>
      <c r="Q80" s="9" t="str">
        <f>+VLOOKUP(A80,Hoja2!$A$2:$X$2596,24,FALSE)</f>
        <v>#N/A</v>
      </c>
    </row>
    <row r="81" ht="15.75" hidden="1" customHeight="1">
      <c r="A81" s="8">
        <v>2236505.0</v>
      </c>
      <c r="B81" s="8">
        <v>248976.0</v>
      </c>
      <c r="C81" s="9" t="s">
        <v>19</v>
      </c>
      <c r="D81" s="8">
        <v>4.0</v>
      </c>
      <c r="E81" s="8">
        <v>0.0</v>
      </c>
      <c r="F81" s="8">
        <v>0.0</v>
      </c>
      <c r="G81" s="9" t="s">
        <v>21</v>
      </c>
      <c r="H81" s="10">
        <v>44455.614561539354</v>
      </c>
      <c r="I81" s="10">
        <v>44522.64937295139</v>
      </c>
      <c r="J81" s="8">
        <v>67.0</v>
      </c>
      <c r="K81" s="11">
        <v>2.745847131E7</v>
      </c>
      <c r="L81" s="8" t="str">
        <f>+VLOOKUP(A81,Hoja2!$A$2:$X$2596,19,FALSE)</f>
        <v>#N/A</v>
      </c>
      <c r="M81" s="9" t="str">
        <f>+VLOOKUP(A81,Hoja2!$A$2:$X$2596,15,FALSE)</f>
        <v>#N/A</v>
      </c>
      <c r="N81" s="9" t="str">
        <f>+VLOOKUP(A81,Hoja2!$A$2:$X$2596,17,FALSE)</f>
        <v>#N/A</v>
      </c>
      <c r="O81" s="9" t="str">
        <f>+VLOOKUP(A81,Hoja2!$A$2:$X$2596,22,FALSE)</f>
        <v>#N/A</v>
      </c>
      <c r="P81" s="9" t="str">
        <f>+VLOOKUP(A81,Hoja2!$A$2:$X$2596,23,FALSE)</f>
        <v>#N/A</v>
      </c>
      <c r="Q81" s="9" t="str">
        <f>+VLOOKUP(A81,Hoja2!$A$2:$X$2596,24,FALSE)</f>
        <v>#N/A</v>
      </c>
    </row>
    <row r="82" ht="15.75" hidden="1" customHeight="1">
      <c r="A82" s="8">
        <v>2236505.0</v>
      </c>
      <c r="B82" s="8">
        <v>248976.0</v>
      </c>
      <c r="C82" s="9" t="s">
        <v>17</v>
      </c>
      <c r="D82" s="8">
        <v>3.0</v>
      </c>
      <c r="E82" s="8">
        <v>0.0</v>
      </c>
      <c r="F82" s="8">
        <v>0.0</v>
      </c>
      <c r="G82" s="9" t="s">
        <v>21</v>
      </c>
      <c r="H82" s="10">
        <v>44546.89781056713</v>
      </c>
      <c r="I82" s="10">
        <v>44567.58189008102</v>
      </c>
      <c r="J82" s="8">
        <v>21.0</v>
      </c>
      <c r="K82" s="11">
        <v>2.745847131E7</v>
      </c>
      <c r="L82" s="8" t="str">
        <f>+VLOOKUP(A82,Hoja2!$A$2:$X$2596,19,FALSE)</f>
        <v>#N/A</v>
      </c>
      <c r="M82" s="9" t="str">
        <f>+VLOOKUP(A82,Hoja2!$A$2:$X$2596,15,FALSE)</f>
        <v>#N/A</v>
      </c>
      <c r="N82" s="9" t="str">
        <f>+VLOOKUP(A82,Hoja2!$A$2:$X$2596,17,FALSE)</f>
        <v>#N/A</v>
      </c>
      <c r="O82" s="9" t="str">
        <f>+VLOOKUP(A82,Hoja2!$A$2:$X$2596,22,FALSE)</f>
        <v>#N/A</v>
      </c>
      <c r="P82" s="9" t="str">
        <f>+VLOOKUP(A82,Hoja2!$A$2:$X$2596,23,FALSE)</f>
        <v>#N/A</v>
      </c>
      <c r="Q82" s="9" t="str">
        <f>+VLOOKUP(A82,Hoja2!$A$2:$X$2596,24,FALSE)</f>
        <v>#N/A</v>
      </c>
    </row>
    <row r="83" ht="15.75" hidden="1" customHeight="1">
      <c r="A83" s="8">
        <v>2236505.0</v>
      </c>
      <c r="B83" s="8">
        <v>248976.0</v>
      </c>
      <c r="C83" s="9" t="s">
        <v>17</v>
      </c>
      <c r="D83" s="8">
        <v>2.0</v>
      </c>
      <c r="E83" s="8">
        <v>0.0</v>
      </c>
      <c r="F83" s="8">
        <v>0.0</v>
      </c>
      <c r="G83" s="9" t="s">
        <v>21</v>
      </c>
      <c r="H83" s="10">
        <v>44627.633967361115</v>
      </c>
      <c r="I83" s="10">
        <v>44635.65031203704</v>
      </c>
      <c r="J83" s="8">
        <v>8.0</v>
      </c>
      <c r="K83" s="11">
        <v>2.745847131E7</v>
      </c>
      <c r="L83" s="8" t="str">
        <f>+VLOOKUP(A83,Hoja2!$A$2:$X$2596,19,FALSE)</f>
        <v>#N/A</v>
      </c>
      <c r="M83" s="9" t="str">
        <f>+VLOOKUP(A83,Hoja2!$A$2:$X$2596,15,FALSE)</f>
        <v>#N/A</v>
      </c>
      <c r="N83" s="9" t="str">
        <f>+VLOOKUP(A83,Hoja2!$A$2:$X$2596,17,FALSE)</f>
        <v>#N/A</v>
      </c>
      <c r="O83" s="9" t="str">
        <f>+VLOOKUP(A83,Hoja2!$A$2:$X$2596,22,FALSE)</f>
        <v>#N/A</v>
      </c>
      <c r="P83" s="9" t="str">
        <f>+VLOOKUP(A83,Hoja2!$A$2:$X$2596,23,FALSE)</f>
        <v>#N/A</v>
      </c>
      <c r="Q83" s="9" t="str">
        <f>+VLOOKUP(A83,Hoja2!$A$2:$X$2596,24,FALSE)</f>
        <v>#N/A</v>
      </c>
    </row>
    <row r="84" ht="15.75" hidden="1" customHeight="1">
      <c r="A84" s="8">
        <v>2236505.0</v>
      </c>
      <c r="B84" s="8">
        <v>248976.0</v>
      </c>
      <c r="C84" s="9" t="s">
        <v>19</v>
      </c>
      <c r="D84" s="8">
        <v>1.0</v>
      </c>
      <c r="E84" s="8">
        <v>1.0</v>
      </c>
      <c r="F84" s="8">
        <v>0.0</v>
      </c>
      <c r="G84" s="9" t="s">
        <v>18</v>
      </c>
      <c r="H84" s="10">
        <v>44748.578627662035</v>
      </c>
      <c r="I84" s="10">
        <v>44757.630080324074</v>
      </c>
      <c r="J84" s="8">
        <v>9.0</v>
      </c>
      <c r="K84" s="11">
        <v>2.745847131E7</v>
      </c>
      <c r="L84" s="8" t="str">
        <f>+VLOOKUP(A84,Hoja2!$A$2:$X$2596,19,FALSE)</f>
        <v>#N/A</v>
      </c>
      <c r="M84" s="9" t="str">
        <f>+VLOOKUP(A84,Hoja2!$A$2:$X$2596,15,FALSE)</f>
        <v>#N/A</v>
      </c>
      <c r="N84" s="9" t="str">
        <f>+VLOOKUP(A84,Hoja2!$A$2:$X$2596,17,FALSE)</f>
        <v>#N/A</v>
      </c>
      <c r="O84" s="9" t="str">
        <f>+VLOOKUP(A84,Hoja2!$A$2:$X$2596,22,FALSE)</f>
        <v>#N/A</v>
      </c>
      <c r="P84" s="9" t="str">
        <f>+VLOOKUP(A84,Hoja2!$A$2:$X$2596,23,FALSE)</f>
        <v>#N/A</v>
      </c>
      <c r="Q84" s="9" t="str">
        <f>+VLOOKUP(A84,Hoja2!$A$2:$X$2596,24,FALSE)</f>
        <v>#N/A</v>
      </c>
    </row>
    <row r="85" ht="15.75" hidden="1" customHeight="1">
      <c r="A85" s="8">
        <v>2236505.0</v>
      </c>
      <c r="B85" s="8">
        <v>248976.0</v>
      </c>
      <c r="C85" s="9" t="s">
        <v>19</v>
      </c>
      <c r="D85" s="8">
        <v>6.0</v>
      </c>
      <c r="E85" s="8">
        <v>0.0</v>
      </c>
      <c r="F85" s="8">
        <v>0.0</v>
      </c>
      <c r="G85" s="9" t="s">
        <v>21</v>
      </c>
      <c r="H85" s="10">
        <v>45604.553059872684</v>
      </c>
      <c r="I85" s="10">
        <v>45776.517005787035</v>
      </c>
      <c r="J85" s="8">
        <v>172.0</v>
      </c>
      <c r="K85" s="11">
        <v>2.745847131E7</v>
      </c>
      <c r="L85" s="8" t="str">
        <f>+VLOOKUP(A85,Hoja2!$A$2:$X$2596,19,FALSE)</f>
        <v>#N/A</v>
      </c>
      <c r="M85" s="9" t="str">
        <f>+VLOOKUP(A85,Hoja2!$A$2:$X$2596,15,FALSE)</f>
        <v>#N/A</v>
      </c>
      <c r="N85" s="9" t="str">
        <f>+VLOOKUP(A85,Hoja2!$A$2:$X$2596,17,FALSE)</f>
        <v>#N/A</v>
      </c>
      <c r="O85" s="9" t="str">
        <f>+VLOOKUP(A85,Hoja2!$A$2:$X$2596,22,FALSE)</f>
        <v>#N/A</v>
      </c>
      <c r="P85" s="9" t="str">
        <f>+VLOOKUP(A85,Hoja2!$A$2:$X$2596,23,FALSE)</f>
        <v>#N/A</v>
      </c>
      <c r="Q85" s="9" t="str">
        <f>+VLOOKUP(A85,Hoja2!$A$2:$X$2596,24,FALSE)</f>
        <v>#N/A</v>
      </c>
    </row>
    <row r="86" ht="15.75" hidden="1" customHeight="1">
      <c r="A86" s="8">
        <v>2236505.0</v>
      </c>
      <c r="B86" s="8">
        <v>248976.0</v>
      </c>
      <c r="C86" s="9" t="s">
        <v>19</v>
      </c>
      <c r="D86" s="8">
        <v>2.0</v>
      </c>
      <c r="E86" s="8">
        <v>1.0</v>
      </c>
      <c r="F86" s="8">
        <v>0.0</v>
      </c>
      <c r="G86" s="9" t="s">
        <v>18</v>
      </c>
      <c r="H86" s="10">
        <v>45783.485404479165</v>
      </c>
      <c r="I86" s="10">
        <v>45820.71584366898</v>
      </c>
      <c r="J86" s="8">
        <v>37.0</v>
      </c>
      <c r="K86" s="11">
        <v>2.745847131E7</v>
      </c>
      <c r="L86" s="8" t="str">
        <f>+VLOOKUP(A86,Hoja2!$A$2:$X$2596,19,FALSE)</f>
        <v>#N/A</v>
      </c>
      <c r="M86" s="9" t="str">
        <f>+VLOOKUP(A86,Hoja2!$A$2:$X$2596,15,FALSE)</f>
        <v>#N/A</v>
      </c>
      <c r="N86" s="9" t="str">
        <f>+VLOOKUP(A86,Hoja2!$A$2:$X$2596,17,FALSE)</f>
        <v>#N/A</v>
      </c>
      <c r="O86" s="9" t="str">
        <f>+VLOOKUP(A86,Hoja2!$A$2:$X$2596,22,FALSE)</f>
        <v>#N/A</v>
      </c>
      <c r="P86" s="9" t="str">
        <f>+VLOOKUP(A86,Hoja2!$A$2:$X$2596,23,FALSE)</f>
        <v>#N/A</v>
      </c>
      <c r="Q86" s="9" t="str">
        <f>+VLOOKUP(A86,Hoja2!$A$2:$X$2596,24,FALSE)</f>
        <v>#N/A</v>
      </c>
    </row>
    <row r="87" ht="15.75" hidden="1" customHeight="1">
      <c r="A87" s="8">
        <v>2324616.0</v>
      </c>
      <c r="B87" s="8">
        <v>253871.0</v>
      </c>
      <c r="C87" s="9" t="s">
        <v>17</v>
      </c>
      <c r="D87" s="8">
        <v>2.0</v>
      </c>
      <c r="E87" s="8">
        <v>0.0</v>
      </c>
      <c r="F87" s="8">
        <v>0.0</v>
      </c>
      <c r="G87" s="9" t="s">
        <v>21</v>
      </c>
      <c r="H87" s="10">
        <v>44382.146586574076</v>
      </c>
      <c r="I87" s="10">
        <v>44391.50513877315</v>
      </c>
      <c r="J87" s="8">
        <v>9.0</v>
      </c>
      <c r="K87" s="11">
        <v>1.74180508E8</v>
      </c>
      <c r="L87" s="8" t="str">
        <f>+VLOOKUP(A87,Hoja2!$A$2:$X$2596,19,FALSE)</f>
        <v>#N/A</v>
      </c>
      <c r="M87" s="9" t="str">
        <f>+VLOOKUP(A87,Hoja2!$A$2:$X$2596,15,FALSE)</f>
        <v>#N/A</v>
      </c>
      <c r="N87" s="9" t="str">
        <f>+VLOOKUP(A87,Hoja2!$A$2:$X$2596,17,FALSE)</f>
        <v>#N/A</v>
      </c>
      <c r="O87" s="9" t="str">
        <f>+VLOOKUP(A87,Hoja2!$A$2:$X$2596,22,FALSE)</f>
        <v>#N/A</v>
      </c>
      <c r="P87" s="9" t="str">
        <f>+VLOOKUP(A87,Hoja2!$A$2:$X$2596,23,FALSE)</f>
        <v>#N/A</v>
      </c>
      <c r="Q87" s="9" t="str">
        <f>+VLOOKUP(A87,Hoja2!$A$2:$X$2596,24,FALSE)</f>
        <v>#N/A</v>
      </c>
    </row>
    <row r="88" ht="15.75" hidden="1" customHeight="1">
      <c r="A88" s="8">
        <v>2324616.0</v>
      </c>
      <c r="B88" s="8">
        <v>253871.0</v>
      </c>
      <c r="C88" s="9" t="s">
        <v>17</v>
      </c>
      <c r="D88" s="8">
        <v>4.0</v>
      </c>
      <c r="E88" s="8">
        <v>1.0</v>
      </c>
      <c r="F88" s="8">
        <v>0.0</v>
      </c>
      <c r="G88" s="9" t="s">
        <v>18</v>
      </c>
      <c r="H88" s="10">
        <v>44519.338328125</v>
      </c>
      <c r="I88" s="10">
        <v>44613.44017847222</v>
      </c>
      <c r="J88" s="8">
        <v>94.0</v>
      </c>
      <c r="K88" s="11">
        <v>1.74180508E8</v>
      </c>
      <c r="L88" s="8" t="str">
        <f>+VLOOKUP(A88,Hoja2!$A$2:$X$2596,19,FALSE)</f>
        <v>#N/A</v>
      </c>
      <c r="M88" s="9" t="str">
        <f>+VLOOKUP(A88,Hoja2!$A$2:$X$2596,15,FALSE)</f>
        <v>#N/A</v>
      </c>
      <c r="N88" s="9" t="str">
        <f>+VLOOKUP(A88,Hoja2!$A$2:$X$2596,17,FALSE)</f>
        <v>#N/A</v>
      </c>
      <c r="O88" s="9" t="str">
        <f>+VLOOKUP(A88,Hoja2!$A$2:$X$2596,22,FALSE)</f>
        <v>#N/A</v>
      </c>
      <c r="P88" s="9" t="str">
        <f>+VLOOKUP(A88,Hoja2!$A$2:$X$2596,23,FALSE)</f>
        <v>#N/A</v>
      </c>
      <c r="Q88" s="9" t="str">
        <f>+VLOOKUP(A88,Hoja2!$A$2:$X$2596,24,FALSE)</f>
        <v>#N/A</v>
      </c>
    </row>
    <row r="89" ht="15.75" hidden="1" customHeight="1">
      <c r="A89" s="8">
        <v>2252048.0</v>
      </c>
      <c r="B89" s="8">
        <v>263923.0</v>
      </c>
      <c r="C89" s="9" t="s">
        <v>19</v>
      </c>
      <c r="D89" s="8">
        <v>4.0</v>
      </c>
      <c r="E89" s="8">
        <v>0.0</v>
      </c>
      <c r="F89" s="8">
        <v>0.0</v>
      </c>
      <c r="G89" s="9" t="s">
        <v>21</v>
      </c>
      <c r="H89" s="10">
        <v>44468.491464004626</v>
      </c>
      <c r="I89" s="10">
        <v>44504.55278445602</v>
      </c>
      <c r="J89" s="8">
        <v>36.0</v>
      </c>
      <c r="K89" s="11">
        <v>3916939.08</v>
      </c>
      <c r="L89" s="8" t="str">
        <f>+VLOOKUP(A89,Hoja2!$A$2:$X$2596,19,FALSE)</f>
        <v>Convenio y/o Contrato Resuelto</v>
      </c>
      <c r="M89" s="9">
        <f>+VLOOKUP(A89,Hoja2!$A$2:$X$2596,15,FALSE)</f>
        <v>8022716.1</v>
      </c>
      <c r="N89" s="9">
        <f>+VLOOKUP(A89,Hoja2!$A$2:$X$2596,17,FALSE)</f>
        <v>423000</v>
      </c>
      <c r="O89" s="9" t="str">
        <f>+VLOOKUP(A89,Hoja2!$A$2:$X$2596,22,FALSE)</f>
        <v/>
      </c>
      <c r="P89" s="9" t="str">
        <f>+VLOOKUP(A89,Hoja2!$A$2:$X$2596,23,FALSE)</f>
        <v/>
      </c>
      <c r="Q89" s="9" t="str">
        <f>+VLOOKUP(A89,Hoja2!$A$2:$X$2596,24,FALSE)</f>
        <v/>
      </c>
    </row>
    <row r="90" ht="15.75" hidden="1" customHeight="1">
      <c r="A90" s="8">
        <v>2252048.0</v>
      </c>
      <c r="B90" s="8">
        <v>263923.0</v>
      </c>
      <c r="C90" s="9" t="s">
        <v>17</v>
      </c>
      <c r="D90" s="8">
        <v>1.0</v>
      </c>
      <c r="E90" s="8">
        <v>1.0</v>
      </c>
      <c r="F90" s="8">
        <v>0.0</v>
      </c>
      <c r="G90" s="9" t="s">
        <v>18</v>
      </c>
      <c r="H90" s="10">
        <v>44558.733503738425</v>
      </c>
      <c r="I90" s="10">
        <v>44573.88006782407</v>
      </c>
      <c r="J90" s="8">
        <v>15.0</v>
      </c>
      <c r="K90" s="11">
        <v>3916939.08</v>
      </c>
      <c r="L90" s="8" t="str">
        <f>+VLOOKUP(A90,Hoja2!$A$2:$X$2596,19,FALSE)</f>
        <v>Convenio y/o Contrato Resuelto</v>
      </c>
      <c r="M90" s="9">
        <f>+VLOOKUP(A90,Hoja2!$A$2:$X$2596,15,FALSE)</f>
        <v>8022716.1</v>
      </c>
      <c r="N90" s="9">
        <f>+VLOOKUP(A90,Hoja2!$A$2:$X$2596,17,FALSE)</f>
        <v>423000</v>
      </c>
      <c r="O90" s="9" t="str">
        <f>+VLOOKUP(A90,Hoja2!$A$2:$X$2596,22,FALSE)</f>
        <v/>
      </c>
      <c r="P90" s="9" t="str">
        <f>+VLOOKUP(A90,Hoja2!$A$2:$X$2596,23,FALSE)</f>
        <v/>
      </c>
      <c r="Q90" s="9" t="str">
        <f>+VLOOKUP(A90,Hoja2!$A$2:$X$2596,24,FALSE)</f>
        <v/>
      </c>
    </row>
    <row r="91" ht="15.75" customHeight="1">
      <c r="A91" s="8">
        <v>2252048.0</v>
      </c>
      <c r="B91" s="8">
        <v>263923.0</v>
      </c>
      <c r="C91" s="9" t="s">
        <v>20</v>
      </c>
      <c r="D91" s="8">
        <v>1.0</v>
      </c>
      <c r="E91" s="8">
        <v>5.0</v>
      </c>
      <c r="F91" s="8">
        <v>0.0</v>
      </c>
      <c r="G91" s="9" t="s">
        <v>18</v>
      </c>
      <c r="H91" s="10">
        <v>44648.53850447917</v>
      </c>
      <c r="I91" s="10">
        <v>44704.48900420139</v>
      </c>
      <c r="J91" s="8">
        <v>56.0</v>
      </c>
      <c r="K91" s="11">
        <v>3916939.08</v>
      </c>
      <c r="L91" s="8" t="str">
        <f>+VLOOKUP(A91,Hoja2!$A$2:$X$2596,19,FALSE)</f>
        <v>Convenio y/o Contrato Resuelto</v>
      </c>
      <c r="M91" s="9">
        <f>+VLOOKUP(A91,Hoja2!$A$2:$X$2596,15,FALSE)</f>
        <v>8022716.1</v>
      </c>
      <c r="N91" s="9">
        <f>+VLOOKUP(A91,Hoja2!$A$2:$X$2596,17,FALSE)</f>
        <v>423000</v>
      </c>
      <c r="O91" s="9" t="str">
        <f>+VLOOKUP(A91,Hoja2!$A$2:$X$2596,22,FALSE)</f>
        <v/>
      </c>
      <c r="P91" s="9" t="str">
        <f>+VLOOKUP(A91,Hoja2!$A$2:$X$2596,23,FALSE)</f>
        <v/>
      </c>
      <c r="Q91" s="9" t="str">
        <f>+VLOOKUP(A91,Hoja2!$A$2:$X$2596,24,FALSE)</f>
        <v/>
      </c>
    </row>
    <row r="92" ht="15.75" hidden="1" customHeight="1">
      <c r="A92" s="8">
        <v>2192164.0</v>
      </c>
      <c r="B92" s="8">
        <v>265702.0</v>
      </c>
      <c r="C92" s="9" t="s">
        <v>19</v>
      </c>
      <c r="D92" s="8">
        <v>2.0</v>
      </c>
      <c r="E92" s="8">
        <v>7.0</v>
      </c>
      <c r="F92" s="8">
        <v>0.0</v>
      </c>
      <c r="G92" s="9" t="s">
        <v>18</v>
      </c>
      <c r="H92" s="10">
        <v>44385.63635972222</v>
      </c>
      <c r="I92" s="10">
        <v>44497.68255841435</v>
      </c>
      <c r="J92" s="8">
        <v>112.0</v>
      </c>
      <c r="K92" s="11">
        <v>4181946.77</v>
      </c>
      <c r="L92" s="8" t="str">
        <f>+VLOOKUP(A92,Hoja2!$A$2:$X$2596,19,FALSE)</f>
        <v>En Ejecución</v>
      </c>
      <c r="M92" s="9">
        <f>+VLOOKUP(A92,Hoja2!$A$2:$X$2596,15,FALSE)</f>
        <v>8740291.9</v>
      </c>
      <c r="N92" s="9">
        <f>+VLOOKUP(A92,Hoja2!$A$2:$X$2596,17,FALSE)</f>
        <v>419790</v>
      </c>
      <c r="O92" s="9" t="str">
        <f>+VLOOKUP(A92,Hoja2!$A$2:$X$2596,22,FALSE)</f>
        <v/>
      </c>
      <c r="P92" s="9" t="str">
        <f>+VLOOKUP(A92,Hoja2!$A$2:$X$2596,23,FALSE)</f>
        <v/>
      </c>
      <c r="Q92" s="9" t="str">
        <f>+VLOOKUP(A92,Hoja2!$A$2:$X$2596,24,FALSE)</f>
        <v/>
      </c>
    </row>
    <row r="93" ht="15.75" customHeight="1">
      <c r="A93" s="8">
        <v>2192164.0</v>
      </c>
      <c r="B93" s="8">
        <v>265702.0</v>
      </c>
      <c r="C93" s="9" t="s">
        <v>20</v>
      </c>
      <c r="D93" s="8">
        <v>1.0</v>
      </c>
      <c r="E93" s="8">
        <v>3.0</v>
      </c>
      <c r="F93" s="8">
        <v>0.0</v>
      </c>
      <c r="G93" s="9" t="s">
        <v>18</v>
      </c>
      <c r="H93" s="10">
        <v>44498.41271172454</v>
      </c>
      <c r="I93" s="10">
        <v>44551.887275960646</v>
      </c>
      <c r="J93" s="8">
        <v>53.0</v>
      </c>
      <c r="K93" s="11">
        <v>4181946.77</v>
      </c>
      <c r="L93" s="8" t="str">
        <f>+VLOOKUP(A93,Hoja2!$A$2:$X$2596,19,FALSE)</f>
        <v>En Ejecución</v>
      </c>
      <c r="M93" s="9">
        <f>+VLOOKUP(A93,Hoja2!$A$2:$X$2596,15,FALSE)</f>
        <v>8740291.9</v>
      </c>
      <c r="N93" s="9">
        <f>+VLOOKUP(A93,Hoja2!$A$2:$X$2596,17,FALSE)</f>
        <v>419790</v>
      </c>
      <c r="O93" s="9" t="str">
        <f>+VLOOKUP(A93,Hoja2!$A$2:$X$2596,22,FALSE)</f>
        <v/>
      </c>
      <c r="P93" s="9" t="str">
        <f>+VLOOKUP(A93,Hoja2!$A$2:$X$2596,23,FALSE)</f>
        <v/>
      </c>
      <c r="Q93" s="9" t="str">
        <f>+VLOOKUP(A93,Hoja2!$A$2:$X$2596,24,FALSE)</f>
        <v/>
      </c>
    </row>
    <row r="94" ht="15.75" hidden="1" customHeight="1">
      <c r="A94" s="8">
        <v>2189368.0</v>
      </c>
      <c r="B94" s="8">
        <v>272406.0</v>
      </c>
      <c r="C94" s="9" t="s">
        <v>17</v>
      </c>
      <c r="D94" s="8">
        <v>1.0</v>
      </c>
      <c r="E94" s="8">
        <v>0.0</v>
      </c>
      <c r="F94" s="8">
        <v>0.0</v>
      </c>
      <c r="G94" s="9" t="s">
        <v>21</v>
      </c>
      <c r="H94" s="10">
        <v>45145.34783935185</v>
      </c>
      <c r="I94" s="10">
        <v>45145.34783935185</v>
      </c>
      <c r="J94" s="8">
        <v>0.0</v>
      </c>
      <c r="K94" s="11">
        <v>1985075.13</v>
      </c>
      <c r="L94" s="8" t="str">
        <f>+VLOOKUP(A94,Hoja2!$A$2:$X$2596,19,FALSE)</f>
        <v>#N/A</v>
      </c>
      <c r="M94" s="9" t="str">
        <f>+VLOOKUP(A94,Hoja2!$A$2:$X$2596,15,FALSE)</f>
        <v>#N/A</v>
      </c>
      <c r="N94" s="9" t="str">
        <f>+VLOOKUP(A94,Hoja2!$A$2:$X$2596,17,FALSE)</f>
        <v>#N/A</v>
      </c>
      <c r="O94" s="9" t="str">
        <f>+VLOOKUP(A94,Hoja2!$A$2:$X$2596,22,FALSE)</f>
        <v>#N/A</v>
      </c>
      <c r="P94" s="9" t="str">
        <f>+VLOOKUP(A94,Hoja2!$A$2:$X$2596,23,FALSE)</f>
        <v>#N/A</v>
      </c>
      <c r="Q94" s="9" t="str">
        <f>+VLOOKUP(A94,Hoja2!$A$2:$X$2596,24,FALSE)</f>
        <v>#N/A</v>
      </c>
    </row>
    <row r="95" ht="15.75" hidden="1" customHeight="1">
      <c r="A95" s="8">
        <v>2189368.0</v>
      </c>
      <c r="B95" s="8">
        <v>272406.0</v>
      </c>
      <c r="C95" s="9" t="s">
        <v>19</v>
      </c>
      <c r="D95" s="8">
        <v>3.0</v>
      </c>
      <c r="E95" s="8">
        <v>2.0</v>
      </c>
      <c r="F95" s="8">
        <v>0.0</v>
      </c>
      <c r="G95" s="9" t="s">
        <v>18</v>
      </c>
      <c r="H95" s="10">
        <v>45160.65746018518</v>
      </c>
      <c r="I95" s="10">
        <v>45226.66662662037</v>
      </c>
      <c r="J95" s="8">
        <v>66.0</v>
      </c>
      <c r="K95" s="11">
        <v>1985075.13</v>
      </c>
      <c r="L95" s="8" t="str">
        <f>+VLOOKUP(A95,Hoja2!$A$2:$X$2596,19,FALSE)</f>
        <v>#N/A</v>
      </c>
      <c r="M95" s="9" t="str">
        <f>+VLOOKUP(A95,Hoja2!$A$2:$X$2596,15,FALSE)</f>
        <v>#N/A</v>
      </c>
      <c r="N95" s="9" t="str">
        <f>+VLOOKUP(A95,Hoja2!$A$2:$X$2596,17,FALSE)</f>
        <v>#N/A</v>
      </c>
      <c r="O95" s="9" t="str">
        <f>+VLOOKUP(A95,Hoja2!$A$2:$X$2596,22,FALSE)</f>
        <v>#N/A</v>
      </c>
      <c r="P95" s="9" t="str">
        <f>+VLOOKUP(A95,Hoja2!$A$2:$X$2596,23,FALSE)</f>
        <v>#N/A</v>
      </c>
      <c r="Q95" s="9" t="str">
        <f>+VLOOKUP(A95,Hoja2!$A$2:$X$2596,24,FALSE)</f>
        <v>#N/A</v>
      </c>
    </row>
    <row r="96" ht="15.75" hidden="1" customHeight="1">
      <c r="A96" s="8">
        <v>2192357.0</v>
      </c>
      <c r="B96" s="8">
        <v>273962.0</v>
      </c>
      <c r="C96" s="9" t="s">
        <v>17</v>
      </c>
      <c r="D96" s="8">
        <v>2.0</v>
      </c>
      <c r="E96" s="8">
        <v>0.0</v>
      </c>
      <c r="F96" s="8">
        <v>0.0</v>
      </c>
      <c r="G96" s="9" t="s">
        <v>21</v>
      </c>
      <c r="H96" s="10">
        <v>44662.505495219906</v>
      </c>
      <c r="I96" s="10">
        <v>44677.89004475695</v>
      </c>
      <c r="J96" s="8">
        <v>15.0</v>
      </c>
      <c r="K96" s="11">
        <v>5746488.53</v>
      </c>
      <c r="L96" s="8" t="str">
        <f>+VLOOKUP(A96,Hoja2!$A$2:$X$2596,19,FALSE)</f>
        <v>#N/A</v>
      </c>
      <c r="M96" s="9" t="str">
        <f>+VLOOKUP(A96,Hoja2!$A$2:$X$2596,15,FALSE)</f>
        <v>#N/A</v>
      </c>
      <c r="N96" s="9" t="str">
        <f>+VLOOKUP(A96,Hoja2!$A$2:$X$2596,17,FALSE)</f>
        <v>#N/A</v>
      </c>
      <c r="O96" s="9" t="str">
        <f>+VLOOKUP(A96,Hoja2!$A$2:$X$2596,22,FALSE)</f>
        <v>#N/A</v>
      </c>
      <c r="P96" s="9" t="str">
        <f>+VLOOKUP(A96,Hoja2!$A$2:$X$2596,23,FALSE)</f>
        <v>#N/A</v>
      </c>
      <c r="Q96" s="9" t="str">
        <f>+VLOOKUP(A96,Hoja2!$A$2:$X$2596,24,FALSE)</f>
        <v>#N/A</v>
      </c>
    </row>
    <row r="97" ht="15.75" hidden="1" customHeight="1">
      <c r="A97" s="8">
        <v>2322316.0</v>
      </c>
      <c r="B97" s="8">
        <v>274625.0</v>
      </c>
      <c r="C97" s="9" t="s">
        <v>19</v>
      </c>
      <c r="D97" s="8">
        <v>8.0</v>
      </c>
      <c r="E97" s="8">
        <v>0.0</v>
      </c>
      <c r="F97" s="8">
        <v>0.0</v>
      </c>
      <c r="G97" s="9" t="s">
        <v>21</v>
      </c>
      <c r="H97" s="10">
        <v>44448.49230413194</v>
      </c>
      <c r="I97" s="10">
        <v>44529.654311377315</v>
      </c>
      <c r="J97" s="8">
        <v>81.0</v>
      </c>
      <c r="K97" s="11">
        <v>1.622156928E7</v>
      </c>
      <c r="L97" s="8" t="str">
        <f>+VLOOKUP(A97,Hoja2!$A$2:$X$2596,19,FALSE)</f>
        <v>#N/A</v>
      </c>
      <c r="M97" s="9" t="str">
        <f>+VLOOKUP(A97,Hoja2!$A$2:$X$2596,15,FALSE)</f>
        <v>#N/A</v>
      </c>
      <c r="N97" s="9" t="str">
        <f>+VLOOKUP(A97,Hoja2!$A$2:$X$2596,17,FALSE)</f>
        <v>#N/A</v>
      </c>
      <c r="O97" s="9" t="str">
        <f>+VLOOKUP(A97,Hoja2!$A$2:$X$2596,22,FALSE)</f>
        <v>#N/A</v>
      </c>
      <c r="P97" s="9" t="str">
        <f>+VLOOKUP(A97,Hoja2!$A$2:$X$2596,23,FALSE)</f>
        <v>#N/A</v>
      </c>
      <c r="Q97" s="9" t="str">
        <f>+VLOOKUP(A97,Hoja2!$A$2:$X$2596,24,FALSE)</f>
        <v>#N/A</v>
      </c>
    </row>
    <row r="98" ht="15.75" hidden="1" customHeight="1">
      <c r="A98" s="8">
        <v>2322316.0</v>
      </c>
      <c r="B98" s="8">
        <v>274625.0</v>
      </c>
      <c r="C98" s="9" t="s">
        <v>19</v>
      </c>
      <c r="D98" s="8">
        <v>5.0</v>
      </c>
      <c r="E98" s="8">
        <v>0.0</v>
      </c>
      <c r="F98" s="8">
        <v>0.0</v>
      </c>
      <c r="G98" s="9" t="s">
        <v>21</v>
      </c>
      <c r="H98" s="10">
        <v>44671.724952743054</v>
      </c>
      <c r="I98" s="10">
        <v>44757.38443726852</v>
      </c>
      <c r="J98" s="8">
        <v>86.0</v>
      </c>
      <c r="K98" s="11">
        <v>1.622156928E7</v>
      </c>
      <c r="L98" s="8" t="str">
        <f>+VLOOKUP(A98,Hoja2!$A$2:$X$2596,19,FALSE)</f>
        <v>#N/A</v>
      </c>
      <c r="M98" s="9" t="str">
        <f>+VLOOKUP(A98,Hoja2!$A$2:$X$2596,15,FALSE)</f>
        <v>#N/A</v>
      </c>
      <c r="N98" s="9" t="str">
        <f>+VLOOKUP(A98,Hoja2!$A$2:$X$2596,17,FALSE)</f>
        <v>#N/A</v>
      </c>
      <c r="O98" s="9" t="str">
        <f>+VLOOKUP(A98,Hoja2!$A$2:$X$2596,22,FALSE)</f>
        <v>#N/A</v>
      </c>
      <c r="P98" s="9" t="str">
        <f>+VLOOKUP(A98,Hoja2!$A$2:$X$2596,23,FALSE)</f>
        <v>#N/A</v>
      </c>
      <c r="Q98" s="9" t="str">
        <f>+VLOOKUP(A98,Hoja2!$A$2:$X$2596,24,FALSE)</f>
        <v>#N/A</v>
      </c>
    </row>
    <row r="99" ht="15.75" hidden="1" customHeight="1">
      <c r="A99" s="8">
        <v>2241574.0</v>
      </c>
      <c r="B99" s="8">
        <v>282095.0</v>
      </c>
      <c r="C99" s="9" t="s">
        <v>19</v>
      </c>
      <c r="D99" s="8">
        <v>5.0</v>
      </c>
      <c r="E99" s="8">
        <v>0.0</v>
      </c>
      <c r="F99" s="8">
        <v>0.0</v>
      </c>
      <c r="G99" s="9" t="s">
        <v>21</v>
      </c>
      <c r="H99" s="10">
        <v>45426.39809375</v>
      </c>
      <c r="I99" s="10">
        <v>45531.35039788194</v>
      </c>
      <c r="J99" s="8">
        <v>105.0</v>
      </c>
      <c r="K99" s="11">
        <v>1.997731028E7</v>
      </c>
      <c r="L99" s="8" t="str">
        <f>+VLOOKUP(A99,Hoja2!$A$2:$X$2596,19,FALSE)</f>
        <v>#N/A</v>
      </c>
      <c r="M99" s="9" t="str">
        <f>+VLOOKUP(A99,Hoja2!$A$2:$X$2596,15,FALSE)</f>
        <v>#N/A</v>
      </c>
      <c r="N99" s="9" t="str">
        <f>+VLOOKUP(A99,Hoja2!$A$2:$X$2596,17,FALSE)</f>
        <v>#N/A</v>
      </c>
      <c r="O99" s="9" t="str">
        <f>+VLOOKUP(A99,Hoja2!$A$2:$X$2596,22,FALSE)</f>
        <v>#N/A</v>
      </c>
      <c r="P99" s="9" t="str">
        <f>+VLOOKUP(A99,Hoja2!$A$2:$X$2596,23,FALSE)</f>
        <v>#N/A</v>
      </c>
      <c r="Q99" s="9" t="str">
        <f>+VLOOKUP(A99,Hoja2!$A$2:$X$2596,24,FALSE)</f>
        <v>#N/A</v>
      </c>
    </row>
    <row r="100" ht="15.75" hidden="1" customHeight="1">
      <c r="A100" s="8">
        <v>2241574.0</v>
      </c>
      <c r="B100" s="8">
        <v>282095.0</v>
      </c>
      <c r="C100" s="9" t="s">
        <v>22</v>
      </c>
      <c r="D100" s="8">
        <v>4.0</v>
      </c>
      <c r="E100" s="8">
        <v>1.0</v>
      </c>
      <c r="F100" s="8">
        <v>0.0</v>
      </c>
      <c r="G100" s="9" t="s">
        <v>18</v>
      </c>
      <c r="H100" s="10">
        <v>45778.52659340278</v>
      </c>
      <c r="I100" s="10">
        <v>45923.718590474535</v>
      </c>
      <c r="J100" s="8">
        <v>145.0</v>
      </c>
      <c r="K100" s="11">
        <v>1.997731028E7</v>
      </c>
      <c r="L100" s="8" t="str">
        <f>+VLOOKUP(A100,Hoja2!$A$2:$X$2596,19,FALSE)</f>
        <v>#N/A</v>
      </c>
      <c r="M100" s="9" t="str">
        <f>+VLOOKUP(A100,Hoja2!$A$2:$X$2596,15,FALSE)</f>
        <v>#N/A</v>
      </c>
      <c r="N100" s="9" t="str">
        <f>+VLOOKUP(A100,Hoja2!$A$2:$X$2596,17,FALSE)</f>
        <v>#N/A</v>
      </c>
      <c r="O100" s="9" t="str">
        <f>+VLOOKUP(A100,Hoja2!$A$2:$X$2596,22,FALSE)</f>
        <v>#N/A</v>
      </c>
      <c r="P100" s="9" t="str">
        <f>+VLOOKUP(A100,Hoja2!$A$2:$X$2596,23,FALSE)</f>
        <v>#N/A</v>
      </c>
      <c r="Q100" s="9" t="str">
        <f>+VLOOKUP(A100,Hoja2!$A$2:$X$2596,24,FALSE)</f>
        <v>#N/A</v>
      </c>
    </row>
    <row r="101" ht="15.75" hidden="1" customHeight="1">
      <c r="A101" s="8">
        <v>2241642.0</v>
      </c>
      <c r="B101" s="8">
        <v>282320.0</v>
      </c>
      <c r="C101" s="9" t="s">
        <v>19</v>
      </c>
      <c r="D101" s="8">
        <v>3.0</v>
      </c>
      <c r="E101" s="8">
        <v>0.0</v>
      </c>
      <c r="F101" s="8">
        <v>0.0</v>
      </c>
      <c r="G101" s="9" t="s">
        <v>21</v>
      </c>
      <c r="H101" s="10">
        <v>44373.56086006945</v>
      </c>
      <c r="I101" s="10">
        <v>44417.44442658565</v>
      </c>
      <c r="J101" s="8">
        <v>44.0</v>
      </c>
      <c r="K101" s="11">
        <v>2.664209203E7</v>
      </c>
      <c r="L101" s="8" t="str">
        <f>+VLOOKUP(A101,Hoja2!$A$2:$X$2596,19,FALSE)</f>
        <v>#N/A</v>
      </c>
      <c r="M101" s="9" t="str">
        <f>+VLOOKUP(A101,Hoja2!$A$2:$X$2596,15,FALSE)</f>
        <v>#N/A</v>
      </c>
      <c r="N101" s="9" t="str">
        <f>+VLOOKUP(A101,Hoja2!$A$2:$X$2596,17,FALSE)</f>
        <v>#N/A</v>
      </c>
      <c r="O101" s="9" t="str">
        <f>+VLOOKUP(A101,Hoja2!$A$2:$X$2596,22,FALSE)</f>
        <v>#N/A</v>
      </c>
      <c r="P101" s="9" t="str">
        <f>+VLOOKUP(A101,Hoja2!$A$2:$X$2596,23,FALSE)</f>
        <v>#N/A</v>
      </c>
      <c r="Q101" s="9" t="str">
        <f>+VLOOKUP(A101,Hoja2!$A$2:$X$2596,24,FALSE)</f>
        <v>#N/A</v>
      </c>
    </row>
    <row r="102" ht="15.75" hidden="1" customHeight="1">
      <c r="A102" s="8">
        <v>2241642.0</v>
      </c>
      <c r="B102" s="8">
        <v>282320.0</v>
      </c>
      <c r="C102" s="9" t="s">
        <v>19</v>
      </c>
      <c r="D102" s="8">
        <v>4.0</v>
      </c>
      <c r="E102" s="8">
        <v>0.0</v>
      </c>
      <c r="F102" s="8">
        <v>0.0</v>
      </c>
      <c r="G102" s="9" t="s">
        <v>21</v>
      </c>
      <c r="H102" s="10">
        <v>44488.3828658912</v>
      </c>
      <c r="I102" s="10">
        <v>44524.18238769676</v>
      </c>
      <c r="J102" s="8">
        <v>36.0</v>
      </c>
      <c r="K102" s="11">
        <v>2.664209203E7</v>
      </c>
      <c r="L102" s="8" t="str">
        <f>+VLOOKUP(A102,Hoja2!$A$2:$X$2596,19,FALSE)</f>
        <v>#N/A</v>
      </c>
      <c r="M102" s="9" t="str">
        <f>+VLOOKUP(A102,Hoja2!$A$2:$X$2596,15,FALSE)</f>
        <v>#N/A</v>
      </c>
      <c r="N102" s="9" t="str">
        <f>+VLOOKUP(A102,Hoja2!$A$2:$X$2596,17,FALSE)</f>
        <v>#N/A</v>
      </c>
      <c r="O102" s="9" t="str">
        <f>+VLOOKUP(A102,Hoja2!$A$2:$X$2596,22,FALSE)</f>
        <v>#N/A</v>
      </c>
      <c r="P102" s="9" t="str">
        <f>+VLOOKUP(A102,Hoja2!$A$2:$X$2596,23,FALSE)</f>
        <v>#N/A</v>
      </c>
      <c r="Q102" s="9" t="str">
        <f>+VLOOKUP(A102,Hoja2!$A$2:$X$2596,24,FALSE)</f>
        <v>#N/A</v>
      </c>
    </row>
    <row r="103" ht="15.75" hidden="1" customHeight="1">
      <c r="A103" s="8">
        <v>2241642.0</v>
      </c>
      <c r="B103" s="8">
        <v>282320.0</v>
      </c>
      <c r="C103" s="9" t="s">
        <v>17</v>
      </c>
      <c r="D103" s="8">
        <v>2.0</v>
      </c>
      <c r="E103" s="8">
        <v>0.0</v>
      </c>
      <c r="F103" s="8">
        <v>0.0</v>
      </c>
      <c r="G103" s="9" t="s">
        <v>21</v>
      </c>
      <c r="H103" s="10">
        <v>44557.591797650464</v>
      </c>
      <c r="I103" s="10">
        <v>44559.22693873843</v>
      </c>
      <c r="J103" s="8">
        <v>2.0</v>
      </c>
      <c r="K103" s="11">
        <v>2.664209203E7</v>
      </c>
      <c r="L103" s="8" t="str">
        <f>+VLOOKUP(A103,Hoja2!$A$2:$X$2596,19,FALSE)</f>
        <v>#N/A</v>
      </c>
      <c r="M103" s="9" t="str">
        <f>+VLOOKUP(A103,Hoja2!$A$2:$X$2596,15,FALSE)</f>
        <v>#N/A</v>
      </c>
      <c r="N103" s="9" t="str">
        <f>+VLOOKUP(A103,Hoja2!$A$2:$X$2596,17,FALSE)</f>
        <v>#N/A</v>
      </c>
      <c r="O103" s="9" t="str">
        <f>+VLOOKUP(A103,Hoja2!$A$2:$X$2596,22,FALSE)</f>
        <v>#N/A</v>
      </c>
      <c r="P103" s="9" t="str">
        <f>+VLOOKUP(A103,Hoja2!$A$2:$X$2596,23,FALSE)</f>
        <v>#N/A</v>
      </c>
      <c r="Q103" s="9" t="str">
        <f>+VLOOKUP(A103,Hoja2!$A$2:$X$2596,24,FALSE)</f>
        <v>#N/A</v>
      </c>
    </row>
    <row r="104" ht="15.75" hidden="1" customHeight="1">
      <c r="A104" s="8">
        <v>2241642.0</v>
      </c>
      <c r="B104" s="8">
        <v>282320.0</v>
      </c>
      <c r="C104" s="9" t="s">
        <v>17</v>
      </c>
      <c r="D104" s="8">
        <v>2.0</v>
      </c>
      <c r="E104" s="8">
        <v>0.0</v>
      </c>
      <c r="F104" s="8">
        <v>0.0</v>
      </c>
      <c r="G104" s="9" t="s">
        <v>21</v>
      </c>
      <c r="H104" s="10">
        <v>44613.4366994213</v>
      </c>
      <c r="I104" s="10">
        <v>44622.48987164352</v>
      </c>
      <c r="J104" s="8">
        <v>9.0</v>
      </c>
      <c r="K104" s="11">
        <v>2.664209203E7</v>
      </c>
      <c r="L104" s="8" t="str">
        <f>+VLOOKUP(A104,Hoja2!$A$2:$X$2596,19,FALSE)</f>
        <v>#N/A</v>
      </c>
      <c r="M104" s="9" t="str">
        <f>+VLOOKUP(A104,Hoja2!$A$2:$X$2596,15,FALSE)</f>
        <v>#N/A</v>
      </c>
      <c r="N104" s="9" t="str">
        <f>+VLOOKUP(A104,Hoja2!$A$2:$X$2596,17,FALSE)</f>
        <v>#N/A</v>
      </c>
      <c r="O104" s="9" t="str">
        <f>+VLOOKUP(A104,Hoja2!$A$2:$X$2596,22,FALSE)</f>
        <v>#N/A</v>
      </c>
      <c r="P104" s="9" t="str">
        <f>+VLOOKUP(A104,Hoja2!$A$2:$X$2596,23,FALSE)</f>
        <v>#N/A</v>
      </c>
      <c r="Q104" s="9" t="str">
        <f>+VLOOKUP(A104,Hoja2!$A$2:$X$2596,24,FALSE)</f>
        <v>#N/A</v>
      </c>
    </row>
    <row r="105" ht="15.75" hidden="1" customHeight="1">
      <c r="A105" s="8">
        <v>2241642.0</v>
      </c>
      <c r="B105" s="8">
        <v>282320.0</v>
      </c>
      <c r="C105" s="9" t="s">
        <v>19</v>
      </c>
      <c r="D105" s="8">
        <v>1.0</v>
      </c>
      <c r="E105" s="8">
        <v>2.0</v>
      </c>
      <c r="F105" s="8">
        <v>0.0</v>
      </c>
      <c r="G105" s="9" t="s">
        <v>18</v>
      </c>
      <c r="H105" s="10">
        <v>44951.59365798611</v>
      </c>
      <c r="I105" s="10">
        <v>45076.40837068287</v>
      </c>
      <c r="J105" s="8">
        <v>125.0</v>
      </c>
      <c r="K105" s="11">
        <v>2.664209203E7</v>
      </c>
      <c r="L105" s="8" t="str">
        <f>+VLOOKUP(A105,Hoja2!$A$2:$X$2596,19,FALSE)</f>
        <v>#N/A</v>
      </c>
      <c r="M105" s="9" t="str">
        <f>+VLOOKUP(A105,Hoja2!$A$2:$X$2596,15,FALSE)</f>
        <v>#N/A</v>
      </c>
      <c r="N105" s="9" t="str">
        <f>+VLOOKUP(A105,Hoja2!$A$2:$X$2596,17,FALSE)</f>
        <v>#N/A</v>
      </c>
      <c r="O105" s="9" t="str">
        <f>+VLOOKUP(A105,Hoja2!$A$2:$X$2596,22,FALSE)</f>
        <v>#N/A</v>
      </c>
      <c r="P105" s="9" t="str">
        <f>+VLOOKUP(A105,Hoja2!$A$2:$X$2596,23,FALSE)</f>
        <v>#N/A</v>
      </c>
      <c r="Q105" s="9" t="str">
        <f>+VLOOKUP(A105,Hoja2!$A$2:$X$2596,24,FALSE)</f>
        <v>#N/A</v>
      </c>
    </row>
    <row r="106" ht="15.75" hidden="1" customHeight="1">
      <c r="A106" s="8">
        <v>2241642.0</v>
      </c>
      <c r="B106" s="8">
        <v>282320.0</v>
      </c>
      <c r="C106" s="9" t="s">
        <v>19</v>
      </c>
      <c r="D106" s="8">
        <v>4.0</v>
      </c>
      <c r="E106" s="8">
        <v>0.0</v>
      </c>
      <c r="F106" s="8">
        <v>0.0</v>
      </c>
      <c r="G106" s="9" t="s">
        <v>21</v>
      </c>
      <c r="H106" s="10">
        <v>45156.70855952546</v>
      </c>
      <c r="I106" s="10">
        <v>45242.636124571756</v>
      </c>
      <c r="J106" s="8">
        <v>86.0</v>
      </c>
      <c r="K106" s="11">
        <v>2.664209203E7</v>
      </c>
      <c r="L106" s="8" t="str">
        <f>+VLOOKUP(A106,Hoja2!$A$2:$X$2596,19,FALSE)</f>
        <v>#N/A</v>
      </c>
      <c r="M106" s="9" t="str">
        <f>+VLOOKUP(A106,Hoja2!$A$2:$X$2596,15,FALSE)</f>
        <v>#N/A</v>
      </c>
      <c r="N106" s="9" t="str">
        <f>+VLOOKUP(A106,Hoja2!$A$2:$X$2596,17,FALSE)</f>
        <v>#N/A</v>
      </c>
      <c r="O106" s="9" t="str">
        <f>+VLOOKUP(A106,Hoja2!$A$2:$X$2596,22,FALSE)</f>
        <v>#N/A</v>
      </c>
      <c r="P106" s="9" t="str">
        <f>+VLOOKUP(A106,Hoja2!$A$2:$X$2596,23,FALSE)</f>
        <v>#N/A</v>
      </c>
      <c r="Q106" s="9" t="str">
        <f>+VLOOKUP(A106,Hoja2!$A$2:$X$2596,24,FALSE)</f>
        <v>#N/A</v>
      </c>
    </row>
    <row r="107" ht="15.75" hidden="1" customHeight="1">
      <c r="A107" s="8">
        <v>2241642.0</v>
      </c>
      <c r="B107" s="8">
        <v>282320.0</v>
      </c>
      <c r="C107" s="9" t="s">
        <v>19</v>
      </c>
      <c r="D107" s="8">
        <v>1.0</v>
      </c>
      <c r="E107" s="8">
        <v>3.0</v>
      </c>
      <c r="F107" s="8">
        <v>0.0</v>
      </c>
      <c r="G107" s="9" t="s">
        <v>18</v>
      </c>
      <c r="H107" s="10">
        <v>45281.53359320602</v>
      </c>
      <c r="I107" s="10">
        <v>45441.11067538195</v>
      </c>
      <c r="J107" s="8">
        <v>160.0</v>
      </c>
      <c r="K107" s="11">
        <v>2.664209203E7</v>
      </c>
      <c r="L107" s="8" t="str">
        <f>+VLOOKUP(A107,Hoja2!$A$2:$X$2596,19,FALSE)</f>
        <v>#N/A</v>
      </c>
      <c r="M107" s="9" t="str">
        <f>+VLOOKUP(A107,Hoja2!$A$2:$X$2596,15,FALSE)</f>
        <v>#N/A</v>
      </c>
      <c r="N107" s="9" t="str">
        <f>+VLOOKUP(A107,Hoja2!$A$2:$X$2596,17,FALSE)</f>
        <v>#N/A</v>
      </c>
      <c r="O107" s="9" t="str">
        <f>+VLOOKUP(A107,Hoja2!$A$2:$X$2596,22,FALSE)</f>
        <v>#N/A</v>
      </c>
      <c r="P107" s="9" t="str">
        <f>+VLOOKUP(A107,Hoja2!$A$2:$X$2596,23,FALSE)</f>
        <v>#N/A</v>
      </c>
      <c r="Q107" s="9" t="str">
        <f>+VLOOKUP(A107,Hoja2!$A$2:$X$2596,24,FALSE)</f>
        <v>#N/A</v>
      </c>
    </row>
    <row r="108" ht="15.75" hidden="1" customHeight="1">
      <c r="A108" s="8">
        <v>2241642.0</v>
      </c>
      <c r="B108" s="8">
        <v>282320.0</v>
      </c>
      <c r="C108" s="9" t="s">
        <v>19</v>
      </c>
      <c r="D108" s="8">
        <v>1.0</v>
      </c>
      <c r="E108" s="8">
        <v>2.0</v>
      </c>
      <c r="F108" s="8">
        <v>0.0</v>
      </c>
      <c r="G108" s="9" t="s">
        <v>18</v>
      </c>
      <c r="H108" s="10">
        <v>45454.6166934838</v>
      </c>
      <c r="I108" s="10">
        <v>45630.91683248842</v>
      </c>
      <c r="J108" s="8">
        <v>176.0</v>
      </c>
      <c r="K108" s="11">
        <v>2.664209203E7</v>
      </c>
      <c r="L108" s="8" t="str">
        <f>+VLOOKUP(A108,Hoja2!$A$2:$X$2596,19,FALSE)</f>
        <v>#N/A</v>
      </c>
      <c r="M108" s="9" t="str">
        <f>+VLOOKUP(A108,Hoja2!$A$2:$X$2596,15,FALSE)</f>
        <v>#N/A</v>
      </c>
      <c r="N108" s="9" t="str">
        <f>+VLOOKUP(A108,Hoja2!$A$2:$X$2596,17,FALSE)</f>
        <v>#N/A</v>
      </c>
      <c r="O108" s="9" t="str">
        <f>+VLOOKUP(A108,Hoja2!$A$2:$X$2596,22,FALSE)</f>
        <v>#N/A</v>
      </c>
      <c r="P108" s="9" t="str">
        <f>+VLOOKUP(A108,Hoja2!$A$2:$X$2596,23,FALSE)</f>
        <v>#N/A</v>
      </c>
      <c r="Q108" s="9" t="str">
        <f>+VLOOKUP(A108,Hoja2!$A$2:$X$2596,24,FALSE)</f>
        <v>#N/A</v>
      </c>
    </row>
    <row r="109" ht="15.75" hidden="1" customHeight="1">
      <c r="A109" s="8">
        <v>2241642.0</v>
      </c>
      <c r="B109" s="8">
        <v>282320.0</v>
      </c>
      <c r="C109" s="9" t="s">
        <v>19</v>
      </c>
      <c r="D109" s="8">
        <v>1.0</v>
      </c>
      <c r="E109" s="8">
        <v>1.0</v>
      </c>
      <c r="F109" s="8">
        <v>0.0</v>
      </c>
      <c r="G109" s="9" t="s">
        <v>18</v>
      </c>
      <c r="H109" s="10">
        <v>45685.97766747685</v>
      </c>
      <c r="I109" s="10">
        <v>45723.657120219905</v>
      </c>
      <c r="J109" s="8">
        <v>38.0</v>
      </c>
      <c r="K109" s="11">
        <v>2.664209203E7</v>
      </c>
      <c r="L109" s="8" t="str">
        <f>+VLOOKUP(A109,Hoja2!$A$2:$X$2596,19,FALSE)</f>
        <v>#N/A</v>
      </c>
      <c r="M109" s="9" t="str">
        <f>+VLOOKUP(A109,Hoja2!$A$2:$X$2596,15,FALSE)</f>
        <v>#N/A</v>
      </c>
      <c r="N109" s="9" t="str">
        <f>+VLOOKUP(A109,Hoja2!$A$2:$X$2596,17,FALSE)</f>
        <v>#N/A</v>
      </c>
      <c r="O109" s="9" t="str">
        <f>+VLOOKUP(A109,Hoja2!$A$2:$X$2596,22,FALSE)</f>
        <v>#N/A</v>
      </c>
      <c r="P109" s="9" t="str">
        <f>+VLOOKUP(A109,Hoja2!$A$2:$X$2596,23,FALSE)</f>
        <v>#N/A</v>
      </c>
      <c r="Q109" s="9" t="str">
        <f>+VLOOKUP(A109,Hoja2!$A$2:$X$2596,24,FALSE)</f>
        <v>#N/A</v>
      </c>
    </row>
    <row r="110" ht="15.75" customHeight="1">
      <c r="A110" s="8">
        <v>2241776.0</v>
      </c>
      <c r="B110" s="8">
        <v>282848.0</v>
      </c>
      <c r="C110" s="9" t="s">
        <v>20</v>
      </c>
      <c r="D110" s="8">
        <v>3.0</v>
      </c>
      <c r="E110" s="8">
        <v>3.0</v>
      </c>
      <c r="F110" s="8">
        <v>0.0</v>
      </c>
      <c r="G110" s="9" t="s">
        <v>18</v>
      </c>
      <c r="H110" s="10">
        <v>45060.4483628125</v>
      </c>
      <c r="I110" s="10">
        <v>45125.73346712963</v>
      </c>
      <c r="J110" s="8">
        <v>65.0</v>
      </c>
      <c r="K110" s="11">
        <v>4264008.8</v>
      </c>
      <c r="L110" s="8" t="str">
        <f>+VLOOKUP(A110,Hoja2!$A$2:$X$2596,19,FALSE)</f>
        <v>Concluido</v>
      </c>
      <c r="M110" s="9">
        <f>+VLOOKUP(A110,Hoja2!$A$2:$X$2596,15,FALSE)</f>
        <v>4161663.03</v>
      </c>
      <c r="N110" s="9">
        <f>+VLOOKUP(A110,Hoja2!$A$2:$X$2596,17,FALSE)</f>
        <v>183407.4</v>
      </c>
      <c r="O110" s="9" t="str">
        <f>+VLOOKUP(A110,Hoja2!$A$2:$X$2596,22,FALSE)</f>
        <v/>
      </c>
      <c r="P110" s="9" t="str">
        <f>+VLOOKUP(A110,Hoja2!$A$2:$X$2596,23,FALSE)</f>
        <v/>
      </c>
      <c r="Q110" s="9" t="str">
        <f>+VLOOKUP(A110,Hoja2!$A$2:$X$2596,24,FALSE)</f>
        <v/>
      </c>
    </row>
    <row r="111" ht="15.75" hidden="1" customHeight="1">
      <c r="A111" s="8">
        <v>2287753.0</v>
      </c>
      <c r="B111" s="8">
        <v>287621.0</v>
      </c>
      <c r="C111" s="9" t="s">
        <v>19</v>
      </c>
      <c r="D111" s="8">
        <v>3.0</v>
      </c>
      <c r="E111" s="8">
        <v>0.0</v>
      </c>
      <c r="F111" s="8">
        <v>0.0</v>
      </c>
      <c r="G111" s="9" t="s">
        <v>21</v>
      </c>
      <c r="H111" s="10">
        <v>44244.67884221065</v>
      </c>
      <c r="I111" s="10">
        <v>44280.4384162037</v>
      </c>
      <c r="J111" s="8">
        <v>36.0</v>
      </c>
      <c r="K111" s="11">
        <v>1.6065879E7</v>
      </c>
      <c r="L111" s="8" t="str">
        <f>+VLOOKUP(A111,Hoja2!$A$2:$X$2596,19,FALSE)</f>
        <v>#N/A</v>
      </c>
      <c r="M111" s="9" t="str">
        <f>+VLOOKUP(A111,Hoja2!$A$2:$X$2596,15,FALSE)</f>
        <v>#N/A</v>
      </c>
      <c r="N111" s="9" t="str">
        <f>+VLOOKUP(A111,Hoja2!$A$2:$X$2596,17,FALSE)</f>
        <v>#N/A</v>
      </c>
      <c r="O111" s="9" t="str">
        <f>+VLOOKUP(A111,Hoja2!$A$2:$X$2596,22,FALSE)</f>
        <v>#N/A</v>
      </c>
      <c r="P111" s="9" t="str">
        <f>+VLOOKUP(A111,Hoja2!$A$2:$X$2596,23,FALSE)</f>
        <v>#N/A</v>
      </c>
      <c r="Q111" s="9" t="str">
        <f>+VLOOKUP(A111,Hoja2!$A$2:$X$2596,24,FALSE)</f>
        <v>#N/A</v>
      </c>
    </row>
    <row r="112" ht="15.75" hidden="1" customHeight="1">
      <c r="A112" s="8">
        <v>2287753.0</v>
      </c>
      <c r="B112" s="8">
        <v>287621.0</v>
      </c>
      <c r="C112" s="9" t="s">
        <v>17</v>
      </c>
      <c r="D112" s="8">
        <v>2.0</v>
      </c>
      <c r="E112" s="8">
        <v>0.0</v>
      </c>
      <c r="F112" s="8">
        <v>0.0</v>
      </c>
      <c r="G112" s="9" t="s">
        <v>21</v>
      </c>
      <c r="H112" s="10">
        <v>44769.4331962963</v>
      </c>
      <c r="I112" s="10">
        <v>44781.68855482639</v>
      </c>
      <c r="J112" s="8">
        <v>12.0</v>
      </c>
      <c r="K112" s="11">
        <v>1.6065879E7</v>
      </c>
      <c r="L112" s="8" t="str">
        <f>+VLOOKUP(A112,Hoja2!$A$2:$X$2596,19,FALSE)</f>
        <v>#N/A</v>
      </c>
      <c r="M112" s="9" t="str">
        <f>+VLOOKUP(A112,Hoja2!$A$2:$X$2596,15,FALSE)</f>
        <v>#N/A</v>
      </c>
      <c r="N112" s="9" t="str">
        <f>+VLOOKUP(A112,Hoja2!$A$2:$X$2596,17,FALSE)</f>
        <v>#N/A</v>
      </c>
      <c r="O112" s="9" t="str">
        <f>+VLOOKUP(A112,Hoja2!$A$2:$X$2596,22,FALSE)</f>
        <v>#N/A</v>
      </c>
      <c r="P112" s="9" t="str">
        <f>+VLOOKUP(A112,Hoja2!$A$2:$X$2596,23,FALSE)</f>
        <v>#N/A</v>
      </c>
      <c r="Q112" s="9" t="str">
        <f>+VLOOKUP(A112,Hoja2!$A$2:$X$2596,24,FALSE)</f>
        <v>#N/A</v>
      </c>
    </row>
    <row r="113" ht="15.75" hidden="1" customHeight="1">
      <c r="A113" s="8">
        <v>2287753.0</v>
      </c>
      <c r="B113" s="8">
        <v>287621.0</v>
      </c>
      <c r="C113" s="9" t="s">
        <v>17</v>
      </c>
      <c r="D113" s="8">
        <v>2.0</v>
      </c>
      <c r="E113" s="8">
        <v>0.0</v>
      </c>
      <c r="F113" s="8">
        <v>0.0</v>
      </c>
      <c r="G113" s="9" t="s">
        <v>21</v>
      </c>
      <c r="H113" s="10">
        <v>44827.48213984954</v>
      </c>
      <c r="I113" s="10">
        <v>44834.525057060186</v>
      </c>
      <c r="J113" s="8">
        <v>7.0</v>
      </c>
      <c r="K113" s="11">
        <v>1.6065879E7</v>
      </c>
      <c r="L113" s="8" t="str">
        <f>+VLOOKUP(A113,Hoja2!$A$2:$X$2596,19,FALSE)</f>
        <v>#N/A</v>
      </c>
      <c r="M113" s="9" t="str">
        <f>+VLOOKUP(A113,Hoja2!$A$2:$X$2596,15,FALSE)</f>
        <v>#N/A</v>
      </c>
      <c r="N113" s="9" t="str">
        <f>+VLOOKUP(A113,Hoja2!$A$2:$X$2596,17,FALSE)</f>
        <v>#N/A</v>
      </c>
      <c r="O113" s="9" t="str">
        <f>+VLOOKUP(A113,Hoja2!$A$2:$X$2596,22,FALSE)</f>
        <v>#N/A</v>
      </c>
      <c r="P113" s="9" t="str">
        <f>+VLOOKUP(A113,Hoja2!$A$2:$X$2596,23,FALSE)</f>
        <v>#N/A</v>
      </c>
      <c r="Q113" s="9" t="str">
        <f>+VLOOKUP(A113,Hoja2!$A$2:$X$2596,24,FALSE)</f>
        <v>#N/A</v>
      </c>
    </row>
    <row r="114" ht="15.75" hidden="1" customHeight="1">
      <c r="A114" s="8">
        <v>2243011.0</v>
      </c>
      <c r="B114" s="8">
        <v>287863.0</v>
      </c>
      <c r="C114" s="9" t="s">
        <v>17</v>
      </c>
      <c r="D114" s="8">
        <v>2.0</v>
      </c>
      <c r="E114" s="8">
        <v>0.0</v>
      </c>
      <c r="F114" s="8">
        <v>0.0</v>
      </c>
      <c r="G114" s="9" t="s">
        <v>21</v>
      </c>
      <c r="H114" s="10">
        <v>44421.44408487269</v>
      </c>
      <c r="I114" s="10">
        <v>44456.4897315162</v>
      </c>
      <c r="J114" s="8">
        <v>35.0</v>
      </c>
      <c r="K114" s="11">
        <v>2.492672011E7</v>
      </c>
      <c r="L114" s="8" t="str">
        <f>+VLOOKUP(A114,Hoja2!$A$2:$X$2596,19,FALSE)</f>
        <v>#N/A</v>
      </c>
      <c r="M114" s="9" t="str">
        <f>+VLOOKUP(A114,Hoja2!$A$2:$X$2596,15,FALSE)</f>
        <v>#N/A</v>
      </c>
      <c r="N114" s="9" t="str">
        <f>+VLOOKUP(A114,Hoja2!$A$2:$X$2596,17,FALSE)</f>
        <v>#N/A</v>
      </c>
      <c r="O114" s="9" t="str">
        <f>+VLOOKUP(A114,Hoja2!$A$2:$X$2596,22,FALSE)</f>
        <v>#N/A</v>
      </c>
      <c r="P114" s="9" t="str">
        <f>+VLOOKUP(A114,Hoja2!$A$2:$X$2596,23,FALSE)</f>
        <v>#N/A</v>
      </c>
      <c r="Q114" s="9" t="str">
        <f>+VLOOKUP(A114,Hoja2!$A$2:$X$2596,24,FALSE)</f>
        <v>#N/A</v>
      </c>
    </row>
    <row r="115" ht="15.75" hidden="1" customHeight="1">
      <c r="A115" s="8">
        <v>2243011.0</v>
      </c>
      <c r="B115" s="8">
        <v>287863.0</v>
      </c>
      <c r="C115" s="9" t="s">
        <v>19</v>
      </c>
      <c r="D115" s="8">
        <v>3.0</v>
      </c>
      <c r="E115" s="8">
        <v>0.0</v>
      </c>
      <c r="F115" s="8">
        <v>0.0</v>
      </c>
      <c r="G115" s="9" t="s">
        <v>21</v>
      </c>
      <c r="H115" s="10">
        <v>44585.5205806713</v>
      </c>
      <c r="I115" s="10">
        <v>44621.953452581016</v>
      </c>
      <c r="J115" s="8">
        <v>36.0</v>
      </c>
      <c r="K115" s="11">
        <v>2.492672011E7</v>
      </c>
      <c r="L115" s="8" t="str">
        <f>+VLOOKUP(A115,Hoja2!$A$2:$X$2596,19,FALSE)</f>
        <v>#N/A</v>
      </c>
      <c r="M115" s="9" t="str">
        <f>+VLOOKUP(A115,Hoja2!$A$2:$X$2596,15,FALSE)</f>
        <v>#N/A</v>
      </c>
      <c r="N115" s="9" t="str">
        <f>+VLOOKUP(A115,Hoja2!$A$2:$X$2596,17,FALSE)</f>
        <v>#N/A</v>
      </c>
      <c r="O115" s="9" t="str">
        <f>+VLOOKUP(A115,Hoja2!$A$2:$X$2596,22,FALSE)</f>
        <v>#N/A</v>
      </c>
      <c r="P115" s="9" t="str">
        <f>+VLOOKUP(A115,Hoja2!$A$2:$X$2596,23,FALSE)</f>
        <v>#N/A</v>
      </c>
      <c r="Q115" s="9" t="str">
        <f>+VLOOKUP(A115,Hoja2!$A$2:$X$2596,24,FALSE)</f>
        <v>#N/A</v>
      </c>
    </row>
    <row r="116" ht="15.75" hidden="1" customHeight="1">
      <c r="A116" s="8">
        <v>2235789.0</v>
      </c>
      <c r="B116" s="8">
        <v>291916.0</v>
      </c>
      <c r="C116" s="9" t="s">
        <v>22</v>
      </c>
      <c r="D116" s="8">
        <v>3.0</v>
      </c>
      <c r="E116" s="8">
        <v>0.0</v>
      </c>
      <c r="F116" s="8">
        <v>0.0</v>
      </c>
      <c r="G116" s="9" t="s">
        <v>21</v>
      </c>
      <c r="H116" s="10">
        <v>45882.82504725694</v>
      </c>
      <c r="I116" s="10">
        <v>45954.5396122338</v>
      </c>
      <c r="J116" s="8">
        <v>72.0</v>
      </c>
      <c r="K116" s="11">
        <v>2.683037442E7</v>
      </c>
      <c r="L116" s="8" t="str">
        <f>+VLOOKUP(A116,Hoja2!$A$2:$X$2596,19,FALSE)</f>
        <v>#N/A</v>
      </c>
      <c r="M116" s="9" t="str">
        <f>+VLOOKUP(A116,Hoja2!$A$2:$X$2596,15,FALSE)</f>
        <v>#N/A</v>
      </c>
      <c r="N116" s="9" t="str">
        <f>+VLOOKUP(A116,Hoja2!$A$2:$X$2596,17,FALSE)</f>
        <v>#N/A</v>
      </c>
      <c r="O116" s="9" t="str">
        <f>+VLOOKUP(A116,Hoja2!$A$2:$X$2596,22,FALSE)</f>
        <v>#N/A</v>
      </c>
      <c r="P116" s="9" t="str">
        <f>+VLOOKUP(A116,Hoja2!$A$2:$X$2596,23,FALSE)</f>
        <v>#N/A</v>
      </c>
      <c r="Q116" s="9" t="str">
        <f>+VLOOKUP(A116,Hoja2!$A$2:$X$2596,24,FALSE)</f>
        <v>#N/A</v>
      </c>
    </row>
    <row r="117" ht="15.75" customHeight="1">
      <c r="A117" s="8">
        <v>2244668.0</v>
      </c>
      <c r="B117" s="8">
        <v>294508.0</v>
      </c>
      <c r="C117" s="9" t="s">
        <v>20</v>
      </c>
      <c r="D117" s="8">
        <v>2.0</v>
      </c>
      <c r="E117" s="8">
        <v>5.0</v>
      </c>
      <c r="F117" s="8">
        <v>0.0</v>
      </c>
      <c r="G117" s="9" t="s">
        <v>18</v>
      </c>
      <c r="H117" s="10">
        <v>44453.56712638889</v>
      </c>
      <c r="I117" s="10">
        <v>44568.73095208334</v>
      </c>
      <c r="J117" s="8">
        <v>115.0</v>
      </c>
      <c r="K117" s="11">
        <v>3990467.11</v>
      </c>
      <c r="L117" s="8" t="str">
        <f>+VLOOKUP(A117,Hoja2!$A$2:$X$2596,19,FALSE)</f>
        <v>En Ejecución</v>
      </c>
      <c r="M117" s="9">
        <f>+VLOOKUP(A117,Hoja2!$A$2:$X$2596,15,FALSE)</f>
        <v>3893442.91</v>
      </c>
      <c r="N117" s="9" t="str">
        <f>+VLOOKUP(A117,Hoja2!$A$2:$X$2596,17,FALSE)</f>
        <v/>
      </c>
      <c r="O117" s="9" t="str">
        <f>+VLOOKUP(A117,Hoja2!$A$2:$X$2596,22,FALSE)</f>
        <v/>
      </c>
      <c r="P117" s="9" t="str">
        <f>+VLOOKUP(A117,Hoja2!$A$2:$X$2596,23,FALSE)</f>
        <v/>
      </c>
      <c r="Q117" s="9" t="str">
        <f>+VLOOKUP(A117,Hoja2!$A$2:$X$2596,24,FALSE)</f>
        <v/>
      </c>
    </row>
    <row r="118" ht="15.75" hidden="1" customHeight="1">
      <c r="A118" s="8">
        <v>2331347.0</v>
      </c>
      <c r="B118" s="8">
        <v>296678.0</v>
      </c>
      <c r="C118" s="9" t="s">
        <v>19</v>
      </c>
      <c r="D118" s="8">
        <v>3.0</v>
      </c>
      <c r="E118" s="8">
        <v>0.0</v>
      </c>
      <c r="F118" s="8">
        <v>0.0</v>
      </c>
      <c r="G118" s="9" t="s">
        <v>21</v>
      </c>
      <c r="H118" s="10">
        <v>45608.557559988425</v>
      </c>
      <c r="I118" s="10">
        <v>45702.51362172454</v>
      </c>
      <c r="J118" s="8">
        <v>94.0</v>
      </c>
      <c r="K118" s="11">
        <v>6.059803641E7</v>
      </c>
      <c r="L118" s="8" t="str">
        <f>+VLOOKUP(A118,Hoja2!$A$2:$X$2596,19,FALSE)</f>
        <v>#N/A</v>
      </c>
      <c r="M118" s="9" t="str">
        <f>+VLOOKUP(A118,Hoja2!$A$2:$X$2596,15,FALSE)</f>
        <v>#N/A</v>
      </c>
      <c r="N118" s="9" t="str">
        <f>+VLOOKUP(A118,Hoja2!$A$2:$X$2596,17,FALSE)</f>
        <v>#N/A</v>
      </c>
      <c r="O118" s="9" t="str">
        <f>+VLOOKUP(A118,Hoja2!$A$2:$X$2596,22,FALSE)</f>
        <v>#N/A</v>
      </c>
      <c r="P118" s="9" t="str">
        <f>+VLOOKUP(A118,Hoja2!$A$2:$X$2596,23,FALSE)</f>
        <v>#N/A</v>
      </c>
      <c r="Q118" s="9" t="str">
        <f>+VLOOKUP(A118,Hoja2!$A$2:$X$2596,24,FALSE)</f>
        <v>#N/A</v>
      </c>
    </row>
    <row r="119" ht="15.75" hidden="1" customHeight="1">
      <c r="A119" s="8">
        <v>2331347.0</v>
      </c>
      <c r="B119" s="8">
        <v>296678.0</v>
      </c>
      <c r="C119" s="9" t="s">
        <v>19</v>
      </c>
      <c r="D119" s="8">
        <v>2.0</v>
      </c>
      <c r="E119" s="8">
        <v>0.0</v>
      </c>
      <c r="F119" s="8">
        <v>0.0</v>
      </c>
      <c r="G119" s="9" t="s">
        <v>21</v>
      </c>
      <c r="H119" s="10">
        <v>45736.86336851852</v>
      </c>
      <c r="I119" s="10">
        <v>45744.68021987269</v>
      </c>
      <c r="J119" s="8">
        <v>8.0</v>
      </c>
      <c r="K119" s="11">
        <v>6.059803641E7</v>
      </c>
      <c r="L119" s="8" t="str">
        <f>+VLOOKUP(A119,Hoja2!$A$2:$X$2596,19,FALSE)</f>
        <v>#N/A</v>
      </c>
      <c r="M119" s="9" t="str">
        <f>+VLOOKUP(A119,Hoja2!$A$2:$X$2596,15,FALSE)</f>
        <v>#N/A</v>
      </c>
      <c r="N119" s="9" t="str">
        <f>+VLOOKUP(A119,Hoja2!$A$2:$X$2596,17,FALSE)</f>
        <v>#N/A</v>
      </c>
      <c r="O119" s="9" t="str">
        <f>+VLOOKUP(A119,Hoja2!$A$2:$X$2596,22,FALSE)</f>
        <v>#N/A</v>
      </c>
      <c r="P119" s="9" t="str">
        <f>+VLOOKUP(A119,Hoja2!$A$2:$X$2596,23,FALSE)</f>
        <v>#N/A</v>
      </c>
      <c r="Q119" s="9" t="str">
        <f>+VLOOKUP(A119,Hoja2!$A$2:$X$2596,24,FALSE)</f>
        <v>#N/A</v>
      </c>
    </row>
    <row r="120" ht="15.75" hidden="1" customHeight="1">
      <c r="A120" s="8">
        <v>2304530.0</v>
      </c>
      <c r="B120" s="8">
        <v>299948.0</v>
      </c>
      <c r="C120" s="9" t="s">
        <v>19</v>
      </c>
      <c r="D120" s="8">
        <v>2.0</v>
      </c>
      <c r="E120" s="8">
        <v>0.0</v>
      </c>
      <c r="F120" s="8">
        <v>0.0</v>
      </c>
      <c r="G120" s="9" t="s">
        <v>21</v>
      </c>
      <c r="H120" s="10">
        <v>45694.52734050926</v>
      </c>
      <c r="I120" s="10">
        <v>45728.613193171295</v>
      </c>
      <c r="J120" s="8">
        <v>34.0</v>
      </c>
      <c r="K120" s="11">
        <v>1.1433666615E8</v>
      </c>
      <c r="L120" s="8" t="str">
        <f>+VLOOKUP(A120,Hoja2!$A$2:$X$2596,19,FALSE)</f>
        <v>Convenio y/o Contrato Resuelto</v>
      </c>
      <c r="M120" s="9" t="str">
        <f>+VLOOKUP(A120,Hoja2!$A$2:$X$2596,15,FALSE)</f>
        <v/>
      </c>
      <c r="N120" s="9" t="str">
        <f>+VLOOKUP(A120,Hoja2!$A$2:$X$2596,17,FALSE)</f>
        <v/>
      </c>
      <c r="O120" s="9" t="str">
        <f>+VLOOKUP(A120,Hoja2!$A$2:$X$2596,22,FALSE)</f>
        <v/>
      </c>
      <c r="P120" s="9" t="str">
        <f>+VLOOKUP(A120,Hoja2!$A$2:$X$2596,23,FALSE)</f>
        <v/>
      </c>
      <c r="Q120" s="9" t="str">
        <f>+VLOOKUP(A120,Hoja2!$A$2:$X$2596,24,FALSE)</f>
        <v/>
      </c>
    </row>
    <row r="121" ht="15.75" hidden="1" customHeight="1">
      <c r="A121" s="8">
        <v>2246920.0</v>
      </c>
      <c r="B121" s="8">
        <v>302910.0</v>
      </c>
      <c r="C121" s="9" t="s">
        <v>17</v>
      </c>
      <c r="D121" s="8">
        <v>4.0</v>
      </c>
      <c r="E121" s="8">
        <v>0.0</v>
      </c>
      <c r="F121" s="8">
        <v>0.0</v>
      </c>
      <c r="G121" s="9" t="s">
        <v>21</v>
      </c>
      <c r="H121" s="10">
        <v>44642.57155972222</v>
      </c>
      <c r="I121" s="10">
        <v>44697.73275023148</v>
      </c>
      <c r="J121" s="8">
        <v>55.0</v>
      </c>
      <c r="K121" s="11">
        <v>2.875409156E7</v>
      </c>
      <c r="L121" s="8" t="str">
        <f>+VLOOKUP(A121,Hoja2!$A$2:$X$2596,19,FALSE)</f>
        <v>#N/A</v>
      </c>
      <c r="M121" s="9" t="str">
        <f>+VLOOKUP(A121,Hoja2!$A$2:$X$2596,15,FALSE)</f>
        <v>#N/A</v>
      </c>
      <c r="N121" s="9" t="str">
        <f>+VLOOKUP(A121,Hoja2!$A$2:$X$2596,17,FALSE)</f>
        <v>#N/A</v>
      </c>
      <c r="O121" s="9" t="str">
        <f>+VLOOKUP(A121,Hoja2!$A$2:$X$2596,22,FALSE)</f>
        <v>#N/A</v>
      </c>
      <c r="P121" s="9" t="str">
        <f>+VLOOKUP(A121,Hoja2!$A$2:$X$2596,23,FALSE)</f>
        <v>#N/A</v>
      </c>
      <c r="Q121" s="9" t="str">
        <f>+VLOOKUP(A121,Hoja2!$A$2:$X$2596,24,FALSE)</f>
        <v>#N/A</v>
      </c>
    </row>
    <row r="122" ht="15.75" hidden="1" customHeight="1">
      <c r="A122" s="8">
        <v>2248345.0</v>
      </c>
      <c r="B122" s="8">
        <v>308042.0</v>
      </c>
      <c r="C122" s="9" t="s">
        <v>19</v>
      </c>
      <c r="D122" s="8">
        <v>3.0</v>
      </c>
      <c r="E122" s="8">
        <v>1.0</v>
      </c>
      <c r="F122" s="8">
        <v>0.0</v>
      </c>
      <c r="G122" s="9" t="s">
        <v>18</v>
      </c>
      <c r="H122" s="10">
        <v>45621.35001469908</v>
      </c>
      <c r="I122" s="10">
        <v>45694.72207577546</v>
      </c>
      <c r="J122" s="8">
        <v>73.0</v>
      </c>
      <c r="K122" s="11">
        <v>1.394173518E7</v>
      </c>
      <c r="L122" s="8" t="str">
        <f>+VLOOKUP(A122,Hoja2!$A$2:$X$2596,19,FALSE)</f>
        <v>#N/A</v>
      </c>
      <c r="M122" s="9" t="str">
        <f>+VLOOKUP(A122,Hoja2!$A$2:$X$2596,15,FALSE)</f>
        <v>#N/A</v>
      </c>
      <c r="N122" s="9" t="str">
        <f>+VLOOKUP(A122,Hoja2!$A$2:$X$2596,17,FALSE)</f>
        <v>#N/A</v>
      </c>
      <c r="O122" s="9" t="str">
        <f>+VLOOKUP(A122,Hoja2!$A$2:$X$2596,22,FALSE)</f>
        <v>#N/A</v>
      </c>
      <c r="P122" s="9" t="str">
        <f>+VLOOKUP(A122,Hoja2!$A$2:$X$2596,23,FALSE)</f>
        <v>#N/A</v>
      </c>
      <c r="Q122" s="9" t="str">
        <f>+VLOOKUP(A122,Hoja2!$A$2:$X$2596,24,FALSE)</f>
        <v>#N/A</v>
      </c>
    </row>
    <row r="123" ht="15.75" hidden="1" customHeight="1">
      <c r="A123" s="8">
        <v>2248345.0</v>
      </c>
      <c r="B123" s="8">
        <v>308042.0</v>
      </c>
      <c r="C123" s="9" t="s">
        <v>19</v>
      </c>
      <c r="D123" s="8">
        <v>2.0</v>
      </c>
      <c r="E123" s="8">
        <v>0.0</v>
      </c>
      <c r="F123" s="8">
        <v>0.0</v>
      </c>
      <c r="G123" s="9" t="s">
        <v>21</v>
      </c>
      <c r="H123" s="10">
        <v>45805.678508993056</v>
      </c>
      <c r="I123" s="10">
        <v>45828.525725810185</v>
      </c>
      <c r="J123" s="8">
        <v>23.0</v>
      </c>
      <c r="K123" s="11">
        <v>1.394173518E7</v>
      </c>
      <c r="L123" s="8" t="str">
        <f>+VLOOKUP(A123,Hoja2!$A$2:$X$2596,19,FALSE)</f>
        <v>#N/A</v>
      </c>
      <c r="M123" s="9" t="str">
        <f>+VLOOKUP(A123,Hoja2!$A$2:$X$2596,15,FALSE)</f>
        <v>#N/A</v>
      </c>
      <c r="N123" s="9" t="str">
        <f>+VLOOKUP(A123,Hoja2!$A$2:$X$2596,17,FALSE)</f>
        <v>#N/A</v>
      </c>
      <c r="O123" s="9" t="str">
        <f>+VLOOKUP(A123,Hoja2!$A$2:$X$2596,22,FALSE)</f>
        <v>#N/A</v>
      </c>
      <c r="P123" s="9" t="str">
        <f>+VLOOKUP(A123,Hoja2!$A$2:$X$2596,23,FALSE)</f>
        <v>#N/A</v>
      </c>
      <c r="Q123" s="9" t="str">
        <f>+VLOOKUP(A123,Hoja2!$A$2:$X$2596,24,FALSE)</f>
        <v>#N/A</v>
      </c>
    </row>
    <row r="124" ht="15.75" hidden="1" customHeight="1">
      <c r="A124" s="8">
        <v>2248753.0</v>
      </c>
      <c r="B124" s="8">
        <v>309092.0</v>
      </c>
      <c r="C124" s="9" t="s">
        <v>19</v>
      </c>
      <c r="D124" s="8">
        <v>3.0</v>
      </c>
      <c r="E124" s="8">
        <v>1.0</v>
      </c>
      <c r="F124" s="8">
        <v>0.0</v>
      </c>
      <c r="G124" s="9" t="s">
        <v>18</v>
      </c>
      <c r="H124" s="10">
        <v>44629.46780590278</v>
      </c>
      <c r="I124" s="10">
        <v>44678.47831099537</v>
      </c>
      <c r="J124" s="8">
        <v>49.0</v>
      </c>
      <c r="K124" s="11">
        <v>2694406.48</v>
      </c>
      <c r="L124" s="8" t="str">
        <f>+VLOOKUP(A124,Hoja2!$A$2:$X$2596,19,FALSE)</f>
        <v>#N/A</v>
      </c>
      <c r="M124" s="9" t="str">
        <f>+VLOOKUP(A124,Hoja2!$A$2:$X$2596,15,FALSE)</f>
        <v>#N/A</v>
      </c>
      <c r="N124" s="9" t="str">
        <f>+VLOOKUP(A124,Hoja2!$A$2:$X$2596,17,FALSE)</f>
        <v>#N/A</v>
      </c>
      <c r="O124" s="9" t="str">
        <f>+VLOOKUP(A124,Hoja2!$A$2:$X$2596,22,FALSE)</f>
        <v>#N/A</v>
      </c>
      <c r="P124" s="9" t="str">
        <f>+VLOOKUP(A124,Hoja2!$A$2:$X$2596,23,FALSE)</f>
        <v>#N/A</v>
      </c>
      <c r="Q124" s="9" t="str">
        <f>+VLOOKUP(A124,Hoja2!$A$2:$X$2596,24,FALSE)</f>
        <v>#N/A</v>
      </c>
    </row>
    <row r="125" ht="15.75" hidden="1" customHeight="1">
      <c r="A125" s="8">
        <v>2249399.0</v>
      </c>
      <c r="B125" s="8">
        <v>310634.0</v>
      </c>
      <c r="C125" s="9" t="s">
        <v>17</v>
      </c>
      <c r="D125" s="8">
        <v>3.0</v>
      </c>
      <c r="E125" s="8">
        <v>0.0</v>
      </c>
      <c r="F125" s="8">
        <v>0.0</v>
      </c>
      <c r="G125" s="9" t="s">
        <v>21</v>
      </c>
      <c r="H125" s="10">
        <v>44516.662615891204</v>
      </c>
      <c r="I125" s="10">
        <v>44523.40232048611</v>
      </c>
      <c r="J125" s="8">
        <v>7.0</v>
      </c>
      <c r="K125" s="11">
        <v>8100605.3</v>
      </c>
      <c r="L125" s="8" t="str">
        <f>+VLOOKUP(A125,Hoja2!$A$2:$X$2596,19,FALSE)</f>
        <v>#N/A</v>
      </c>
      <c r="M125" s="9" t="str">
        <f>+VLOOKUP(A125,Hoja2!$A$2:$X$2596,15,FALSE)</f>
        <v>#N/A</v>
      </c>
      <c r="N125" s="9" t="str">
        <f>+VLOOKUP(A125,Hoja2!$A$2:$X$2596,17,FALSE)</f>
        <v>#N/A</v>
      </c>
      <c r="O125" s="9" t="str">
        <f>+VLOOKUP(A125,Hoja2!$A$2:$X$2596,22,FALSE)</f>
        <v>#N/A</v>
      </c>
      <c r="P125" s="9" t="str">
        <f>+VLOOKUP(A125,Hoja2!$A$2:$X$2596,23,FALSE)</f>
        <v>#N/A</v>
      </c>
      <c r="Q125" s="9" t="str">
        <f>+VLOOKUP(A125,Hoja2!$A$2:$X$2596,24,FALSE)</f>
        <v>#N/A</v>
      </c>
    </row>
    <row r="126" ht="15.75" hidden="1" customHeight="1">
      <c r="A126" s="8">
        <v>2249399.0</v>
      </c>
      <c r="B126" s="8">
        <v>310634.0</v>
      </c>
      <c r="C126" s="9" t="s">
        <v>19</v>
      </c>
      <c r="D126" s="8">
        <v>7.0</v>
      </c>
      <c r="E126" s="8">
        <v>0.0</v>
      </c>
      <c r="F126" s="8">
        <v>0.0</v>
      </c>
      <c r="G126" s="9" t="s">
        <v>21</v>
      </c>
      <c r="H126" s="10">
        <v>44631.34931929398</v>
      </c>
      <c r="I126" s="10">
        <v>44719.364600925925</v>
      </c>
      <c r="J126" s="8">
        <v>88.0</v>
      </c>
      <c r="K126" s="11">
        <v>8100605.3</v>
      </c>
      <c r="L126" s="8" t="str">
        <f>+VLOOKUP(A126,Hoja2!$A$2:$X$2596,19,FALSE)</f>
        <v>#N/A</v>
      </c>
      <c r="M126" s="9" t="str">
        <f>+VLOOKUP(A126,Hoja2!$A$2:$X$2596,15,FALSE)</f>
        <v>#N/A</v>
      </c>
      <c r="N126" s="9" t="str">
        <f>+VLOOKUP(A126,Hoja2!$A$2:$X$2596,17,FALSE)</f>
        <v>#N/A</v>
      </c>
      <c r="O126" s="9" t="str">
        <f>+VLOOKUP(A126,Hoja2!$A$2:$X$2596,22,FALSE)</f>
        <v>#N/A</v>
      </c>
      <c r="P126" s="9" t="str">
        <f>+VLOOKUP(A126,Hoja2!$A$2:$X$2596,23,FALSE)</f>
        <v>#N/A</v>
      </c>
      <c r="Q126" s="9" t="str">
        <f>+VLOOKUP(A126,Hoja2!$A$2:$X$2596,24,FALSE)</f>
        <v>#N/A</v>
      </c>
    </row>
    <row r="127" ht="15.75" hidden="1" customHeight="1">
      <c r="A127" s="8">
        <v>2249399.0</v>
      </c>
      <c r="B127" s="8">
        <v>310634.0</v>
      </c>
      <c r="C127" s="9" t="s">
        <v>19</v>
      </c>
      <c r="D127" s="8">
        <v>2.0</v>
      </c>
      <c r="E127" s="8">
        <v>2.0</v>
      </c>
      <c r="F127" s="8">
        <v>0.0</v>
      </c>
      <c r="G127" s="9" t="s">
        <v>18</v>
      </c>
      <c r="H127" s="10">
        <v>44750.42962260417</v>
      </c>
      <c r="I127" s="10">
        <v>44872.42549216435</v>
      </c>
      <c r="J127" s="8">
        <v>122.0</v>
      </c>
      <c r="K127" s="11">
        <v>8100605.3</v>
      </c>
      <c r="L127" s="8" t="str">
        <f>+VLOOKUP(A127,Hoja2!$A$2:$X$2596,19,FALSE)</f>
        <v>#N/A</v>
      </c>
      <c r="M127" s="9" t="str">
        <f>+VLOOKUP(A127,Hoja2!$A$2:$X$2596,15,FALSE)</f>
        <v>#N/A</v>
      </c>
      <c r="N127" s="9" t="str">
        <f>+VLOOKUP(A127,Hoja2!$A$2:$X$2596,17,FALSE)</f>
        <v>#N/A</v>
      </c>
      <c r="O127" s="9" t="str">
        <f>+VLOOKUP(A127,Hoja2!$A$2:$X$2596,22,FALSE)</f>
        <v>#N/A</v>
      </c>
      <c r="P127" s="9" t="str">
        <f>+VLOOKUP(A127,Hoja2!$A$2:$X$2596,23,FALSE)</f>
        <v>#N/A</v>
      </c>
      <c r="Q127" s="9" t="str">
        <f>+VLOOKUP(A127,Hoja2!$A$2:$X$2596,24,FALSE)</f>
        <v>#N/A</v>
      </c>
    </row>
    <row r="128" ht="15.75" hidden="1" customHeight="1">
      <c r="A128" s="8">
        <v>2249399.0</v>
      </c>
      <c r="B128" s="8">
        <v>310634.0</v>
      </c>
      <c r="C128" s="9" t="s">
        <v>19</v>
      </c>
      <c r="D128" s="8">
        <v>1.0</v>
      </c>
      <c r="E128" s="8">
        <v>1.0</v>
      </c>
      <c r="F128" s="8">
        <v>0.0</v>
      </c>
      <c r="G128" s="9" t="s">
        <v>18</v>
      </c>
      <c r="H128" s="10">
        <v>44890.0345034375</v>
      </c>
      <c r="I128" s="10">
        <v>44897.637115046295</v>
      </c>
      <c r="J128" s="8">
        <v>7.0</v>
      </c>
      <c r="K128" s="11">
        <v>8100605.3</v>
      </c>
      <c r="L128" s="8" t="str">
        <f>+VLOOKUP(A128,Hoja2!$A$2:$X$2596,19,FALSE)</f>
        <v>#N/A</v>
      </c>
      <c r="M128" s="9" t="str">
        <f>+VLOOKUP(A128,Hoja2!$A$2:$X$2596,15,FALSE)</f>
        <v>#N/A</v>
      </c>
      <c r="N128" s="9" t="str">
        <f>+VLOOKUP(A128,Hoja2!$A$2:$X$2596,17,FALSE)</f>
        <v>#N/A</v>
      </c>
      <c r="O128" s="9" t="str">
        <f>+VLOOKUP(A128,Hoja2!$A$2:$X$2596,22,FALSE)</f>
        <v>#N/A</v>
      </c>
      <c r="P128" s="9" t="str">
        <f>+VLOOKUP(A128,Hoja2!$A$2:$X$2596,23,FALSE)</f>
        <v>#N/A</v>
      </c>
      <c r="Q128" s="9" t="str">
        <f>+VLOOKUP(A128,Hoja2!$A$2:$X$2596,24,FALSE)</f>
        <v>#N/A</v>
      </c>
    </row>
    <row r="129" ht="15.75" hidden="1" customHeight="1">
      <c r="A129" s="8">
        <v>2249399.0</v>
      </c>
      <c r="B129" s="8">
        <v>310634.0</v>
      </c>
      <c r="C129" s="9" t="s">
        <v>19</v>
      </c>
      <c r="D129" s="8">
        <v>2.0</v>
      </c>
      <c r="E129" s="8">
        <v>1.0</v>
      </c>
      <c r="F129" s="8">
        <v>0.0</v>
      </c>
      <c r="G129" s="9" t="s">
        <v>18</v>
      </c>
      <c r="H129" s="10">
        <v>45036.501947372686</v>
      </c>
      <c r="I129" s="10">
        <v>45068.65964146991</v>
      </c>
      <c r="J129" s="8">
        <v>32.0</v>
      </c>
      <c r="K129" s="11">
        <v>8100605.3</v>
      </c>
      <c r="L129" s="8" t="str">
        <f>+VLOOKUP(A129,Hoja2!$A$2:$X$2596,19,FALSE)</f>
        <v>#N/A</v>
      </c>
      <c r="M129" s="9" t="str">
        <f>+VLOOKUP(A129,Hoja2!$A$2:$X$2596,15,FALSE)</f>
        <v>#N/A</v>
      </c>
      <c r="N129" s="9" t="str">
        <f>+VLOOKUP(A129,Hoja2!$A$2:$X$2596,17,FALSE)</f>
        <v>#N/A</v>
      </c>
      <c r="O129" s="9" t="str">
        <f>+VLOOKUP(A129,Hoja2!$A$2:$X$2596,22,FALSE)</f>
        <v>#N/A</v>
      </c>
      <c r="P129" s="9" t="str">
        <f>+VLOOKUP(A129,Hoja2!$A$2:$X$2596,23,FALSE)</f>
        <v>#N/A</v>
      </c>
      <c r="Q129" s="9" t="str">
        <f>+VLOOKUP(A129,Hoja2!$A$2:$X$2596,24,FALSE)</f>
        <v>#N/A</v>
      </c>
    </row>
    <row r="130" ht="15.75" customHeight="1">
      <c r="A130" s="8">
        <v>2249399.0</v>
      </c>
      <c r="B130" s="8">
        <v>310634.0</v>
      </c>
      <c r="C130" s="9" t="s">
        <v>20</v>
      </c>
      <c r="D130" s="8">
        <v>4.0</v>
      </c>
      <c r="E130" s="8">
        <v>2.0</v>
      </c>
      <c r="F130" s="8">
        <v>0.0</v>
      </c>
      <c r="G130" s="9" t="s">
        <v>18</v>
      </c>
      <c r="H130" s="10">
        <v>45156.602838506944</v>
      </c>
      <c r="I130" s="10">
        <v>45223.71446944444</v>
      </c>
      <c r="J130" s="8">
        <v>67.0</v>
      </c>
      <c r="K130" s="11">
        <v>8100605.3</v>
      </c>
      <c r="L130" s="8" t="str">
        <f>+VLOOKUP(A130,Hoja2!$A$2:$X$2596,19,FALSE)</f>
        <v>#N/A</v>
      </c>
      <c r="M130" s="9" t="str">
        <f>+VLOOKUP(A130,Hoja2!$A$2:$X$2596,15,FALSE)</f>
        <v>#N/A</v>
      </c>
      <c r="N130" s="9" t="str">
        <f>+VLOOKUP(A130,Hoja2!$A$2:$X$2596,17,FALSE)</f>
        <v>#N/A</v>
      </c>
      <c r="O130" s="9" t="str">
        <f>+VLOOKUP(A130,Hoja2!$A$2:$X$2596,22,FALSE)</f>
        <v>#N/A</v>
      </c>
      <c r="P130" s="9" t="str">
        <f>+VLOOKUP(A130,Hoja2!$A$2:$X$2596,23,FALSE)</f>
        <v>#N/A</v>
      </c>
      <c r="Q130" s="9" t="str">
        <f>+VLOOKUP(A130,Hoja2!$A$2:$X$2596,24,FALSE)</f>
        <v>#N/A</v>
      </c>
    </row>
    <row r="131" ht="15.75" hidden="1" customHeight="1">
      <c r="A131" s="8">
        <v>2254952.0</v>
      </c>
      <c r="B131" s="8">
        <v>313624.0</v>
      </c>
      <c r="C131" s="9" t="s">
        <v>17</v>
      </c>
      <c r="D131" s="8">
        <v>3.0</v>
      </c>
      <c r="E131" s="8">
        <v>0.0</v>
      </c>
      <c r="F131" s="8">
        <v>0.0</v>
      </c>
      <c r="G131" s="9" t="s">
        <v>21</v>
      </c>
      <c r="H131" s="10">
        <v>44691.43095084491</v>
      </c>
      <c r="I131" s="10">
        <v>44700.41905081018</v>
      </c>
      <c r="J131" s="8">
        <v>9.0</v>
      </c>
      <c r="K131" s="11">
        <v>9331636.36</v>
      </c>
      <c r="L131" s="8" t="str">
        <f>+VLOOKUP(A131,Hoja2!$A$2:$X$2596,19,FALSE)</f>
        <v>#N/A</v>
      </c>
      <c r="M131" s="9" t="str">
        <f>+VLOOKUP(A131,Hoja2!$A$2:$X$2596,15,FALSE)</f>
        <v>#N/A</v>
      </c>
      <c r="N131" s="9" t="str">
        <f>+VLOOKUP(A131,Hoja2!$A$2:$X$2596,17,FALSE)</f>
        <v>#N/A</v>
      </c>
      <c r="O131" s="9" t="str">
        <f>+VLOOKUP(A131,Hoja2!$A$2:$X$2596,22,FALSE)</f>
        <v>#N/A</v>
      </c>
      <c r="P131" s="9" t="str">
        <f>+VLOOKUP(A131,Hoja2!$A$2:$X$2596,23,FALSE)</f>
        <v>#N/A</v>
      </c>
      <c r="Q131" s="9" t="str">
        <f>+VLOOKUP(A131,Hoja2!$A$2:$X$2596,24,FALSE)</f>
        <v>#N/A</v>
      </c>
    </row>
    <row r="132" ht="15.75" hidden="1" customHeight="1">
      <c r="A132" s="8">
        <v>2272127.0</v>
      </c>
      <c r="B132" s="8">
        <v>319965.0</v>
      </c>
      <c r="C132" s="9" t="s">
        <v>24</v>
      </c>
      <c r="D132" s="8">
        <v>2.0</v>
      </c>
      <c r="E132" s="8">
        <v>0.0</v>
      </c>
      <c r="F132" s="8">
        <v>0.0</v>
      </c>
      <c r="G132" s="9" t="s">
        <v>21</v>
      </c>
      <c r="H132" s="10">
        <v>44806.70427303241</v>
      </c>
      <c r="I132" s="10">
        <v>44818.898934641205</v>
      </c>
      <c r="J132" s="8">
        <v>12.0</v>
      </c>
      <c r="K132" s="11">
        <v>2.726877185E7</v>
      </c>
      <c r="L132" s="8" t="str">
        <f>+VLOOKUP(A132,Hoja2!$A$2:$X$2596,19,FALSE)</f>
        <v>#N/A</v>
      </c>
      <c r="M132" s="9" t="str">
        <f>+VLOOKUP(A132,Hoja2!$A$2:$X$2596,15,FALSE)</f>
        <v>#N/A</v>
      </c>
      <c r="N132" s="9" t="str">
        <f>+VLOOKUP(A132,Hoja2!$A$2:$X$2596,17,FALSE)</f>
        <v>#N/A</v>
      </c>
      <c r="O132" s="9" t="str">
        <f>+VLOOKUP(A132,Hoja2!$A$2:$X$2596,22,FALSE)</f>
        <v>#N/A</v>
      </c>
      <c r="P132" s="9" t="str">
        <f>+VLOOKUP(A132,Hoja2!$A$2:$X$2596,23,FALSE)</f>
        <v>#N/A</v>
      </c>
      <c r="Q132" s="9" t="str">
        <f>+VLOOKUP(A132,Hoja2!$A$2:$X$2596,24,FALSE)</f>
        <v>#N/A</v>
      </c>
    </row>
    <row r="133" ht="15.75" hidden="1" customHeight="1">
      <c r="A133" s="8">
        <v>2302380.0</v>
      </c>
      <c r="B133" s="8">
        <v>321053.0</v>
      </c>
      <c r="C133" s="9" t="s">
        <v>17</v>
      </c>
      <c r="D133" s="8">
        <v>2.0</v>
      </c>
      <c r="E133" s="8">
        <v>0.0</v>
      </c>
      <c r="F133" s="8">
        <v>0.0</v>
      </c>
      <c r="G133" s="9" t="s">
        <v>21</v>
      </c>
      <c r="H133" s="10">
        <v>44315.85247222222</v>
      </c>
      <c r="I133" s="10">
        <v>44323.33596466435</v>
      </c>
      <c r="J133" s="8">
        <v>8.0</v>
      </c>
      <c r="K133" s="11">
        <v>1.368917931E7</v>
      </c>
      <c r="L133" s="8" t="str">
        <f>+VLOOKUP(A133,Hoja2!$A$2:$X$2596,19,FALSE)</f>
        <v>#N/A</v>
      </c>
      <c r="M133" s="9" t="str">
        <f>+VLOOKUP(A133,Hoja2!$A$2:$X$2596,15,FALSE)</f>
        <v>#N/A</v>
      </c>
      <c r="N133" s="9" t="str">
        <f>+VLOOKUP(A133,Hoja2!$A$2:$X$2596,17,FALSE)</f>
        <v>#N/A</v>
      </c>
      <c r="O133" s="9" t="str">
        <f>+VLOOKUP(A133,Hoja2!$A$2:$X$2596,22,FALSE)</f>
        <v>#N/A</v>
      </c>
      <c r="P133" s="9" t="str">
        <f>+VLOOKUP(A133,Hoja2!$A$2:$X$2596,23,FALSE)</f>
        <v>#N/A</v>
      </c>
      <c r="Q133" s="9" t="str">
        <f>+VLOOKUP(A133,Hoja2!$A$2:$X$2596,24,FALSE)</f>
        <v>#N/A</v>
      </c>
    </row>
    <row r="134" ht="15.75" hidden="1" customHeight="1">
      <c r="A134" s="8">
        <v>2302380.0</v>
      </c>
      <c r="B134" s="8">
        <v>321053.0</v>
      </c>
      <c r="C134" s="9" t="s">
        <v>17</v>
      </c>
      <c r="D134" s="8">
        <v>2.0</v>
      </c>
      <c r="E134" s="8">
        <v>0.0</v>
      </c>
      <c r="F134" s="8">
        <v>0.0</v>
      </c>
      <c r="G134" s="9" t="s">
        <v>21</v>
      </c>
      <c r="H134" s="10">
        <v>44650.481549502314</v>
      </c>
      <c r="I134" s="10">
        <v>44655.39238287037</v>
      </c>
      <c r="J134" s="8">
        <v>5.0</v>
      </c>
      <c r="K134" s="11">
        <v>1.368917931E7</v>
      </c>
      <c r="L134" s="8" t="str">
        <f>+VLOOKUP(A134,Hoja2!$A$2:$X$2596,19,FALSE)</f>
        <v>#N/A</v>
      </c>
      <c r="M134" s="9" t="str">
        <f>+VLOOKUP(A134,Hoja2!$A$2:$X$2596,15,FALSE)</f>
        <v>#N/A</v>
      </c>
      <c r="N134" s="9" t="str">
        <f>+VLOOKUP(A134,Hoja2!$A$2:$X$2596,17,FALSE)</f>
        <v>#N/A</v>
      </c>
      <c r="O134" s="9" t="str">
        <f>+VLOOKUP(A134,Hoja2!$A$2:$X$2596,22,FALSE)</f>
        <v>#N/A</v>
      </c>
      <c r="P134" s="9" t="str">
        <f>+VLOOKUP(A134,Hoja2!$A$2:$X$2596,23,FALSE)</f>
        <v>#N/A</v>
      </c>
      <c r="Q134" s="9" t="str">
        <f>+VLOOKUP(A134,Hoja2!$A$2:$X$2596,24,FALSE)</f>
        <v>#N/A</v>
      </c>
    </row>
    <row r="135" ht="15.75" hidden="1" customHeight="1">
      <c r="A135" s="8">
        <v>2283221.0</v>
      </c>
      <c r="B135" s="8">
        <v>325461.0</v>
      </c>
      <c r="C135" s="9" t="s">
        <v>17</v>
      </c>
      <c r="D135" s="8">
        <v>2.0</v>
      </c>
      <c r="E135" s="8">
        <v>0.0</v>
      </c>
      <c r="F135" s="8">
        <v>0.0</v>
      </c>
      <c r="G135" s="9" t="s">
        <v>21</v>
      </c>
      <c r="H135" s="10">
        <v>45350.99676026621</v>
      </c>
      <c r="I135" s="10">
        <v>45359.70328202546</v>
      </c>
      <c r="J135" s="8">
        <v>9.0</v>
      </c>
      <c r="K135" s="11">
        <v>1.362920376E7</v>
      </c>
      <c r="L135" s="8" t="str">
        <f>+VLOOKUP(A135,Hoja2!$A$2:$X$2596,19,FALSE)</f>
        <v>#N/A</v>
      </c>
      <c r="M135" s="9" t="str">
        <f>+VLOOKUP(A135,Hoja2!$A$2:$X$2596,15,FALSE)</f>
        <v>#N/A</v>
      </c>
      <c r="N135" s="9" t="str">
        <f>+VLOOKUP(A135,Hoja2!$A$2:$X$2596,17,FALSE)</f>
        <v>#N/A</v>
      </c>
      <c r="O135" s="9" t="str">
        <f>+VLOOKUP(A135,Hoja2!$A$2:$X$2596,22,FALSE)</f>
        <v>#N/A</v>
      </c>
      <c r="P135" s="9" t="str">
        <f>+VLOOKUP(A135,Hoja2!$A$2:$X$2596,23,FALSE)</f>
        <v>#N/A</v>
      </c>
      <c r="Q135" s="9" t="str">
        <f>+VLOOKUP(A135,Hoja2!$A$2:$X$2596,24,FALSE)</f>
        <v>#N/A</v>
      </c>
    </row>
    <row r="136" ht="15.75" hidden="1" customHeight="1">
      <c r="A136" s="8">
        <v>2283221.0</v>
      </c>
      <c r="B136" s="8">
        <v>325461.0</v>
      </c>
      <c r="C136" s="9" t="s">
        <v>17</v>
      </c>
      <c r="D136" s="8">
        <v>2.0</v>
      </c>
      <c r="E136" s="8">
        <v>0.0</v>
      </c>
      <c r="F136" s="8">
        <v>0.0</v>
      </c>
      <c r="G136" s="9" t="s">
        <v>21</v>
      </c>
      <c r="H136" s="10">
        <v>45523.33782299769</v>
      </c>
      <c r="I136" s="10">
        <v>45530.73254571759</v>
      </c>
      <c r="J136" s="8">
        <v>7.0</v>
      </c>
      <c r="K136" s="11">
        <v>1.362920376E7</v>
      </c>
      <c r="L136" s="8" t="str">
        <f>+VLOOKUP(A136,Hoja2!$A$2:$X$2596,19,FALSE)</f>
        <v>#N/A</v>
      </c>
      <c r="M136" s="9" t="str">
        <f>+VLOOKUP(A136,Hoja2!$A$2:$X$2596,15,FALSE)</f>
        <v>#N/A</v>
      </c>
      <c r="N136" s="9" t="str">
        <f>+VLOOKUP(A136,Hoja2!$A$2:$X$2596,17,FALSE)</f>
        <v>#N/A</v>
      </c>
      <c r="O136" s="9" t="str">
        <f>+VLOOKUP(A136,Hoja2!$A$2:$X$2596,22,FALSE)</f>
        <v>#N/A</v>
      </c>
      <c r="P136" s="9" t="str">
        <f>+VLOOKUP(A136,Hoja2!$A$2:$X$2596,23,FALSE)</f>
        <v>#N/A</v>
      </c>
      <c r="Q136" s="9" t="str">
        <f>+VLOOKUP(A136,Hoja2!$A$2:$X$2596,24,FALSE)</f>
        <v>#N/A</v>
      </c>
    </row>
    <row r="137" ht="15.75" hidden="1" customHeight="1">
      <c r="A137" s="8">
        <v>2283221.0</v>
      </c>
      <c r="B137" s="8">
        <v>325461.0</v>
      </c>
      <c r="C137" s="9" t="s">
        <v>25</v>
      </c>
      <c r="D137" s="8">
        <v>0.0</v>
      </c>
      <c r="E137" s="8">
        <v>0.0</v>
      </c>
      <c r="F137" s="8">
        <v>0.0</v>
      </c>
      <c r="G137" s="9" t="s">
        <v>26</v>
      </c>
      <c r="H137" s="10">
        <v>45799.005902777775</v>
      </c>
      <c r="I137" s="10">
        <v>45799.005902777775</v>
      </c>
      <c r="J137" s="8">
        <v>0.0</v>
      </c>
      <c r="K137" s="11">
        <v>1.362920376E7</v>
      </c>
      <c r="L137" s="8" t="str">
        <f>+VLOOKUP(A137,Hoja2!$A$2:$X$2596,19,FALSE)</f>
        <v>#N/A</v>
      </c>
      <c r="M137" s="9" t="str">
        <f>+VLOOKUP(A137,Hoja2!$A$2:$X$2596,15,FALSE)</f>
        <v>#N/A</v>
      </c>
      <c r="N137" s="9" t="str">
        <f>+VLOOKUP(A137,Hoja2!$A$2:$X$2596,17,FALSE)</f>
        <v>#N/A</v>
      </c>
      <c r="O137" s="9" t="str">
        <f>+VLOOKUP(A137,Hoja2!$A$2:$X$2596,22,FALSE)</f>
        <v>#N/A</v>
      </c>
      <c r="P137" s="9" t="str">
        <f>+VLOOKUP(A137,Hoja2!$A$2:$X$2596,23,FALSE)</f>
        <v>#N/A</v>
      </c>
      <c r="Q137" s="9" t="str">
        <f>+VLOOKUP(A137,Hoja2!$A$2:$X$2596,24,FALSE)</f>
        <v>#N/A</v>
      </c>
    </row>
    <row r="138" ht="15.75" hidden="1" customHeight="1">
      <c r="A138" s="8">
        <v>2283221.0</v>
      </c>
      <c r="B138" s="8">
        <v>325461.0</v>
      </c>
      <c r="C138" s="9" t="s">
        <v>25</v>
      </c>
      <c r="D138" s="8">
        <v>0.0</v>
      </c>
      <c r="E138" s="8">
        <v>0.0</v>
      </c>
      <c r="F138" s="8">
        <v>0.0</v>
      </c>
      <c r="G138" s="9" t="s">
        <v>26</v>
      </c>
      <c r="H138" s="10">
        <v>45799.00639756944</v>
      </c>
      <c r="I138" s="10">
        <v>45799.00639756944</v>
      </c>
      <c r="J138" s="8">
        <v>0.0</v>
      </c>
      <c r="K138" s="11">
        <v>1.362920376E7</v>
      </c>
      <c r="L138" s="8" t="str">
        <f>+VLOOKUP(A138,Hoja2!$A$2:$X$2596,19,FALSE)</f>
        <v>#N/A</v>
      </c>
      <c r="M138" s="9" t="str">
        <f>+VLOOKUP(A138,Hoja2!$A$2:$X$2596,15,FALSE)</f>
        <v>#N/A</v>
      </c>
      <c r="N138" s="9" t="str">
        <f>+VLOOKUP(A138,Hoja2!$A$2:$X$2596,17,FALSE)</f>
        <v>#N/A</v>
      </c>
      <c r="O138" s="9" t="str">
        <f>+VLOOKUP(A138,Hoja2!$A$2:$X$2596,22,FALSE)</f>
        <v>#N/A</v>
      </c>
      <c r="P138" s="9" t="str">
        <f>+VLOOKUP(A138,Hoja2!$A$2:$X$2596,23,FALSE)</f>
        <v>#N/A</v>
      </c>
      <c r="Q138" s="9" t="str">
        <f>+VLOOKUP(A138,Hoja2!$A$2:$X$2596,24,FALSE)</f>
        <v>#N/A</v>
      </c>
    </row>
    <row r="139" ht="15.75" hidden="1" customHeight="1">
      <c r="A139" s="8">
        <v>2283221.0</v>
      </c>
      <c r="B139" s="8">
        <v>325461.0</v>
      </c>
      <c r="C139" s="9" t="s">
        <v>25</v>
      </c>
      <c r="D139" s="8">
        <v>0.0</v>
      </c>
      <c r="E139" s="8">
        <v>0.0</v>
      </c>
      <c r="F139" s="8">
        <v>0.0</v>
      </c>
      <c r="G139" s="9" t="s">
        <v>26</v>
      </c>
      <c r="H139" s="10">
        <v>45799.53435509259</v>
      </c>
      <c r="I139" s="10">
        <v>45799.53435509259</v>
      </c>
      <c r="J139" s="8">
        <v>0.0</v>
      </c>
      <c r="K139" s="11">
        <v>1.362920376E7</v>
      </c>
      <c r="L139" s="8" t="str">
        <f>+VLOOKUP(A139,Hoja2!$A$2:$X$2596,19,FALSE)</f>
        <v>#N/A</v>
      </c>
      <c r="M139" s="9" t="str">
        <f>+VLOOKUP(A139,Hoja2!$A$2:$X$2596,15,FALSE)</f>
        <v>#N/A</v>
      </c>
      <c r="N139" s="9" t="str">
        <f>+VLOOKUP(A139,Hoja2!$A$2:$X$2596,17,FALSE)</f>
        <v>#N/A</v>
      </c>
      <c r="O139" s="9" t="str">
        <f>+VLOOKUP(A139,Hoja2!$A$2:$X$2596,22,FALSE)</f>
        <v>#N/A</v>
      </c>
      <c r="P139" s="9" t="str">
        <f>+VLOOKUP(A139,Hoja2!$A$2:$X$2596,23,FALSE)</f>
        <v>#N/A</v>
      </c>
      <c r="Q139" s="9" t="str">
        <f>+VLOOKUP(A139,Hoja2!$A$2:$X$2596,24,FALSE)</f>
        <v>#N/A</v>
      </c>
    </row>
    <row r="140" ht="15.75" hidden="1" customHeight="1">
      <c r="A140" s="8">
        <v>2283221.0</v>
      </c>
      <c r="B140" s="8">
        <v>325461.0</v>
      </c>
      <c r="C140" s="9" t="s">
        <v>19</v>
      </c>
      <c r="D140" s="8">
        <v>2.0</v>
      </c>
      <c r="E140" s="8">
        <v>0.0</v>
      </c>
      <c r="F140" s="8">
        <v>0.0</v>
      </c>
      <c r="G140" s="9" t="s">
        <v>21</v>
      </c>
      <c r="H140" s="10">
        <v>45800.497317361114</v>
      </c>
      <c r="I140" s="10">
        <v>45810.38147361111</v>
      </c>
      <c r="J140" s="8">
        <v>10.0</v>
      </c>
      <c r="K140" s="11">
        <v>1.362920376E7</v>
      </c>
      <c r="L140" s="8" t="str">
        <f>+VLOOKUP(A140,Hoja2!$A$2:$X$2596,19,FALSE)</f>
        <v>#N/A</v>
      </c>
      <c r="M140" s="9" t="str">
        <f>+VLOOKUP(A140,Hoja2!$A$2:$X$2596,15,FALSE)</f>
        <v>#N/A</v>
      </c>
      <c r="N140" s="9" t="str">
        <f>+VLOOKUP(A140,Hoja2!$A$2:$X$2596,17,FALSE)</f>
        <v>#N/A</v>
      </c>
      <c r="O140" s="9" t="str">
        <f>+VLOOKUP(A140,Hoja2!$A$2:$X$2596,22,FALSE)</f>
        <v>#N/A</v>
      </c>
      <c r="P140" s="9" t="str">
        <f>+VLOOKUP(A140,Hoja2!$A$2:$X$2596,23,FALSE)</f>
        <v>#N/A</v>
      </c>
      <c r="Q140" s="9" t="str">
        <f>+VLOOKUP(A140,Hoja2!$A$2:$X$2596,24,FALSE)</f>
        <v>#N/A</v>
      </c>
    </row>
    <row r="141" ht="15.75" hidden="1" customHeight="1">
      <c r="A141" s="8">
        <v>2283221.0</v>
      </c>
      <c r="B141" s="8">
        <v>325461.0</v>
      </c>
      <c r="C141" s="9" t="s">
        <v>22</v>
      </c>
      <c r="D141" s="8">
        <v>2.0</v>
      </c>
      <c r="E141" s="8">
        <v>0.0</v>
      </c>
      <c r="F141" s="8">
        <v>0.0</v>
      </c>
      <c r="G141" s="9" t="s">
        <v>21</v>
      </c>
      <c r="H141" s="10">
        <v>45903.76601327546</v>
      </c>
      <c r="I141" s="10">
        <v>45914.9442849537</v>
      </c>
      <c r="J141" s="8">
        <v>11.0</v>
      </c>
      <c r="K141" s="11">
        <v>1.362920376E7</v>
      </c>
      <c r="L141" s="8" t="str">
        <f>+VLOOKUP(A141,Hoja2!$A$2:$X$2596,19,FALSE)</f>
        <v>#N/A</v>
      </c>
      <c r="M141" s="9" t="str">
        <f>+VLOOKUP(A141,Hoja2!$A$2:$X$2596,15,FALSE)</f>
        <v>#N/A</v>
      </c>
      <c r="N141" s="9" t="str">
        <f>+VLOOKUP(A141,Hoja2!$A$2:$X$2596,17,FALSE)</f>
        <v>#N/A</v>
      </c>
      <c r="O141" s="9" t="str">
        <f>+VLOOKUP(A141,Hoja2!$A$2:$X$2596,22,FALSE)</f>
        <v>#N/A</v>
      </c>
      <c r="P141" s="9" t="str">
        <f>+VLOOKUP(A141,Hoja2!$A$2:$X$2596,23,FALSE)</f>
        <v>#N/A</v>
      </c>
      <c r="Q141" s="9" t="str">
        <f>+VLOOKUP(A141,Hoja2!$A$2:$X$2596,24,FALSE)</f>
        <v>#N/A</v>
      </c>
    </row>
    <row r="142" ht="15.75" hidden="1" customHeight="1">
      <c r="A142" s="8">
        <v>2288258.0</v>
      </c>
      <c r="B142" s="8">
        <v>329934.0</v>
      </c>
      <c r="C142" s="9" t="s">
        <v>19</v>
      </c>
      <c r="D142" s="8">
        <v>2.0</v>
      </c>
      <c r="E142" s="8">
        <v>0.0</v>
      </c>
      <c r="F142" s="8">
        <v>0.0</v>
      </c>
      <c r="G142" s="9" t="s">
        <v>21</v>
      </c>
      <c r="H142" s="10">
        <v>44263.00558394676</v>
      </c>
      <c r="I142" s="10">
        <v>44278.4580190162</v>
      </c>
      <c r="J142" s="8">
        <v>15.0</v>
      </c>
      <c r="K142" s="11">
        <v>118647.05</v>
      </c>
      <c r="L142" s="8" t="str">
        <f>+VLOOKUP(A142,Hoja2!$A$2:$X$2596,19,FALSE)</f>
        <v>#N/A</v>
      </c>
      <c r="M142" s="9" t="str">
        <f>+VLOOKUP(A142,Hoja2!$A$2:$X$2596,15,FALSE)</f>
        <v>#N/A</v>
      </c>
      <c r="N142" s="9" t="str">
        <f>+VLOOKUP(A142,Hoja2!$A$2:$X$2596,17,FALSE)</f>
        <v>#N/A</v>
      </c>
      <c r="O142" s="9" t="str">
        <f>+VLOOKUP(A142,Hoja2!$A$2:$X$2596,22,FALSE)</f>
        <v>#N/A</v>
      </c>
      <c r="P142" s="9" t="str">
        <f>+VLOOKUP(A142,Hoja2!$A$2:$X$2596,23,FALSE)</f>
        <v>#N/A</v>
      </c>
      <c r="Q142" s="9" t="str">
        <f>+VLOOKUP(A142,Hoja2!$A$2:$X$2596,24,FALSE)</f>
        <v>#N/A</v>
      </c>
    </row>
    <row r="143" ht="15.75" hidden="1" customHeight="1">
      <c r="A143" s="8">
        <v>2288258.0</v>
      </c>
      <c r="B143" s="8">
        <v>329934.0</v>
      </c>
      <c r="C143" s="9" t="s">
        <v>17</v>
      </c>
      <c r="D143" s="8">
        <v>5.0</v>
      </c>
      <c r="E143" s="8">
        <v>2.0</v>
      </c>
      <c r="F143" s="8">
        <v>0.0</v>
      </c>
      <c r="G143" s="9" t="s">
        <v>18</v>
      </c>
      <c r="H143" s="10">
        <v>44384.619723958334</v>
      </c>
      <c r="I143" s="10">
        <v>44537.41479768518</v>
      </c>
      <c r="J143" s="8">
        <v>153.0</v>
      </c>
      <c r="K143" s="11">
        <v>118647.05</v>
      </c>
      <c r="L143" s="8" t="str">
        <f>+VLOOKUP(A143,Hoja2!$A$2:$X$2596,19,FALSE)</f>
        <v>#N/A</v>
      </c>
      <c r="M143" s="9" t="str">
        <f>+VLOOKUP(A143,Hoja2!$A$2:$X$2596,15,FALSE)</f>
        <v>#N/A</v>
      </c>
      <c r="N143" s="9" t="str">
        <f>+VLOOKUP(A143,Hoja2!$A$2:$X$2596,17,FALSE)</f>
        <v>#N/A</v>
      </c>
      <c r="O143" s="9" t="str">
        <f>+VLOOKUP(A143,Hoja2!$A$2:$X$2596,22,FALSE)</f>
        <v>#N/A</v>
      </c>
      <c r="P143" s="9" t="str">
        <f>+VLOOKUP(A143,Hoja2!$A$2:$X$2596,23,FALSE)</f>
        <v>#N/A</v>
      </c>
      <c r="Q143" s="9" t="str">
        <f>+VLOOKUP(A143,Hoja2!$A$2:$X$2596,24,FALSE)</f>
        <v>#N/A</v>
      </c>
    </row>
    <row r="144" ht="15.75" hidden="1" customHeight="1">
      <c r="A144" s="8">
        <v>2288258.0</v>
      </c>
      <c r="B144" s="8">
        <v>329934.0</v>
      </c>
      <c r="C144" s="9" t="s">
        <v>17</v>
      </c>
      <c r="D144" s="8">
        <v>1.0</v>
      </c>
      <c r="E144" s="8">
        <v>1.0</v>
      </c>
      <c r="F144" s="8">
        <v>0.0</v>
      </c>
      <c r="G144" s="9" t="s">
        <v>18</v>
      </c>
      <c r="H144" s="10">
        <v>44606.87742341435</v>
      </c>
      <c r="I144" s="10">
        <v>44634.58868533565</v>
      </c>
      <c r="J144" s="8">
        <v>28.0</v>
      </c>
      <c r="K144" s="11">
        <v>118647.05</v>
      </c>
      <c r="L144" s="8" t="str">
        <f>+VLOOKUP(A144,Hoja2!$A$2:$X$2596,19,FALSE)</f>
        <v>#N/A</v>
      </c>
      <c r="M144" s="9" t="str">
        <f>+VLOOKUP(A144,Hoja2!$A$2:$X$2596,15,FALSE)</f>
        <v>#N/A</v>
      </c>
      <c r="N144" s="9" t="str">
        <f>+VLOOKUP(A144,Hoja2!$A$2:$X$2596,17,FALSE)</f>
        <v>#N/A</v>
      </c>
      <c r="O144" s="9" t="str">
        <f>+VLOOKUP(A144,Hoja2!$A$2:$X$2596,22,FALSE)</f>
        <v>#N/A</v>
      </c>
      <c r="P144" s="9" t="str">
        <f>+VLOOKUP(A144,Hoja2!$A$2:$X$2596,23,FALSE)</f>
        <v>#N/A</v>
      </c>
      <c r="Q144" s="9" t="str">
        <f>+VLOOKUP(A144,Hoja2!$A$2:$X$2596,24,FALSE)</f>
        <v>#N/A</v>
      </c>
    </row>
    <row r="145" ht="15.75" hidden="1" customHeight="1">
      <c r="A145" s="8">
        <v>2288258.0</v>
      </c>
      <c r="B145" s="8">
        <v>329934.0</v>
      </c>
      <c r="C145" s="9" t="s">
        <v>19</v>
      </c>
      <c r="D145" s="8">
        <v>2.0</v>
      </c>
      <c r="E145" s="8">
        <v>2.0</v>
      </c>
      <c r="F145" s="8">
        <v>0.0</v>
      </c>
      <c r="G145" s="9" t="s">
        <v>18</v>
      </c>
      <c r="H145" s="10">
        <v>44680.99680069445</v>
      </c>
      <c r="I145" s="10">
        <v>44800.869556446756</v>
      </c>
      <c r="J145" s="8">
        <v>120.0</v>
      </c>
      <c r="K145" s="11">
        <v>118647.05</v>
      </c>
      <c r="L145" s="8" t="str">
        <f>+VLOOKUP(A145,Hoja2!$A$2:$X$2596,19,FALSE)</f>
        <v>#N/A</v>
      </c>
      <c r="M145" s="9" t="str">
        <f>+VLOOKUP(A145,Hoja2!$A$2:$X$2596,15,FALSE)</f>
        <v>#N/A</v>
      </c>
      <c r="N145" s="9" t="str">
        <f>+VLOOKUP(A145,Hoja2!$A$2:$X$2596,17,FALSE)</f>
        <v>#N/A</v>
      </c>
      <c r="O145" s="9" t="str">
        <f>+VLOOKUP(A145,Hoja2!$A$2:$X$2596,22,FALSE)</f>
        <v>#N/A</v>
      </c>
      <c r="P145" s="9" t="str">
        <f>+VLOOKUP(A145,Hoja2!$A$2:$X$2596,23,FALSE)</f>
        <v>#N/A</v>
      </c>
      <c r="Q145" s="9" t="str">
        <f>+VLOOKUP(A145,Hoja2!$A$2:$X$2596,24,FALSE)</f>
        <v>#N/A</v>
      </c>
    </row>
    <row r="146" ht="15.75" hidden="1" customHeight="1">
      <c r="A146" s="8">
        <v>2288258.0</v>
      </c>
      <c r="B146" s="8">
        <v>329934.0</v>
      </c>
      <c r="C146" s="9" t="s">
        <v>17</v>
      </c>
      <c r="D146" s="8">
        <v>2.0</v>
      </c>
      <c r="E146" s="8">
        <v>0.0</v>
      </c>
      <c r="F146" s="8">
        <v>0.0</v>
      </c>
      <c r="G146" s="9" t="s">
        <v>21</v>
      </c>
      <c r="H146" s="10">
        <v>45141.88331107639</v>
      </c>
      <c r="I146" s="10">
        <v>45152.429486030094</v>
      </c>
      <c r="J146" s="8">
        <v>11.0</v>
      </c>
      <c r="K146" s="11">
        <v>118647.05</v>
      </c>
      <c r="L146" s="8" t="str">
        <f>+VLOOKUP(A146,Hoja2!$A$2:$X$2596,19,FALSE)</f>
        <v>#N/A</v>
      </c>
      <c r="M146" s="9" t="str">
        <f>+VLOOKUP(A146,Hoja2!$A$2:$X$2596,15,FALSE)</f>
        <v>#N/A</v>
      </c>
      <c r="N146" s="9" t="str">
        <f>+VLOOKUP(A146,Hoja2!$A$2:$X$2596,17,FALSE)</f>
        <v>#N/A</v>
      </c>
      <c r="O146" s="9" t="str">
        <f>+VLOOKUP(A146,Hoja2!$A$2:$X$2596,22,FALSE)</f>
        <v>#N/A</v>
      </c>
      <c r="P146" s="9" t="str">
        <f>+VLOOKUP(A146,Hoja2!$A$2:$X$2596,23,FALSE)</f>
        <v>#N/A</v>
      </c>
      <c r="Q146" s="9" t="str">
        <f>+VLOOKUP(A146,Hoja2!$A$2:$X$2596,24,FALSE)</f>
        <v>#N/A</v>
      </c>
    </row>
    <row r="147" ht="15.75" hidden="1" customHeight="1">
      <c r="A147" s="8">
        <v>2288258.0</v>
      </c>
      <c r="B147" s="8">
        <v>329934.0</v>
      </c>
      <c r="C147" s="9" t="s">
        <v>19</v>
      </c>
      <c r="D147" s="8">
        <v>1.0</v>
      </c>
      <c r="E147" s="8">
        <v>5.0</v>
      </c>
      <c r="F147" s="8">
        <v>0.0</v>
      </c>
      <c r="G147" s="9" t="s">
        <v>18</v>
      </c>
      <c r="H147" s="10">
        <v>45274.103396875</v>
      </c>
      <c r="I147" s="10">
        <v>45448.52028186343</v>
      </c>
      <c r="J147" s="8">
        <v>174.0</v>
      </c>
      <c r="K147" s="11">
        <v>118647.05</v>
      </c>
      <c r="L147" s="8" t="str">
        <f>+VLOOKUP(A147,Hoja2!$A$2:$X$2596,19,FALSE)</f>
        <v>#N/A</v>
      </c>
      <c r="M147" s="9" t="str">
        <f>+VLOOKUP(A147,Hoja2!$A$2:$X$2596,15,FALSE)</f>
        <v>#N/A</v>
      </c>
      <c r="N147" s="9" t="str">
        <f>+VLOOKUP(A147,Hoja2!$A$2:$X$2596,17,FALSE)</f>
        <v>#N/A</v>
      </c>
      <c r="O147" s="9" t="str">
        <f>+VLOOKUP(A147,Hoja2!$A$2:$X$2596,22,FALSE)</f>
        <v>#N/A</v>
      </c>
      <c r="P147" s="9" t="str">
        <f>+VLOOKUP(A147,Hoja2!$A$2:$X$2596,23,FALSE)</f>
        <v>#N/A</v>
      </c>
      <c r="Q147" s="9" t="str">
        <f>+VLOOKUP(A147,Hoja2!$A$2:$X$2596,24,FALSE)</f>
        <v>#N/A</v>
      </c>
    </row>
    <row r="148" ht="15.75" hidden="1" customHeight="1">
      <c r="A148" s="8">
        <v>2288258.0</v>
      </c>
      <c r="B148" s="8">
        <v>329934.0</v>
      </c>
      <c r="C148" s="9" t="s">
        <v>22</v>
      </c>
      <c r="D148" s="8">
        <v>1.0</v>
      </c>
      <c r="E148" s="8">
        <v>8.0</v>
      </c>
      <c r="F148" s="8">
        <v>1.0</v>
      </c>
      <c r="G148" s="9" t="s">
        <v>23</v>
      </c>
      <c r="H148" s="10">
        <v>45712.442256863425</v>
      </c>
      <c r="I148" s="10">
        <v>45909.74420864583</v>
      </c>
      <c r="J148" s="8">
        <v>197.0</v>
      </c>
      <c r="K148" s="11">
        <v>118647.05</v>
      </c>
      <c r="L148" s="8" t="str">
        <f>+VLOOKUP(A148,Hoja2!$A$2:$X$2596,19,FALSE)</f>
        <v>#N/A</v>
      </c>
      <c r="M148" s="9" t="str">
        <f>+VLOOKUP(A148,Hoja2!$A$2:$X$2596,15,FALSE)</f>
        <v>#N/A</v>
      </c>
      <c r="N148" s="9" t="str">
        <f>+VLOOKUP(A148,Hoja2!$A$2:$X$2596,17,FALSE)</f>
        <v>#N/A</v>
      </c>
      <c r="O148" s="9" t="str">
        <f>+VLOOKUP(A148,Hoja2!$A$2:$X$2596,22,FALSE)</f>
        <v>#N/A</v>
      </c>
      <c r="P148" s="9" t="str">
        <f>+VLOOKUP(A148,Hoja2!$A$2:$X$2596,23,FALSE)</f>
        <v>#N/A</v>
      </c>
      <c r="Q148" s="9" t="str">
        <f>+VLOOKUP(A148,Hoja2!$A$2:$X$2596,24,FALSE)</f>
        <v>#N/A</v>
      </c>
    </row>
    <row r="149" ht="15.75" hidden="1" customHeight="1">
      <c r="A149" s="8">
        <v>2289644.0</v>
      </c>
      <c r="B149" s="8">
        <v>331233.0</v>
      </c>
      <c r="C149" s="9" t="s">
        <v>17</v>
      </c>
      <c r="D149" s="8">
        <v>2.0</v>
      </c>
      <c r="E149" s="8">
        <v>0.0</v>
      </c>
      <c r="F149" s="8">
        <v>0.0</v>
      </c>
      <c r="G149" s="9" t="s">
        <v>21</v>
      </c>
      <c r="H149" s="10">
        <v>44375.85942789352</v>
      </c>
      <c r="I149" s="10">
        <v>44391.946352858795</v>
      </c>
      <c r="J149" s="8">
        <v>16.0</v>
      </c>
      <c r="K149" s="11">
        <v>1.306734249E7</v>
      </c>
      <c r="L149" s="8" t="str">
        <f>+VLOOKUP(A149,Hoja2!$A$2:$X$2596,19,FALSE)</f>
        <v>#N/A</v>
      </c>
      <c r="M149" s="9" t="str">
        <f>+VLOOKUP(A149,Hoja2!$A$2:$X$2596,15,FALSE)</f>
        <v>#N/A</v>
      </c>
      <c r="N149" s="9" t="str">
        <f>+VLOOKUP(A149,Hoja2!$A$2:$X$2596,17,FALSE)</f>
        <v>#N/A</v>
      </c>
      <c r="O149" s="9" t="str">
        <f>+VLOOKUP(A149,Hoja2!$A$2:$X$2596,22,FALSE)</f>
        <v>#N/A</v>
      </c>
      <c r="P149" s="9" t="str">
        <f>+VLOOKUP(A149,Hoja2!$A$2:$X$2596,23,FALSE)</f>
        <v>#N/A</v>
      </c>
      <c r="Q149" s="9" t="str">
        <f>+VLOOKUP(A149,Hoja2!$A$2:$X$2596,24,FALSE)</f>
        <v>#N/A</v>
      </c>
    </row>
    <row r="150" ht="15.75" hidden="1" customHeight="1">
      <c r="A150" s="8">
        <v>2289644.0</v>
      </c>
      <c r="B150" s="8">
        <v>331233.0</v>
      </c>
      <c r="C150" s="9" t="s">
        <v>19</v>
      </c>
      <c r="D150" s="8">
        <v>5.0</v>
      </c>
      <c r="E150" s="8">
        <v>2.0</v>
      </c>
      <c r="F150" s="8">
        <v>0.0</v>
      </c>
      <c r="G150" s="9" t="s">
        <v>18</v>
      </c>
      <c r="H150" s="10">
        <v>44435.11660706018</v>
      </c>
      <c r="I150" s="10">
        <v>44580.535911342595</v>
      </c>
      <c r="J150" s="8">
        <v>145.0</v>
      </c>
      <c r="K150" s="11">
        <v>1.306734249E7</v>
      </c>
      <c r="L150" s="8" t="str">
        <f>+VLOOKUP(A150,Hoja2!$A$2:$X$2596,19,FALSE)</f>
        <v>#N/A</v>
      </c>
      <c r="M150" s="9" t="str">
        <f>+VLOOKUP(A150,Hoja2!$A$2:$X$2596,15,FALSE)</f>
        <v>#N/A</v>
      </c>
      <c r="N150" s="9" t="str">
        <f>+VLOOKUP(A150,Hoja2!$A$2:$X$2596,17,FALSE)</f>
        <v>#N/A</v>
      </c>
      <c r="O150" s="9" t="str">
        <f>+VLOOKUP(A150,Hoja2!$A$2:$X$2596,22,FALSE)</f>
        <v>#N/A</v>
      </c>
      <c r="P150" s="9" t="str">
        <f>+VLOOKUP(A150,Hoja2!$A$2:$X$2596,23,FALSE)</f>
        <v>#N/A</v>
      </c>
      <c r="Q150" s="9" t="str">
        <f>+VLOOKUP(A150,Hoja2!$A$2:$X$2596,24,FALSE)</f>
        <v>#N/A</v>
      </c>
    </row>
    <row r="151" ht="15.75" hidden="1" customHeight="1">
      <c r="A151" s="8">
        <v>2289644.0</v>
      </c>
      <c r="B151" s="8">
        <v>331233.0</v>
      </c>
      <c r="C151" s="9" t="s">
        <v>19</v>
      </c>
      <c r="D151" s="8">
        <v>5.0</v>
      </c>
      <c r="E151" s="8">
        <v>3.0</v>
      </c>
      <c r="F151" s="8">
        <v>0.0</v>
      </c>
      <c r="G151" s="9" t="s">
        <v>18</v>
      </c>
      <c r="H151" s="10">
        <v>44956.7340741088</v>
      </c>
      <c r="I151" s="10">
        <v>45154.35543109954</v>
      </c>
      <c r="J151" s="8">
        <v>198.0</v>
      </c>
      <c r="K151" s="11">
        <v>1.306734249E7</v>
      </c>
      <c r="L151" s="8" t="str">
        <f>+VLOOKUP(A151,Hoja2!$A$2:$X$2596,19,FALSE)</f>
        <v>#N/A</v>
      </c>
      <c r="M151" s="9" t="str">
        <f>+VLOOKUP(A151,Hoja2!$A$2:$X$2596,15,FALSE)</f>
        <v>#N/A</v>
      </c>
      <c r="N151" s="9" t="str">
        <f>+VLOOKUP(A151,Hoja2!$A$2:$X$2596,17,FALSE)</f>
        <v>#N/A</v>
      </c>
      <c r="O151" s="9" t="str">
        <f>+VLOOKUP(A151,Hoja2!$A$2:$X$2596,22,FALSE)</f>
        <v>#N/A</v>
      </c>
      <c r="P151" s="9" t="str">
        <f>+VLOOKUP(A151,Hoja2!$A$2:$X$2596,23,FALSE)</f>
        <v>#N/A</v>
      </c>
      <c r="Q151" s="9" t="str">
        <f>+VLOOKUP(A151,Hoja2!$A$2:$X$2596,24,FALSE)</f>
        <v>#N/A</v>
      </c>
    </row>
    <row r="152" ht="15.75" hidden="1" customHeight="1">
      <c r="A152" s="8">
        <v>2289644.0</v>
      </c>
      <c r="B152" s="8">
        <v>331233.0</v>
      </c>
      <c r="C152" s="9" t="s">
        <v>19</v>
      </c>
      <c r="D152" s="8">
        <v>1.0</v>
      </c>
      <c r="E152" s="8">
        <v>1.0</v>
      </c>
      <c r="F152" s="8">
        <v>0.0</v>
      </c>
      <c r="G152" s="9" t="s">
        <v>18</v>
      </c>
      <c r="H152" s="10">
        <v>45174.436392048614</v>
      </c>
      <c r="I152" s="10">
        <v>45204.353510381945</v>
      </c>
      <c r="J152" s="8">
        <v>30.0</v>
      </c>
      <c r="K152" s="11">
        <v>1.306734249E7</v>
      </c>
      <c r="L152" s="8" t="str">
        <f>+VLOOKUP(A152,Hoja2!$A$2:$X$2596,19,FALSE)</f>
        <v>#N/A</v>
      </c>
      <c r="M152" s="9" t="str">
        <f>+VLOOKUP(A152,Hoja2!$A$2:$X$2596,15,FALSE)</f>
        <v>#N/A</v>
      </c>
      <c r="N152" s="9" t="str">
        <f>+VLOOKUP(A152,Hoja2!$A$2:$X$2596,17,FALSE)</f>
        <v>#N/A</v>
      </c>
      <c r="O152" s="9" t="str">
        <f>+VLOOKUP(A152,Hoja2!$A$2:$X$2596,22,FALSE)</f>
        <v>#N/A</v>
      </c>
      <c r="P152" s="9" t="str">
        <f>+VLOOKUP(A152,Hoja2!$A$2:$X$2596,23,FALSE)</f>
        <v>#N/A</v>
      </c>
      <c r="Q152" s="9" t="str">
        <f>+VLOOKUP(A152,Hoja2!$A$2:$X$2596,24,FALSE)</f>
        <v>#N/A</v>
      </c>
    </row>
    <row r="153" ht="15.75" customHeight="1">
      <c r="A153" s="8">
        <v>2289644.0</v>
      </c>
      <c r="B153" s="8">
        <v>331233.0</v>
      </c>
      <c r="C153" s="9" t="s">
        <v>20</v>
      </c>
      <c r="D153" s="8">
        <v>1.0</v>
      </c>
      <c r="E153" s="8">
        <v>6.0</v>
      </c>
      <c r="F153" s="8">
        <v>0.0</v>
      </c>
      <c r="G153" s="9" t="s">
        <v>18</v>
      </c>
      <c r="H153" s="10">
        <v>45327.71666420139</v>
      </c>
      <c r="I153" s="10">
        <v>45475.45194143518</v>
      </c>
      <c r="J153" s="8">
        <v>148.0</v>
      </c>
      <c r="K153" s="11">
        <v>1.306734249E7</v>
      </c>
      <c r="L153" s="8" t="str">
        <f>+VLOOKUP(A153,Hoja2!$A$2:$X$2596,19,FALSE)</f>
        <v>#N/A</v>
      </c>
      <c r="M153" s="9" t="str">
        <f>+VLOOKUP(A153,Hoja2!$A$2:$X$2596,15,FALSE)</f>
        <v>#N/A</v>
      </c>
      <c r="N153" s="9" t="str">
        <f>+VLOOKUP(A153,Hoja2!$A$2:$X$2596,17,FALSE)</f>
        <v>#N/A</v>
      </c>
      <c r="O153" s="9" t="str">
        <f>+VLOOKUP(A153,Hoja2!$A$2:$X$2596,22,FALSE)</f>
        <v>#N/A</v>
      </c>
      <c r="P153" s="9" t="str">
        <f>+VLOOKUP(A153,Hoja2!$A$2:$X$2596,23,FALSE)</f>
        <v>#N/A</v>
      </c>
      <c r="Q153" s="9" t="str">
        <f>+VLOOKUP(A153,Hoja2!$A$2:$X$2596,24,FALSE)</f>
        <v>#N/A</v>
      </c>
    </row>
    <row r="154" ht="15.75" hidden="1" customHeight="1">
      <c r="A154" s="8">
        <v>2291257.0</v>
      </c>
      <c r="B154" s="8">
        <v>332721.0</v>
      </c>
      <c r="C154" s="9" t="s">
        <v>17</v>
      </c>
      <c r="D154" s="8">
        <v>2.0</v>
      </c>
      <c r="E154" s="8">
        <v>0.0</v>
      </c>
      <c r="F154" s="8">
        <v>0.0</v>
      </c>
      <c r="G154" s="9" t="s">
        <v>21</v>
      </c>
      <c r="H154" s="10">
        <v>44684.6684128125</v>
      </c>
      <c r="I154" s="10">
        <v>44691.76543792824</v>
      </c>
      <c r="J154" s="8">
        <v>7.0</v>
      </c>
      <c r="K154" s="11">
        <v>4846573.63</v>
      </c>
      <c r="L154" s="8" t="str">
        <f>+VLOOKUP(A154,Hoja2!$A$2:$X$2596,19,FALSE)</f>
        <v>#N/A</v>
      </c>
      <c r="M154" s="9" t="str">
        <f>+VLOOKUP(A154,Hoja2!$A$2:$X$2596,15,FALSE)</f>
        <v>#N/A</v>
      </c>
      <c r="N154" s="9" t="str">
        <f>+VLOOKUP(A154,Hoja2!$A$2:$X$2596,17,FALSE)</f>
        <v>#N/A</v>
      </c>
      <c r="O154" s="9" t="str">
        <f>+VLOOKUP(A154,Hoja2!$A$2:$X$2596,22,FALSE)</f>
        <v>#N/A</v>
      </c>
      <c r="P154" s="9" t="str">
        <f>+VLOOKUP(A154,Hoja2!$A$2:$X$2596,23,FALSE)</f>
        <v>#N/A</v>
      </c>
      <c r="Q154" s="9" t="str">
        <f>+VLOOKUP(A154,Hoja2!$A$2:$X$2596,24,FALSE)</f>
        <v>#N/A</v>
      </c>
    </row>
    <row r="155" ht="15.75" hidden="1" customHeight="1">
      <c r="A155" s="8">
        <v>2300409.0</v>
      </c>
      <c r="B155" s="8">
        <v>336534.0</v>
      </c>
      <c r="C155" s="9" t="s">
        <v>19</v>
      </c>
      <c r="D155" s="8">
        <v>2.0</v>
      </c>
      <c r="E155" s="8">
        <v>0.0</v>
      </c>
      <c r="F155" s="8">
        <v>0.0</v>
      </c>
      <c r="G155" s="9" t="s">
        <v>21</v>
      </c>
      <c r="H155" s="10">
        <v>45701.54010355324</v>
      </c>
      <c r="I155" s="10">
        <v>45713.62111744213</v>
      </c>
      <c r="J155" s="8">
        <v>12.0</v>
      </c>
      <c r="K155" s="11">
        <v>2.458210127E7</v>
      </c>
      <c r="L155" s="8" t="str">
        <f>+VLOOKUP(A155,Hoja2!$A$2:$X$2596,19,FALSE)</f>
        <v>#N/A</v>
      </c>
      <c r="M155" s="9" t="str">
        <f>+VLOOKUP(A155,Hoja2!$A$2:$X$2596,15,FALSE)</f>
        <v>#N/A</v>
      </c>
      <c r="N155" s="9" t="str">
        <f>+VLOOKUP(A155,Hoja2!$A$2:$X$2596,17,FALSE)</f>
        <v>#N/A</v>
      </c>
      <c r="O155" s="9" t="str">
        <f>+VLOOKUP(A155,Hoja2!$A$2:$X$2596,22,FALSE)</f>
        <v>#N/A</v>
      </c>
      <c r="P155" s="9" t="str">
        <f>+VLOOKUP(A155,Hoja2!$A$2:$X$2596,23,FALSE)</f>
        <v>#N/A</v>
      </c>
      <c r="Q155" s="9" t="str">
        <f>+VLOOKUP(A155,Hoja2!$A$2:$X$2596,24,FALSE)</f>
        <v>#N/A</v>
      </c>
    </row>
    <row r="156" ht="15.75" customHeight="1">
      <c r="A156" s="8">
        <v>2300467.0</v>
      </c>
      <c r="B156" s="8">
        <v>336834.0</v>
      </c>
      <c r="C156" s="9" t="s">
        <v>20</v>
      </c>
      <c r="D156" s="8">
        <v>4.0</v>
      </c>
      <c r="E156" s="8">
        <v>2.0</v>
      </c>
      <c r="F156" s="8">
        <v>0.0</v>
      </c>
      <c r="G156" s="9" t="s">
        <v>18</v>
      </c>
      <c r="H156" s="10">
        <v>44398.70479351852</v>
      </c>
      <c r="I156" s="10">
        <v>44428.70705813658</v>
      </c>
      <c r="J156" s="8">
        <v>30.0</v>
      </c>
      <c r="K156" s="11">
        <v>4.904900877E7</v>
      </c>
      <c r="L156" s="8" t="str">
        <f>+VLOOKUP(A156,Hoja2!$A$2:$X$2596,19,FALSE)</f>
        <v>En Ejecución</v>
      </c>
      <c r="M156" s="9">
        <f>+VLOOKUP(A156,Hoja2!$A$2:$X$2596,15,FALSE)</f>
        <v>49850000</v>
      </c>
      <c r="N156" s="9">
        <f>+VLOOKUP(A156,Hoja2!$A$2:$X$2596,17,FALSE)</f>
        <v>1978263.23</v>
      </c>
      <c r="O156" s="9" t="str">
        <f>+VLOOKUP(A156,Hoja2!$A$2:$X$2596,22,FALSE)</f>
        <v/>
      </c>
      <c r="P156" s="9" t="str">
        <f>+VLOOKUP(A156,Hoja2!$A$2:$X$2596,23,FALSE)</f>
        <v/>
      </c>
      <c r="Q156" s="9" t="str">
        <f>+VLOOKUP(A156,Hoja2!$A$2:$X$2596,24,FALSE)</f>
        <v/>
      </c>
    </row>
    <row r="157" ht="15.75" customHeight="1">
      <c r="A157" s="8">
        <v>2300581.0</v>
      </c>
      <c r="B157" s="8">
        <v>337471.0</v>
      </c>
      <c r="C157" s="9" t="s">
        <v>20</v>
      </c>
      <c r="D157" s="8">
        <v>4.0</v>
      </c>
      <c r="E157" s="8">
        <v>6.0</v>
      </c>
      <c r="F157" s="8">
        <v>0.0</v>
      </c>
      <c r="G157" s="9" t="s">
        <v>18</v>
      </c>
      <c r="H157" s="10">
        <v>44634.669635729166</v>
      </c>
      <c r="I157" s="10">
        <v>44662.76843318287</v>
      </c>
      <c r="J157" s="8">
        <v>28.0</v>
      </c>
      <c r="K157" s="11">
        <v>4574998.94</v>
      </c>
      <c r="L157" s="8" t="str">
        <f>+VLOOKUP(A157,Hoja2!$A$2:$X$2596,19,FALSE)</f>
        <v>Concluido</v>
      </c>
      <c r="M157" s="9">
        <f>+VLOOKUP(A157,Hoja2!$A$2:$X$2596,15,FALSE)</f>
        <v>6682911.56</v>
      </c>
      <c r="N157" s="9">
        <f>+VLOOKUP(A157,Hoja2!$A$2:$X$2596,17,FALSE)</f>
        <v>300683.7</v>
      </c>
      <c r="O157" s="9">
        <f>+VLOOKUP(A157,Hoja2!$A$2:$X$2596,22,FALSE)</f>
        <v>7270848.72</v>
      </c>
      <c r="P157" s="9">
        <f>+VLOOKUP(A157,Hoja2!$A$2:$X$2596,23,FALSE)</f>
        <v>307815.51</v>
      </c>
      <c r="Q157" s="9">
        <f>+VLOOKUP(A157,Hoja2!$A$2:$X$2596,24,FALSE)</f>
        <v>0</v>
      </c>
    </row>
    <row r="158" ht="15.75" hidden="1" customHeight="1">
      <c r="A158" s="8">
        <v>2300980.0</v>
      </c>
      <c r="B158" s="8">
        <v>339151.0</v>
      </c>
      <c r="C158" s="9" t="s">
        <v>19</v>
      </c>
      <c r="D158" s="8">
        <v>2.0</v>
      </c>
      <c r="E158" s="8">
        <v>0.0</v>
      </c>
      <c r="F158" s="8">
        <v>0.0</v>
      </c>
      <c r="G158" s="9" t="s">
        <v>21</v>
      </c>
      <c r="H158" s="10">
        <v>44257.83330520833</v>
      </c>
      <c r="I158" s="10">
        <v>44263.51916793981</v>
      </c>
      <c r="J158" s="8">
        <v>6.0</v>
      </c>
      <c r="K158" s="11">
        <v>3.910971779E7</v>
      </c>
      <c r="L158" s="8" t="str">
        <f>+VLOOKUP(A158,Hoja2!$A$2:$X$2596,19,FALSE)</f>
        <v>#N/A</v>
      </c>
      <c r="M158" s="9" t="str">
        <f>+VLOOKUP(A158,Hoja2!$A$2:$X$2596,15,FALSE)</f>
        <v>#N/A</v>
      </c>
      <c r="N158" s="9" t="str">
        <f>+VLOOKUP(A158,Hoja2!$A$2:$X$2596,17,FALSE)</f>
        <v>#N/A</v>
      </c>
      <c r="O158" s="9" t="str">
        <f>+VLOOKUP(A158,Hoja2!$A$2:$X$2596,22,FALSE)</f>
        <v>#N/A</v>
      </c>
      <c r="P158" s="9" t="str">
        <f>+VLOOKUP(A158,Hoja2!$A$2:$X$2596,23,FALSE)</f>
        <v>#N/A</v>
      </c>
      <c r="Q158" s="9" t="str">
        <f>+VLOOKUP(A158,Hoja2!$A$2:$X$2596,24,FALSE)</f>
        <v>#N/A</v>
      </c>
    </row>
    <row r="159" ht="15.75" hidden="1" customHeight="1">
      <c r="A159" s="8">
        <v>2300980.0</v>
      </c>
      <c r="B159" s="8">
        <v>339151.0</v>
      </c>
      <c r="C159" s="9" t="s">
        <v>19</v>
      </c>
      <c r="D159" s="8">
        <v>4.0</v>
      </c>
      <c r="E159" s="8">
        <v>0.0</v>
      </c>
      <c r="F159" s="8">
        <v>0.0</v>
      </c>
      <c r="G159" s="9" t="s">
        <v>21</v>
      </c>
      <c r="H159" s="10">
        <v>44530.36031759259</v>
      </c>
      <c r="I159" s="10">
        <v>44599.786033599536</v>
      </c>
      <c r="J159" s="8">
        <v>69.0</v>
      </c>
      <c r="K159" s="11">
        <v>3.910971779E7</v>
      </c>
      <c r="L159" s="8" t="str">
        <f>+VLOOKUP(A159,Hoja2!$A$2:$X$2596,19,FALSE)</f>
        <v>#N/A</v>
      </c>
      <c r="M159" s="9" t="str">
        <f>+VLOOKUP(A159,Hoja2!$A$2:$X$2596,15,FALSE)</f>
        <v>#N/A</v>
      </c>
      <c r="N159" s="9" t="str">
        <f>+VLOOKUP(A159,Hoja2!$A$2:$X$2596,17,FALSE)</f>
        <v>#N/A</v>
      </c>
      <c r="O159" s="9" t="str">
        <f>+VLOOKUP(A159,Hoja2!$A$2:$X$2596,22,FALSE)</f>
        <v>#N/A</v>
      </c>
      <c r="P159" s="9" t="str">
        <f>+VLOOKUP(A159,Hoja2!$A$2:$X$2596,23,FALSE)</f>
        <v>#N/A</v>
      </c>
      <c r="Q159" s="9" t="str">
        <f>+VLOOKUP(A159,Hoja2!$A$2:$X$2596,24,FALSE)</f>
        <v>#N/A</v>
      </c>
    </row>
    <row r="160" ht="15.75" hidden="1" customHeight="1">
      <c r="A160" s="8">
        <v>2300980.0</v>
      </c>
      <c r="B160" s="8">
        <v>339151.0</v>
      </c>
      <c r="C160" s="9" t="s">
        <v>17</v>
      </c>
      <c r="D160" s="8">
        <v>3.0</v>
      </c>
      <c r="E160" s="8">
        <v>0.0</v>
      </c>
      <c r="F160" s="8">
        <v>0.0</v>
      </c>
      <c r="G160" s="9" t="s">
        <v>21</v>
      </c>
      <c r="H160" s="10">
        <v>44865.75601909722</v>
      </c>
      <c r="I160" s="10">
        <v>44909.67681751157</v>
      </c>
      <c r="J160" s="8">
        <v>44.0</v>
      </c>
      <c r="K160" s="11">
        <v>3.910971779E7</v>
      </c>
      <c r="L160" s="8" t="str">
        <f>+VLOOKUP(A160,Hoja2!$A$2:$X$2596,19,FALSE)</f>
        <v>#N/A</v>
      </c>
      <c r="M160" s="9" t="str">
        <f>+VLOOKUP(A160,Hoja2!$A$2:$X$2596,15,FALSE)</f>
        <v>#N/A</v>
      </c>
      <c r="N160" s="9" t="str">
        <f>+VLOOKUP(A160,Hoja2!$A$2:$X$2596,17,FALSE)</f>
        <v>#N/A</v>
      </c>
      <c r="O160" s="9" t="str">
        <f>+VLOOKUP(A160,Hoja2!$A$2:$X$2596,22,FALSE)</f>
        <v>#N/A</v>
      </c>
      <c r="P160" s="9" t="str">
        <f>+VLOOKUP(A160,Hoja2!$A$2:$X$2596,23,FALSE)</f>
        <v>#N/A</v>
      </c>
      <c r="Q160" s="9" t="str">
        <f>+VLOOKUP(A160,Hoja2!$A$2:$X$2596,24,FALSE)</f>
        <v>#N/A</v>
      </c>
    </row>
    <row r="161" ht="15.75" hidden="1" customHeight="1">
      <c r="A161" s="8">
        <v>2310445.0</v>
      </c>
      <c r="B161" s="8">
        <v>339728.0</v>
      </c>
      <c r="C161" s="9" t="s">
        <v>19</v>
      </c>
      <c r="D161" s="8">
        <v>2.0</v>
      </c>
      <c r="E161" s="8">
        <v>0.0</v>
      </c>
      <c r="F161" s="8">
        <v>0.0</v>
      </c>
      <c r="G161" s="9" t="s">
        <v>21</v>
      </c>
      <c r="H161" s="10">
        <v>44251.38393295139</v>
      </c>
      <c r="I161" s="10">
        <v>44253.778849270835</v>
      </c>
      <c r="J161" s="8">
        <v>2.0</v>
      </c>
      <c r="K161" s="11">
        <v>1.836570264E7</v>
      </c>
      <c r="L161" s="8" t="str">
        <f>+VLOOKUP(A161,Hoja2!$A$2:$X$2596,19,FALSE)</f>
        <v>#N/A</v>
      </c>
      <c r="M161" s="9" t="str">
        <f>+VLOOKUP(A161,Hoja2!$A$2:$X$2596,15,FALSE)</f>
        <v>#N/A</v>
      </c>
      <c r="N161" s="9" t="str">
        <f>+VLOOKUP(A161,Hoja2!$A$2:$X$2596,17,FALSE)</f>
        <v>#N/A</v>
      </c>
      <c r="O161" s="9" t="str">
        <f>+VLOOKUP(A161,Hoja2!$A$2:$X$2596,22,FALSE)</f>
        <v>#N/A</v>
      </c>
      <c r="P161" s="9" t="str">
        <f>+VLOOKUP(A161,Hoja2!$A$2:$X$2596,23,FALSE)</f>
        <v>#N/A</v>
      </c>
      <c r="Q161" s="9" t="str">
        <f>+VLOOKUP(A161,Hoja2!$A$2:$X$2596,24,FALSE)</f>
        <v>#N/A</v>
      </c>
    </row>
    <row r="162" ht="15.75" hidden="1" customHeight="1">
      <c r="A162" s="8">
        <v>2310445.0</v>
      </c>
      <c r="B162" s="8">
        <v>339728.0</v>
      </c>
      <c r="C162" s="9" t="s">
        <v>17</v>
      </c>
      <c r="D162" s="8">
        <v>3.0</v>
      </c>
      <c r="E162" s="8">
        <v>0.0</v>
      </c>
      <c r="F162" s="8">
        <v>0.0</v>
      </c>
      <c r="G162" s="9" t="s">
        <v>21</v>
      </c>
      <c r="H162" s="10">
        <v>44382.54853353009</v>
      </c>
      <c r="I162" s="10">
        <v>44396.78275219908</v>
      </c>
      <c r="J162" s="8">
        <v>14.0</v>
      </c>
      <c r="K162" s="11">
        <v>1.836570264E7</v>
      </c>
      <c r="L162" s="8" t="str">
        <f>+VLOOKUP(A162,Hoja2!$A$2:$X$2596,19,FALSE)</f>
        <v>#N/A</v>
      </c>
      <c r="M162" s="9" t="str">
        <f>+VLOOKUP(A162,Hoja2!$A$2:$X$2596,15,FALSE)</f>
        <v>#N/A</v>
      </c>
      <c r="N162" s="9" t="str">
        <f>+VLOOKUP(A162,Hoja2!$A$2:$X$2596,17,FALSE)</f>
        <v>#N/A</v>
      </c>
      <c r="O162" s="9" t="str">
        <f>+VLOOKUP(A162,Hoja2!$A$2:$X$2596,22,FALSE)</f>
        <v>#N/A</v>
      </c>
      <c r="P162" s="9" t="str">
        <f>+VLOOKUP(A162,Hoja2!$A$2:$X$2596,23,FALSE)</f>
        <v>#N/A</v>
      </c>
      <c r="Q162" s="9" t="str">
        <f>+VLOOKUP(A162,Hoja2!$A$2:$X$2596,24,FALSE)</f>
        <v>#N/A</v>
      </c>
    </row>
    <row r="163" ht="15.75" hidden="1" customHeight="1">
      <c r="A163" s="8">
        <v>2310445.0</v>
      </c>
      <c r="B163" s="8">
        <v>339728.0</v>
      </c>
      <c r="C163" s="9" t="s">
        <v>17</v>
      </c>
      <c r="D163" s="8">
        <v>2.0</v>
      </c>
      <c r="E163" s="8">
        <v>0.0</v>
      </c>
      <c r="F163" s="8">
        <v>0.0</v>
      </c>
      <c r="G163" s="9" t="s">
        <v>21</v>
      </c>
      <c r="H163" s="10">
        <v>44445.66001959491</v>
      </c>
      <c r="I163" s="10">
        <v>44448.65284510417</v>
      </c>
      <c r="J163" s="8">
        <v>3.0</v>
      </c>
      <c r="K163" s="11">
        <v>1.836570264E7</v>
      </c>
      <c r="L163" s="8" t="str">
        <f>+VLOOKUP(A163,Hoja2!$A$2:$X$2596,19,FALSE)</f>
        <v>#N/A</v>
      </c>
      <c r="M163" s="9" t="str">
        <f>+VLOOKUP(A163,Hoja2!$A$2:$X$2596,15,FALSE)</f>
        <v>#N/A</v>
      </c>
      <c r="N163" s="9" t="str">
        <f>+VLOOKUP(A163,Hoja2!$A$2:$X$2596,17,FALSE)</f>
        <v>#N/A</v>
      </c>
      <c r="O163" s="9" t="str">
        <f>+VLOOKUP(A163,Hoja2!$A$2:$X$2596,22,FALSE)</f>
        <v>#N/A</v>
      </c>
      <c r="P163" s="9" t="str">
        <f>+VLOOKUP(A163,Hoja2!$A$2:$X$2596,23,FALSE)</f>
        <v>#N/A</v>
      </c>
      <c r="Q163" s="9" t="str">
        <f>+VLOOKUP(A163,Hoja2!$A$2:$X$2596,24,FALSE)</f>
        <v>#N/A</v>
      </c>
    </row>
    <row r="164" ht="15.75" hidden="1" customHeight="1">
      <c r="A164" s="8">
        <v>2310445.0</v>
      </c>
      <c r="B164" s="8">
        <v>339728.0</v>
      </c>
      <c r="C164" s="9" t="s">
        <v>17</v>
      </c>
      <c r="D164" s="8">
        <v>3.0</v>
      </c>
      <c r="E164" s="8">
        <v>1.0</v>
      </c>
      <c r="F164" s="8">
        <v>0.0</v>
      </c>
      <c r="G164" s="9" t="s">
        <v>18</v>
      </c>
      <c r="H164" s="10">
        <v>44522.48356674769</v>
      </c>
      <c r="I164" s="10">
        <v>44603.667003125</v>
      </c>
      <c r="J164" s="8">
        <v>81.0</v>
      </c>
      <c r="K164" s="11">
        <v>1.836570264E7</v>
      </c>
      <c r="L164" s="8" t="str">
        <f>+VLOOKUP(A164,Hoja2!$A$2:$X$2596,19,FALSE)</f>
        <v>#N/A</v>
      </c>
      <c r="M164" s="9" t="str">
        <f>+VLOOKUP(A164,Hoja2!$A$2:$X$2596,15,FALSE)</f>
        <v>#N/A</v>
      </c>
      <c r="N164" s="9" t="str">
        <f>+VLOOKUP(A164,Hoja2!$A$2:$X$2596,17,FALSE)</f>
        <v>#N/A</v>
      </c>
      <c r="O164" s="9" t="str">
        <f>+VLOOKUP(A164,Hoja2!$A$2:$X$2596,22,FALSE)</f>
        <v>#N/A</v>
      </c>
      <c r="P164" s="9" t="str">
        <f>+VLOOKUP(A164,Hoja2!$A$2:$X$2596,23,FALSE)</f>
        <v>#N/A</v>
      </c>
      <c r="Q164" s="9" t="str">
        <f>+VLOOKUP(A164,Hoja2!$A$2:$X$2596,24,FALSE)</f>
        <v>#N/A</v>
      </c>
    </row>
    <row r="165" ht="15.75" hidden="1" customHeight="1">
      <c r="A165" s="8">
        <v>2299020.0</v>
      </c>
      <c r="B165" s="8">
        <v>340725.0</v>
      </c>
      <c r="C165" s="9" t="s">
        <v>17</v>
      </c>
      <c r="D165" s="8">
        <v>3.0</v>
      </c>
      <c r="E165" s="8">
        <v>1.0</v>
      </c>
      <c r="F165" s="8">
        <v>0.0</v>
      </c>
      <c r="G165" s="9" t="s">
        <v>18</v>
      </c>
      <c r="H165" s="10">
        <v>44512.485459375</v>
      </c>
      <c r="I165" s="10">
        <v>44603.83471820602</v>
      </c>
      <c r="J165" s="8">
        <v>91.0</v>
      </c>
      <c r="K165" s="11">
        <v>1740313.87</v>
      </c>
      <c r="L165" s="8" t="str">
        <f>+VLOOKUP(A165,Hoja2!$A$2:$X$2596,19,FALSE)</f>
        <v>#N/A</v>
      </c>
      <c r="M165" s="9" t="str">
        <f>+VLOOKUP(A165,Hoja2!$A$2:$X$2596,15,FALSE)</f>
        <v>#N/A</v>
      </c>
      <c r="N165" s="9" t="str">
        <f>+VLOOKUP(A165,Hoja2!$A$2:$X$2596,17,FALSE)</f>
        <v>#N/A</v>
      </c>
      <c r="O165" s="9" t="str">
        <f>+VLOOKUP(A165,Hoja2!$A$2:$X$2596,22,FALSE)</f>
        <v>#N/A</v>
      </c>
      <c r="P165" s="9" t="str">
        <f>+VLOOKUP(A165,Hoja2!$A$2:$X$2596,23,FALSE)</f>
        <v>#N/A</v>
      </c>
      <c r="Q165" s="9" t="str">
        <f>+VLOOKUP(A165,Hoja2!$A$2:$X$2596,24,FALSE)</f>
        <v>#N/A</v>
      </c>
    </row>
    <row r="166" ht="15.75" hidden="1" customHeight="1">
      <c r="A166" s="8">
        <v>2299020.0</v>
      </c>
      <c r="B166" s="8">
        <v>340725.0</v>
      </c>
      <c r="C166" s="9" t="s">
        <v>19</v>
      </c>
      <c r="D166" s="8">
        <v>4.0</v>
      </c>
      <c r="E166" s="8">
        <v>2.0</v>
      </c>
      <c r="F166" s="8">
        <v>0.0</v>
      </c>
      <c r="G166" s="9" t="s">
        <v>18</v>
      </c>
      <c r="H166" s="10">
        <v>44781.6733565625</v>
      </c>
      <c r="I166" s="10">
        <v>44960.70429869213</v>
      </c>
      <c r="J166" s="8">
        <v>179.0</v>
      </c>
      <c r="K166" s="11">
        <v>1740313.87</v>
      </c>
      <c r="L166" s="8" t="str">
        <f>+VLOOKUP(A166,Hoja2!$A$2:$X$2596,19,FALSE)</f>
        <v>#N/A</v>
      </c>
      <c r="M166" s="9" t="str">
        <f>+VLOOKUP(A166,Hoja2!$A$2:$X$2596,15,FALSE)</f>
        <v>#N/A</v>
      </c>
      <c r="N166" s="9" t="str">
        <f>+VLOOKUP(A166,Hoja2!$A$2:$X$2596,17,FALSE)</f>
        <v>#N/A</v>
      </c>
      <c r="O166" s="9" t="str">
        <f>+VLOOKUP(A166,Hoja2!$A$2:$X$2596,22,FALSE)</f>
        <v>#N/A</v>
      </c>
      <c r="P166" s="9" t="str">
        <f>+VLOOKUP(A166,Hoja2!$A$2:$X$2596,23,FALSE)</f>
        <v>#N/A</v>
      </c>
      <c r="Q166" s="9" t="str">
        <f>+VLOOKUP(A166,Hoja2!$A$2:$X$2596,24,FALSE)</f>
        <v>#N/A</v>
      </c>
    </row>
    <row r="167" ht="15.75" hidden="1" customHeight="1">
      <c r="A167" s="8">
        <v>2303028.0</v>
      </c>
      <c r="B167" s="8">
        <v>342077.0</v>
      </c>
      <c r="C167" s="9" t="s">
        <v>19</v>
      </c>
      <c r="D167" s="8">
        <v>3.0</v>
      </c>
      <c r="E167" s="8">
        <v>0.0</v>
      </c>
      <c r="F167" s="8">
        <v>0.0</v>
      </c>
      <c r="G167" s="9" t="s">
        <v>21</v>
      </c>
      <c r="H167" s="10">
        <v>44221.9693096412</v>
      </c>
      <c r="I167" s="10">
        <v>44341.48449795139</v>
      </c>
      <c r="J167" s="8">
        <v>120.0</v>
      </c>
      <c r="K167" s="11">
        <v>1.105660853E7</v>
      </c>
      <c r="L167" s="8" t="str">
        <f>+VLOOKUP(A167,Hoja2!$A$2:$X$2596,19,FALSE)</f>
        <v>#N/A</v>
      </c>
      <c r="M167" s="9" t="str">
        <f>+VLOOKUP(A167,Hoja2!$A$2:$X$2596,15,FALSE)</f>
        <v>#N/A</v>
      </c>
      <c r="N167" s="9" t="str">
        <f>+VLOOKUP(A167,Hoja2!$A$2:$X$2596,17,FALSE)</f>
        <v>#N/A</v>
      </c>
      <c r="O167" s="9" t="str">
        <f>+VLOOKUP(A167,Hoja2!$A$2:$X$2596,22,FALSE)</f>
        <v>#N/A</v>
      </c>
      <c r="P167" s="9" t="str">
        <f>+VLOOKUP(A167,Hoja2!$A$2:$X$2596,23,FALSE)</f>
        <v>#N/A</v>
      </c>
      <c r="Q167" s="9" t="str">
        <f>+VLOOKUP(A167,Hoja2!$A$2:$X$2596,24,FALSE)</f>
        <v>#N/A</v>
      </c>
    </row>
    <row r="168" ht="15.75" hidden="1" customHeight="1">
      <c r="A168" s="8">
        <v>2303028.0</v>
      </c>
      <c r="B168" s="8">
        <v>342077.0</v>
      </c>
      <c r="C168" s="9" t="s">
        <v>17</v>
      </c>
      <c r="D168" s="8">
        <v>2.0</v>
      </c>
      <c r="E168" s="8">
        <v>0.0</v>
      </c>
      <c r="F168" s="8">
        <v>0.0</v>
      </c>
      <c r="G168" s="9" t="s">
        <v>21</v>
      </c>
      <c r="H168" s="10">
        <v>44385.58144591435</v>
      </c>
      <c r="I168" s="10">
        <v>44403.67923217593</v>
      </c>
      <c r="J168" s="8">
        <v>18.0</v>
      </c>
      <c r="K168" s="11">
        <v>1.105660853E7</v>
      </c>
      <c r="L168" s="8" t="str">
        <f>+VLOOKUP(A168,Hoja2!$A$2:$X$2596,19,FALSE)</f>
        <v>#N/A</v>
      </c>
      <c r="M168" s="9" t="str">
        <f>+VLOOKUP(A168,Hoja2!$A$2:$X$2596,15,FALSE)</f>
        <v>#N/A</v>
      </c>
      <c r="N168" s="9" t="str">
        <f>+VLOOKUP(A168,Hoja2!$A$2:$X$2596,17,FALSE)</f>
        <v>#N/A</v>
      </c>
      <c r="O168" s="9" t="str">
        <f>+VLOOKUP(A168,Hoja2!$A$2:$X$2596,22,FALSE)</f>
        <v>#N/A</v>
      </c>
      <c r="P168" s="9" t="str">
        <f>+VLOOKUP(A168,Hoja2!$A$2:$X$2596,23,FALSE)</f>
        <v>#N/A</v>
      </c>
      <c r="Q168" s="9" t="str">
        <f>+VLOOKUP(A168,Hoja2!$A$2:$X$2596,24,FALSE)</f>
        <v>#N/A</v>
      </c>
    </row>
    <row r="169" ht="15.75" hidden="1" customHeight="1">
      <c r="A169" s="8">
        <v>2303028.0</v>
      </c>
      <c r="B169" s="8">
        <v>342077.0</v>
      </c>
      <c r="C169" s="9" t="s">
        <v>17</v>
      </c>
      <c r="D169" s="8">
        <v>2.0</v>
      </c>
      <c r="E169" s="8">
        <v>1.0</v>
      </c>
      <c r="F169" s="8">
        <v>0.0</v>
      </c>
      <c r="G169" s="9" t="s">
        <v>18</v>
      </c>
      <c r="H169" s="10">
        <v>44461.444107951385</v>
      </c>
      <c r="I169" s="10">
        <v>44566.66724930555</v>
      </c>
      <c r="J169" s="8">
        <v>105.0</v>
      </c>
      <c r="K169" s="11">
        <v>1.105660853E7</v>
      </c>
      <c r="L169" s="8" t="str">
        <f>+VLOOKUP(A169,Hoja2!$A$2:$X$2596,19,FALSE)</f>
        <v>#N/A</v>
      </c>
      <c r="M169" s="9" t="str">
        <f>+VLOOKUP(A169,Hoja2!$A$2:$X$2596,15,FALSE)</f>
        <v>#N/A</v>
      </c>
      <c r="N169" s="9" t="str">
        <f>+VLOOKUP(A169,Hoja2!$A$2:$X$2596,17,FALSE)</f>
        <v>#N/A</v>
      </c>
      <c r="O169" s="9" t="str">
        <f>+VLOOKUP(A169,Hoja2!$A$2:$X$2596,22,FALSE)</f>
        <v>#N/A</v>
      </c>
      <c r="P169" s="9" t="str">
        <f>+VLOOKUP(A169,Hoja2!$A$2:$X$2596,23,FALSE)</f>
        <v>#N/A</v>
      </c>
      <c r="Q169" s="9" t="str">
        <f>+VLOOKUP(A169,Hoja2!$A$2:$X$2596,24,FALSE)</f>
        <v>#N/A</v>
      </c>
    </row>
    <row r="170" ht="15.75" hidden="1" customHeight="1">
      <c r="A170" s="8">
        <v>2303028.0</v>
      </c>
      <c r="B170" s="8">
        <v>342077.0</v>
      </c>
      <c r="C170" s="9" t="s">
        <v>19</v>
      </c>
      <c r="D170" s="8">
        <v>2.0</v>
      </c>
      <c r="E170" s="8">
        <v>1.0</v>
      </c>
      <c r="F170" s="8">
        <v>0.0</v>
      </c>
      <c r="G170" s="9" t="s">
        <v>18</v>
      </c>
      <c r="H170" s="10">
        <v>45259.75637592593</v>
      </c>
      <c r="I170" s="10">
        <v>45261.99709586806</v>
      </c>
      <c r="J170" s="8">
        <v>2.0</v>
      </c>
      <c r="K170" s="11">
        <v>1.105660853E7</v>
      </c>
      <c r="L170" s="8" t="str">
        <f>+VLOOKUP(A170,Hoja2!$A$2:$X$2596,19,FALSE)</f>
        <v>#N/A</v>
      </c>
      <c r="M170" s="9" t="str">
        <f>+VLOOKUP(A170,Hoja2!$A$2:$X$2596,15,FALSE)</f>
        <v>#N/A</v>
      </c>
      <c r="N170" s="9" t="str">
        <f>+VLOOKUP(A170,Hoja2!$A$2:$X$2596,17,FALSE)</f>
        <v>#N/A</v>
      </c>
      <c r="O170" s="9" t="str">
        <f>+VLOOKUP(A170,Hoja2!$A$2:$X$2596,22,FALSE)</f>
        <v>#N/A</v>
      </c>
      <c r="P170" s="9" t="str">
        <f>+VLOOKUP(A170,Hoja2!$A$2:$X$2596,23,FALSE)</f>
        <v>#N/A</v>
      </c>
      <c r="Q170" s="9" t="str">
        <f>+VLOOKUP(A170,Hoja2!$A$2:$X$2596,24,FALSE)</f>
        <v>#N/A</v>
      </c>
    </row>
    <row r="171" ht="15.75" customHeight="1">
      <c r="A171" s="8">
        <v>2305004.0</v>
      </c>
      <c r="B171" s="8">
        <v>343834.0</v>
      </c>
      <c r="C171" s="9" t="s">
        <v>20</v>
      </c>
      <c r="D171" s="8">
        <v>3.0</v>
      </c>
      <c r="E171" s="8">
        <v>1.0</v>
      </c>
      <c r="F171" s="8">
        <v>0.0</v>
      </c>
      <c r="G171" s="9" t="s">
        <v>18</v>
      </c>
      <c r="H171" s="10">
        <v>44387.72354637732</v>
      </c>
      <c r="I171" s="10">
        <v>44399.34016420139</v>
      </c>
      <c r="J171" s="8">
        <v>12.0</v>
      </c>
      <c r="K171" s="11">
        <v>1.964053371E7</v>
      </c>
      <c r="L171" s="8" t="str">
        <f>+VLOOKUP(A171,Hoja2!$A$2:$X$2596,19,FALSE)</f>
        <v>Concluido</v>
      </c>
      <c r="M171" s="9">
        <f>+VLOOKUP(A171,Hoja2!$A$2:$X$2596,15,FALSE)</f>
        <v>11538047.96</v>
      </c>
      <c r="N171" s="9">
        <f>+VLOOKUP(A171,Hoja2!$A$2:$X$2596,17,FALSE)</f>
        <v>487114.8</v>
      </c>
      <c r="O171" s="9" t="str">
        <f>+VLOOKUP(A171,Hoja2!$A$2:$X$2596,22,FALSE)</f>
        <v/>
      </c>
      <c r="P171" s="9" t="str">
        <f>+VLOOKUP(A171,Hoja2!$A$2:$X$2596,23,FALSE)</f>
        <v/>
      </c>
      <c r="Q171" s="9" t="str">
        <f>+VLOOKUP(A171,Hoja2!$A$2:$X$2596,24,FALSE)</f>
        <v/>
      </c>
    </row>
    <row r="172" ht="15.75" hidden="1" customHeight="1">
      <c r="A172" s="8">
        <v>2305851.0</v>
      </c>
      <c r="B172" s="8">
        <v>344572.0</v>
      </c>
      <c r="C172" s="9" t="s">
        <v>17</v>
      </c>
      <c r="D172" s="8">
        <v>5.0</v>
      </c>
      <c r="E172" s="8">
        <v>0.0</v>
      </c>
      <c r="F172" s="8">
        <v>0.0</v>
      </c>
      <c r="G172" s="9" t="s">
        <v>21</v>
      </c>
      <c r="H172" s="10">
        <v>44789.89192299768</v>
      </c>
      <c r="I172" s="10">
        <v>44830.57394070602</v>
      </c>
      <c r="J172" s="8">
        <v>41.0</v>
      </c>
      <c r="K172" s="11">
        <v>5.177257692E7</v>
      </c>
      <c r="L172" s="8" t="str">
        <f>+VLOOKUP(A172,Hoja2!$A$2:$X$2596,19,FALSE)</f>
        <v>#N/A</v>
      </c>
      <c r="M172" s="9" t="str">
        <f>+VLOOKUP(A172,Hoja2!$A$2:$X$2596,15,FALSE)</f>
        <v>#N/A</v>
      </c>
      <c r="N172" s="9" t="str">
        <f>+VLOOKUP(A172,Hoja2!$A$2:$X$2596,17,FALSE)</f>
        <v>#N/A</v>
      </c>
      <c r="O172" s="9" t="str">
        <f>+VLOOKUP(A172,Hoja2!$A$2:$X$2596,22,FALSE)</f>
        <v>#N/A</v>
      </c>
      <c r="P172" s="9" t="str">
        <f>+VLOOKUP(A172,Hoja2!$A$2:$X$2596,23,FALSE)</f>
        <v>#N/A</v>
      </c>
      <c r="Q172" s="9" t="str">
        <f>+VLOOKUP(A172,Hoja2!$A$2:$X$2596,24,FALSE)</f>
        <v>#N/A</v>
      </c>
    </row>
    <row r="173" ht="15.75" hidden="1" customHeight="1">
      <c r="A173" s="8">
        <v>2305851.0</v>
      </c>
      <c r="B173" s="8">
        <v>344572.0</v>
      </c>
      <c r="C173" s="9" t="s">
        <v>17</v>
      </c>
      <c r="D173" s="8">
        <v>2.0</v>
      </c>
      <c r="E173" s="8">
        <v>0.0</v>
      </c>
      <c r="F173" s="8">
        <v>0.0</v>
      </c>
      <c r="G173" s="9" t="s">
        <v>21</v>
      </c>
      <c r="H173" s="10">
        <v>45197.65984626157</v>
      </c>
      <c r="I173" s="10">
        <v>45209.72164606481</v>
      </c>
      <c r="J173" s="8">
        <v>12.0</v>
      </c>
      <c r="K173" s="11">
        <v>5.177257692E7</v>
      </c>
      <c r="L173" s="8" t="str">
        <f>+VLOOKUP(A173,Hoja2!$A$2:$X$2596,19,FALSE)</f>
        <v>#N/A</v>
      </c>
      <c r="M173" s="9" t="str">
        <f>+VLOOKUP(A173,Hoja2!$A$2:$X$2596,15,FALSE)</f>
        <v>#N/A</v>
      </c>
      <c r="N173" s="9" t="str">
        <f>+VLOOKUP(A173,Hoja2!$A$2:$X$2596,17,FALSE)</f>
        <v>#N/A</v>
      </c>
      <c r="O173" s="9" t="str">
        <f>+VLOOKUP(A173,Hoja2!$A$2:$X$2596,22,FALSE)</f>
        <v>#N/A</v>
      </c>
      <c r="P173" s="9" t="str">
        <f>+VLOOKUP(A173,Hoja2!$A$2:$X$2596,23,FALSE)</f>
        <v>#N/A</v>
      </c>
      <c r="Q173" s="9" t="str">
        <f>+VLOOKUP(A173,Hoja2!$A$2:$X$2596,24,FALSE)</f>
        <v>#N/A</v>
      </c>
    </row>
    <row r="174" ht="15.75" hidden="1" customHeight="1">
      <c r="A174" s="8">
        <v>2305851.0</v>
      </c>
      <c r="B174" s="8">
        <v>344572.0</v>
      </c>
      <c r="C174" s="9" t="s">
        <v>19</v>
      </c>
      <c r="D174" s="8">
        <v>2.0</v>
      </c>
      <c r="E174" s="8">
        <v>3.0</v>
      </c>
      <c r="F174" s="8">
        <v>0.0</v>
      </c>
      <c r="G174" s="9" t="s">
        <v>18</v>
      </c>
      <c r="H174" s="10">
        <v>45253.301434988425</v>
      </c>
      <c r="I174" s="10">
        <v>45426.61060104167</v>
      </c>
      <c r="J174" s="8">
        <v>173.0</v>
      </c>
      <c r="K174" s="11">
        <v>5.177257692E7</v>
      </c>
      <c r="L174" s="8" t="str">
        <f>+VLOOKUP(A174,Hoja2!$A$2:$X$2596,19,FALSE)</f>
        <v>#N/A</v>
      </c>
      <c r="M174" s="9" t="str">
        <f>+VLOOKUP(A174,Hoja2!$A$2:$X$2596,15,FALSE)</f>
        <v>#N/A</v>
      </c>
      <c r="N174" s="9" t="str">
        <f>+VLOOKUP(A174,Hoja2!$A$2:$X$2596,17,FALSE)</f>
        <v>#N/A</v>
      </c>
      <c r="O174" s="9" t="str">
        <f>+VLOOKUP(A174,Hoja2!$A$2:$X$2596,22,FALSE)</f>
        <v>#N/A</v>
      </c>
      <c r="P174" s="9" t="str">
        <f>+VLOOKUP(A174,Hoja2!$A$2:$X$2596,23,FALSE)</f>
        <v>#N/A</v>
      </c>
      <c r="Q174" s="9" t="str">
        <f>+VLOOKUP(A174,Hoja2!$A$2:$X$2596,24,FALSE)</f>
        <v>#N/A</v>
      </c>
    </row>
    <row r="175" ht="15.75" hidden="1" customHeight="1">
      <c r="A175" s="8">
        <v>2305851.0</v>
      </c>
      <c r="B175" s="8">
        <v>344572.0</v>
      </c>
      <c r="C175" s="9" t="s">
        <v>19</v>
      </c>
      <c r="D175" s="8">
        <v>1.0</v>
      </c>
      <c r="E175" s="8">
        <v>11.0</v>
      </c>
      <c r="F175" s="8">
        <v>0.0</v>
      </c>
      <c r="G175" s="9" t="s">
        <v>18</v>
      </c>
      <c r="H175" s="10">
        <v>45456.81409421296</v>
      </c>
      <c r="I175" s="10">
        <v>45821.900426423614</v>
      </c>
      <c r="J175" s="8">
        <v>365.0</v>
      </c>
      <c r="K175" s="11">
        <v>5.177257692E7</v>
      </c>
      <c r="L175" s="8" t="str">
        <f>+VLOOKUP(A175,Hoja2!$A$2:$X$2596,19,FALSE)</f>
        <v>#N/A</v>
      </c>
      <c r="M175" s="9" t="str">
        <f>+VLOOKUP(A175,Hoja2!$A$2:$X$2596,15,FALSE)</f>
        <v>#N/A</v>
      </c>
      <c r="N175" s="9" t="str">
        <f>+VLOOKUP(A175,Hoja2!$A$2:$X$2596,17,FALSE)</f>
        <v>#N/A</v>
      </c>
      <c r="O175" s="9" t="str">
        <f>+VLOOKUP(A175,Hoja2!$A$2:$X$2596,22,FALSE)</f>
        <v>#N/A</v>
      </c>
      <c r="P175" s="9" t="str">
        <f>+VLOOKUP(A175,Hoja2!$A$2:$X$2596,23,FALSE)</f>
        <v>#N/A</v>
      </c>
      <c r="Q175" s="9" t="str">
        <f>+VLOOKUP(A175,Hoja2!$A$2:$X$2596,24,FALSE)</f>
        <v>#N/A</v>
      </c>
    </row>
    <row r="176" ht="15.75" hidden="1" customHeight="1">
      <c r="A176" s="8">
        <v>2305851.0</v>
      </c>
      <c r="B176" s="8">
        <v>344572.0</v>
      </c>
      <c r="C176" s="9" t="s">
        <v>27</v>
      </c>
      <c r="D176" s="8">
        <v>1.0</v>
      </c>
      <c r="E176" s="8">
        <v>0.0</v>
      </c>
      <c r="F176" s="8">
        <v>0.0</v>
      </c>
      <c r="G176" s="9" t="s">
        <v>21</v>
      </c>
      <c r="H176" s="10">
        <v>45917.58477403935</v>
      </c>
      <c r="I176" s="10">
        <v>45917.58477403935</v>
      </c>
      <c r="J176" s="8">
        <v>0.0</v>
      </c>
      <c r="K176" s="11">
        <v>5.177257692E7</v>
      </c>
      <c r="L176" s="8" t="str">
        <f>+VLOOKUP(A176,Hoja2!$A$2:$X$2596,19,FALSE)</f>
        <v>#N/A</v>
      </c>
      <c r="M176" s="9" t="str">
        <f>+VLOOKUP(A176,Hoja2!$A$2:$X$2596,15,FALSE)</f>
        <v>#N/A</v>
      </c>
      <c r="N176" s="9" t="str">
        <f>+VLOOKUP(A176,Hoja2!$A$2:$X$2596,17,FALSE)</f>
        <v>#N/A</v>
      </c>
      <c r="O176" s="9" t="str">
        <f>+VLOOKUP(A176,Hoja2!$A$2:$X$2596,22,FALSE)</f>
        <v>#N/A</v>
      </c>
      <c r="P176" s="9" t="str">
        <f>+VLOOKUP(A176,Hoja2!$A$2:$X$2596,23,FALSE)</f>
        <v>#N/A</v>
      </c>
      <c r="Q176" s="9" t="str">
        <f>+VLOOKUP(A176,Hoja2!$A$2:$X$2596,24,FALSE)</f>
        <v>#N/A</v>
      </c>
    </row>
    <row r="177" ht="15.75" hidden="1" customHeight="1">
      <c r="A177" s="8">
        <v>2310881.0</v>
      </c>
      <c r="B177" s="8">
        <v>345098.0</v>
      </c>
      <c r="C177" s="9" t="s">
        <v>19</v>
      </c>
      <c r="D177" s="8">
        <v>2.0</v>
      </c>
      <c r="E177" s="8">
        <v>0.0</v>
      </c>
      <c r="F177" s="8">
        <v>0.0</v>
      </c>
      <c r="G177" s="9" t="s">
        <v>21</v>
      </c>
      <c r="H177" s="10">
        <v>44279.72560868056</v>
      </c>
      <c r="I177" s="10">
        <v>44299.447959606485</v>
      </c>
      <c r="J177" s="8">
        <v>20.0</v>
      </c>
      <c r="K177" s="11">
        <v>161780.16</v>
      </c>
      <c r="L177" s="8" t="str">
        <f>+VLOOKUP(A177,Hoja2!$A$2:$X$2596,19,FALSE)</f>
        <v>#N/A</v>
      </c>
      <c r="M177" s="9" t="str">
        <f>+VLOOKUP(A177,Hoja2!$A$2:$X$2596,15,FALSE)</f>
        <v>#N/A</v>
      </c>
      <c r="N177" s="9" t="str">
        <f>+VLOOKUP(A177,Hoja2!$A$2:$X$2596,17,FALSE)</f>
        <v>#N/A</v>
      </c>
      <c r="O177" s="9" t="str">
        <f>+VLOOKUP(A177,Hoja2!$A$2:$X$2596,22,FALSE)</f>
        <v>#N/A</v>
      </c>
      <c r="P177" s="9" t="str">
        <f>+VLOOKUP(A177,Hoja2!$A$2:$X$2596,23,FALSE)</f>
        <v>#N/A</v>
      </c>
      <c r="Q177" s="9" t="str">
        <f>+VLOOKUP(A177,Hoja2!$A$2:$X$2596,24,FALSE)</f>
        <v>#N/A</v>
      </c>
    </row>
    <row r="178" ht="15.75" hidden="1" customHeight="1">
      <c r="A178" s="8">
        <v>2310881.0</v>
      </c>
      <c r="B178" s="8">
        <v>345098.0</v>
      </c>
      <c r="C178" s="9" t="s">
        <v>17</v>
      </c>
      <c r="D178" s="8">
        <v>3.0</v>
      </c>
      <c r="E178" s="8">
        <v>0.0</v>
      </c>
      <c r="F178" s="8">
        <v>0.0</v>
      </c>
      <c r="G178" s="9" t="s">
        <v>21</v>
      </c>
      <c r="H178" s="10">
        <v>44603.858052627314</v>
      </c>
      <c r="I178" s="10">
        <v>44629.50604652778</v>
      </c>
      <c r="J178" s="8">
        <v>26.0</v>
      </c>
      <c r="K178" s="11">
        <v>161780.16</v>
      </c>
      <c r="L178" s="8" t="str">
        <f>+VLOOKUP(A178,Hoja2!$A$2:$X$2596,19,FALSE)</f>
        <v>#N/A</v>
      </c>
      <c r="M178" s="9" t="str">
        <f>+VLOOKUP(A178,Hoja2!$A$2:$X$2596,15,FALSE)</f>
        <v>#N/A</v>
      </c>
      <c r="N178" s="9" t="str">
        <f>+VLOOKUP(A178,Hoja2!$A$2:$X$2596,17,FALSE)</f>
        <v>#N/A</v>
      </c>
      <c r="O178" s="9" t="str">
        <f>+VLOOKUP(A178,Hoja2!$A$2:$X$2596,22,FALSE)</f>
        <v>#N/A</v>
      </c>
      <c r="P178" s="9" t="str">
        <f>+VLOOKUP(A178,Hoja2!$A$2:$X$2596,23,FALSE)</f>
        <v>#N/A</v>
      </c>
      <c r="Q178" s="9" t="str">
        <f>+VLOOKUP(A178,Hoja2!$A$2:$X$2596,24,FALSE)</f>
        <v>#N/A</v>
      </c>
    </row>
    <row r="179" ht="15.75" hidden="1" customHeight="1">
      <c r="A179" s="8">
        <v>2310881.0</v>
      </c>
      <c r="B179" s="8">
        <v>345098.0</v>
      </c>
      <c r="C179" s="9" t="s">
        <v>19</v>
      </c>
      <c r="D179" s="8">
        <v>7.0</v>
      </c>
      <c r="E179" s="8">
        <v>6.0</v>
      </c>
      <c r="F179" s="8">
        <v>0.0</v>
      </c>
      <c r="G179" s="9" t="s">
        <v>18</v>
      </c>
      <c r="H179" s="10">
        <v>45086.84556616898</v>
      </c>
      <c r="I179" s="10">
        <v>45632.92540609954</v>
      </c>
      <c r="J179" s="8">
        <v>546.0</v>
      </c>
      <c r="K179" s="11">
        <v>161780.16</v>
      </c>
      <c r="L179" s="8" t="str">
        <f>+VLOOKUP(A179,Hoja2!$A$2:$X$2596,19,FALSE)</f>
        <v>#N/A</v>
      </c>
      <c r="M179" s="9" t="str">
        <f>+VLOOKUP(A179,Hoja2!$A$2:$X$2596,15,FALSE)</f>
        <v>#N/A</v>
      </c>
      <c r="N179" s="9" t="str">
        <f>+VLOOKUP(A179,Hoja2!$A$2:$X$2596,17,FALSE)</f>
        <v>#N/A</v>
      </c>
      <c r="O179" s="9" t="str">
        <f>+VLOOKUP(A179,Hoja2!$A$2:$X$2596,22,FALSE)</f>
        <v>#N/A</v>
      </c>
      <c r="P179" s="9" t="str">
        <f>+VLOOKUP(A179,Hoja2!$A$2:$X$2596,23,FALSE)</f>
        <v>#N/A</v>
      </c>
      <c r="Q179" s="9" t="str">
        <f>+VLOOKUP(A179,Hoja2!$A$2:$X$2596,24,FALSE)</f>
        <v>#N/A</v>
      </c>
    </row>
    <row r="180" ht="15.75" hidden="1" customHeight="1">
      <c r="A180" s="8">
        <v>2310881.0</v>
      </c>
      <c r="B180" s="8">
        <v>345098.0</v>
      </c>
      <c r="C180" s="9" t="s">
        <v>27</v>
      </c>
      <c r="D180" s="8">
        <v>1.0</v>
      </c>
      <c r="E180" s="8">
        <v>3.0</v>
      </c>
      <c r="F180" s="8">
        <v>0.0</v>
      </c>
      <c r="G180" s="9" t="s">
        <v>18</v>
      </c>
      <c r="H180" s="10">
        <v>45637.6644934375</v>
      </c>
      <c r="I180" s="10">
        <v>45950.93958174768</v>
      </c>
      <c r="J180" s="8">
        <v>313.0</v>
      </c>
      <c r="K180" s="11">
        <v>161780.16</v>
      </c>
      <c r="L180" s="8" t="str">
        <f>+VLOOKUP(A180,Hoja2!$A$2:$X$2596,19,FALSE)</f>
        <v>#N/A</v>
      </c>
      <c r="M180" s="9" t="str">
        <f>+VLOOKUP(A180,Hoja2!$A$2:$X$2596,15,FALSE)</f>
        <v>#N/A</v>
      </c>
      <c r="N180" s="9" t="str">
        <f>+VLOOKUP(A180,Hoja2!$A$2:$X$2596,17,FALSE)</f>
        <v>#N/A</v>
      </c>
      <c r="O180" s="9" t="str">
        <f>+VLOOKUP(A180,Hoja2!$A$2:$X$2596,22,FALSE)</f>
        <v>#N/A</v>
      </c>
      <c r="P180" s="9" t="str">
        <f>+VLOOKUP(A180,Hoja2!$A$2:$X$2596,23,FALSE)</f>
        <v>#N/A</v>
      </c>
      <c r="Q180" s="9" t="str">
        <f>+VLOOKUP(A180,Hoja2!$A$2:$X$2596,24,FALSE)</f>
        <v>#N/A</v>
      </c>
    </row>
    <row r="181" ht="15.75" hidden="1" customHeight="1">
      <c r="A181" s="8">
        <v>2307149.0</v>
      </c>
      <c r="B181" s="8">
        <v>345841.0</v>
      </c>
      <c r="C181" s="9" t="s">
        <v>19</v>
      </c>
      <c r="D181" s="8">
        <v>3.0</v>
      </c>
      <c r="E181" s="8">
        <v>0.0</v>
      </c>
      <c r="F181" s="8">
        <v>0.0</v>
      </c>
      <c r="G181" s="9" t="s">
        <v>21</v>
      </c>
      <c r="H181" s="10">
        <v>44481.4282996875</v>
      </c>
      <c r="I181" s="10">
        <v>44545.69110347222</v>
      </c>
      <c r="J181" s="8">
        <v>64.0</v>
      </c>
      <c r="K181" s="11">
        <v>2.691901915E7</v>
      </c>
      <c r="L181" s="8" t="str">
        <f>+VLOOKUP(A181,Hoja2!$A$2:$X$2596,19,FALSE)</f>
        <v>#N/A</v>
      </c>
      <c r="M181" s="9" t="str">
        <f>+VLOOKUP(A181,Hoja2!$A$2:$X$2596,15,FALSE)</f>
        <v>#N/A</v>
      </c>
      <c r="N181" s="9" t="str">
        <f>+VLOOKUP(A181,Hoja2!$A$2:$X$2596,17,FALSE)</f>
        <v>#N/A</v>
      </c>
      <c r="O181" s="9" t="str">
        <f>+VLOOKUP(A181,Hoja2!$A$2:$X$2596,22,FALSE)</f>
        <v>#N/A</v>
      </c>
      <c r="P181" s="9" t="str">
        <f>+VLOOKUP(A181,Hoja2!$A$2:$X$2596,23,FALSE)</f>
        <v>#N/A</v>
      </c>
      <c r="Q181" s="9" t="str">
        <f>+VLOOKUP(A181,Hoja2!$A$2:$X$2596,24,FALSE)</f>
        <v>#N/A</v>
      </c>
    </row>
    <row r="182" ht="15.75" hidden="1" customHeight="1">
      <c r="A182" s="8">
        <v>2307149.0</v>
      </c>
      <c r="B182" s="8">
        <v>345841.0</v>
      </c>
      <c r="C182" s="9" t="s">
        <v>17</v>
      </c>
      <c r="D182" s="8">
        <v>2.0</v>
      </c>
      <c r="E182" s="8">
        <v>0.0</v>
      </c>
      <c r="F182" s="8">
        <v>0.0</v>
      </c>
      <c r="G182" s="9" t="s">
        <v>21</v>
      </c>
      <c r="H182" s="10">
        <v>44641.67679247685</v>
      </c>
      <c r="I182" s="10">
        <v>44644.68200945602</v>
      </c>
      <c r="J182" s="8">
        <v>3.0</v>
      </c>
      <c r="K182" s="11">
        <v>2.691901915E7</v>
      </c>
      <c r="L182" s="8" t="str">
        <f>+VLOOKUP(A182,Hoja2!$A$2:$X$2596,19,FALSE)</f>
        <v>#N/A</v>
      </c>
      <c r="M182" s="9" t="str">
        <f>+VLOOKUP(A182,Hoja2!$A$2:$X$2596,15,FALSE)</f>
        <v>#N/A</v>
      </c>
      <c r="N182" s="9" t="str">
        <f>+VLOOKUP(A182,Hoja2!$A$2:$X$2596,17,FALSE)</f>
        <v>#N/A</v>
      </c>
      <c r="O182" s="9" t="str">
        <f>+VLOOKUP(A182,Hoja2!$A$2:$X$2596,22,FALSE)</f>
        <v>#N/A</v>
      </c>
      <c r="P182" s="9" t="str">
        <f>+VLOOKUP(A182,Hoja2!$A$2:$X$2596,23,FALSE)</f>
        <v>#N/A</v>
      </c>
      <c r="Q182" s="9" t="str">
        <f>+VLOOKUP(A182,Hoja2!$A$2:$X$2596,24,FALSE)</f>
        <v>#N/A</v>
      </c>
    </row>
    <row r="183" ht="15.75" hidden="1" customHeight="1">
      <c r="A183" s="8">
        <v>2309375.0</v>
      </c>
      <c r="B183" s="8">
        <v>347763.0</v>
      </c>
      <c r="C183" s="9" t="s">
        <v>19</v>
      </c>
      <c r="D183" s="8">
        <v>4.0</v>
      </c>
      <c r="E183" s="8">
        <v>4.0</v>
      </c>
      <c r="F183" s="8">
        <v>0.0</v>
      </c>
      <c r="G183" s="9" t="s">
        <v>18</v>
      </c>
      <c r="H183" s="10">
        <v>44396.76388634259</v>
      </c>
      <c r="I183" s="10">
        <v>44586.53548209491</v>
      </c>
      <c r="J183" s="8">
        <v>190.0</v>
      </c>
      <c r="K183" s="11">
        <v>5895116.65</v>
      </c>
      <c r="L183" s="8" t="str">
        <f>+VLOOKUP(A183,Hoja2!$A$2:$X$2596,19,FALSE)</f>
        <v>En Ejecución</v>
      </c>
      <c r="M183" s="9">
        <f>+VLOOKUP(A183,Hoja2!$A$2:$X$2596,15,FALSE)</f>
        <v>5913105.6</v>
      </c>
      <c r="N183" s="9">
        <f>+VLOOKUP(A183,Hoja2!$A$2:$X$2596,17,FALSE)</f>
        <v>295364.7</v>
      </c>
      <c r="O183" s="9" t="str">
        <f>+VLOOKUP(A183,Hoja2!$A$2:$X$2596,22,FALSE)</f>
        <v/>
      </c>
      <c r="P183" s="9" t="str">
        <f>+VLOOKUP(A183,Hoja2!$A$2:$X$2596,23,FALSE)</f>
        <v/>
      </c>
      <c r="Q183" s="9" t="str">
        <f>+VLOOKUP(A183,Hoja2!$A$2:$X$2596,24,FALSE)</f>
        <v/>
      </c>
    </row>
    <row r="184" ht="15.75" customHeight="1">
      <c r="A184" s="8">
        <v>2309375.0</v>
      </c>
      <c r="B184" s="8">
        <v>347763.0</v>
      </c>
      <c r="C184" s="9" t="s">
        <v>20</v>
      </c>
      <c r="D184" s="8">
        <v>1.0</v>
      </c>
      <c r="E184" s="8">
        <v>3.0</v>
      </c>
      <c r="F184" s="8">
        <v>0.0</v>
      </c>
      <c r="G184" s="9" t="s">
        <v>18</v>
      </c>
      <c r="H184" s="10">
        <v>44587.39301782408</v>
      </c>
      <c r="I184" s="10">
        <v>44629.65688113426</v>
      </c>
      <c r="J184" s="8">
        <v>42.0</v>
      </c>
      <c r="K184" s="11">
        <v>5895116.65</v>
      </c>
      <c r="L184" s="8" t="str">
        <f>+VLOOKUP(A184,Hoja2!$A$2:$X$2596,19,FALSE)</f>
        <v>En Ejecución</v>
      </c>
      <c r="M184" s="9">
        <f>+VLOOKUP(A184,Hoja2!$A$2:$X$2596,15,FALSE)</f>
        <v>5913105.6</v>
      </c>
      <c r="N184" s="9">
        <f>+VLOOKUP(A184,Hoja2!$A$2:$X$2596,17,FALSE)</f>
        <v>295364.7</v>
      </c>
      <c r="O184" s="9" t="str">
        <f>+VLOOKUP(A184,Hoja2!$A$2:$X$2596,22,FALSE)</f>
        <v/>
      </c>
      <c r="P184" s="9" t="str">
        <f>+VLOOKUP(A184,Hoja2!$A$2:$X$2596,23,FALSE)</f>
        <v/>
      </c>
      <c r="Q184" s="9" t="str">
        <f>+VLOOKUP(A184,Hoja2!$A$2:$X$2596,24,FALSE)</f>
        <v/>
      </c>
    </row>
    <row r="185" ht="15.75" customHeight="1">
      <c r="A185" s="8">
        <v>2313913.0</v>
      </c>
      <c r="B185" s="8">
        <v>351526.0</v>
      </c>
      <c r="C185" s="9" t="s">
        <v>20</v>
      </c>
      <c r="D185" s="8">
        <v>1.0</v>
      </c>
      <c r="E185" s="8">
        <v>5.0</v>
      </c>
      <c r="F185" s="8">
        <v>0.0</v>
      </c>
      <c r="G185" s="9" t="s">
        <v>18</v>
      </c>
      <c r="H185" s="10">
        <v>44381.669147650464</v>
      </c>
      <c r="I185" s="10">
        <v>44433.63928711806</v>
      </c>
      <c r="J185" s="8">
        <v>52.0</v>
      </c>
      <c r="K185" s="11">
        <v>2.380629419E7</v>
      </c>
      <c r="L185" s="8" t="str">
        <f>+VLOOKUP(A185,Hoja2!$A$2:$X$2596,19,FALSE)</f>
        <v>En Ejecución</v>
      </c>
      <c r="M185" s="9">
        <f>+VLOOKUP(A185,Hoja2!$A$2:$X$2596,15,FALSE)</f>
        <v>24728000.86</v>
      </c>
      <c r="N185" s="9">
        <f>+VLOOKUP(A185,Hoja2!$A$2:$X$2596,17,FALSE)</f>
        <v>1215500</v>
      </c>
      <c r="O185" s="9" t="str">
        <f>+VLOOKUP(A185,Hoja2!$A$2:$X$2596,22,FALSE)</f>
        <v/>
      </c>
      <c r="P185" s="9" t="str">
        <f>+VLOOKUP(A185,Hoja2!$A$2:$X$2596,23,FALSE)</f>
        <v/>
      </c>
      <c r="Q185" s="9" t="str">
        <f>+VLOOKUP(A185,Hoja2!$A$2:$X$2596,24,FALSE)</f>
        <v/>
      </c>
    </row>
    <row r="186" ht="15.75" hidden="1" customHeight="1">
      <c r="A186" s="8">
        <v>2316913.0</v>
      </c>
      <c r="B186" s="8">
        <v>354161.0</v>
      </c>
      <c r="C186" s="9" t="s">
        <v>17</v>
      </c>
      <c r="D186" s="8">
        <v>2.0</v>
      </c>
      <c r="E186" s="8">
        <v>0.0</v>
      </c>
      <c r="F186" s="8">
        <v>0.0</v>
      </c>
      <c r="G186" s="9" t="s">
        <v>21</v>
      </c>
      <c r="H186" s="10">
        <v>44562.810493599536</v>
      </c>
      <c r="I186" s="10">
        <v>44575.52075697917</v>
      </c>
      <c r="J186" s="8">
        <v>13.0</v>
      </c>
      <c r="K186" s="11">
        <v>1.156442901E7</v>
      </c>
      <c r="L186" s="8" t="str">
        <f>+VLOOKUP(A186,Hoja2!$A$2:$X$2596,19,FALSE)</f>
        <v>#N/A</v>
      </c>
      <c r="M186" s="9" t="str">
        <f>+VLOOKUP(A186,Hoja2!$A$2:$X$2596,15,FALSE)</f>
        <v>#N/A</v>
      </c>
      <c r="N186" s="9" t="str">
        <f>+VLOOKUP(A186,Hoja2!$A$2:$X$2596,17,FALSE)</f>
        <v>#N/A</v>
      </c>
      <c r="O186" s="9" t="str">
        <f>+VLOOKUP(A186,Hoja2!$A$2:$X$2596,22,FALSE)</f>
        <v>#N/A</v>
      </c>
      <c r="P186" s="9" t="str">
        <f>+VLOOKUP(A186,Hoja2!$A$2:$X$2596,23,FALSE)</f>
        <v>#N/A</v>
      </c>
      <c r="Q186" s="9" t="str">
        <f>+VLOOKUP(A186,Hoja2!$A$2:$X$2596,24,FALSE)</f>
        <v>#N/A</v>
      </c>
    </row>
    <row r="187" ht="15.75" hidden="1" customHeight="1">
      <c r="A187" s="8">
        <v>2316913.0</v>
      </c>
      <c r="B187" s="8">
        <v>354161.0</v>
      </c>
      <c r="C187" s="9" t="s">
        <v>24</v>
      </c>
      <c r="D187" s="8">
        <v>3.0</v>
      </c>
      <c r="E187" s="8">
        <v>0.0</v>
      </c>
      <c r="F187" s="8">
        <v>0.0</v>
      </c>
      <c r="G187" s="9" t="s">
        <v>21</v>
      </c>
      <c r="H187" s="10">
        <v>45020.695688541666</v>
      </c>
      <c r="I187" s="10">
        <v>45049.4707934375</v>
      </c>
      <c r="J187" s="8">
        <v>29.0</v>
      </c>
      <c r="K187" s="11">
        <v>1.156442901E7</v>
      </c>
      <c r="L187" s="8" t="str">
        <f>+VLOOKUP(A187,Hoja2!$A$2:$X$2596,19,FALSE)</f>
        <v>#N/A</v>
      </c>
      <c r="M187" s="9" t="str">
        <f>+VLOOKUP(A187,Hoja2!$A$2:$X$2596,15,FALSE)</f>
        <v>#N/A</v>
      </c>
      <c r="N187" s="9" t="str">
        <f>+VLOOKUP(A187,Hoja2!$A$2:$X$2596,17,FALSE)</f>
        <v>#N/A</v>
      </c>
      <c r="O187" s="9" t="str">
        <f>+VLOOKUP(A187,Hoja2!$A$2:$X$2596,22,FALSE)</f>
        <v>#N/A</v>
      </c>
      <c r="P187" s="9" t="str">
        <f>+VLOOKUP(A187,Hoja2!$A$2:$X$2596,23,FALSE)</f>
        <v>#N/A</v>
      </c>
      <c r="Q187" s="9" t="str">
        <f>+VLOOKUP(A187,Hoja2!$A$2:$X$2596,24,FALSE)</f>
        <v>#N/A</v>
      </c>
    </row>
    <row r="188" ht="15.75" hidden="1" customHeight="1">
      <c r="A188" s="8">
        <v>2317471.0</v>
      </c>
      <c r="B188" s="8">
        <v>354623.0</v>
      </c>
      <c r="C188" s="9" t="s">
        <v>19</v>
      </c>
      <c r="D188" s="8">
        <v>2.0</v>
      </c>
      <c r="E188" s="8">
        <v>0.0</v>
      </c>
      <c r="F188" s="8">
        <v>0.0</v>
      </c>
      <c r="G188" s="9" t="s">
        <v>21</v>
      </c>
      <c r="H188" s="10">
        <v>44246.03649907407</v>
      </c>
      <c r="I188" s="10">
        <v>44256.988670520834</v>
      </c>
      <c r="J188" s="8">
        <v>10.0</v>
      </c>
      <c r="K188" s="11">
        <v>2.644949092E7</v>
      </c>
      <c r="L188" s="8" t="str">
        <f>+VLOOKUP(A188,Hoja2!$A$2:$X$2596,19,FALSE)</f>
        <v>#N/A</v>
      </c>
      <c r="M188" s="9" t="str">
        <f>+VLOOKUP(A188,Hoja2!$A$2:$X$2596,15,FALSE)</f>
        <v>#N/A</v>
      </c>
      <c r="N188" s="9" t="str">
        <f>+VLOOKUP(A188,Hoja2!$A$2:$X$2596,17,FALSE)</f>
        <v>#N/A</v>
      </c>
      <c r="O188" s="9" t="str">
        <f>+VLOOKUP(A188,Hoja2!$A$2:$X$2596,22,FALSE)</f>
        <v>#N/A</v>
      </c>
      <c r="P188" s="9" t="str">
        <f>+VLOOKUP(A188,Hoja2!$A$2:$X$2596,23,FALSE)</f>
        <v>#N/A</v>
      </c>
      <c r="Q188" s="9" t="str">
        <f>+VLOOKUP(A188,Hoja2!$A$2:$X$2596,24,FALSE)</f>
        <v>#N/A</v>
      </c>
    </row>
    <row r="189" ht="15.75" hidden="1" customHeight="1">
      <c r="A189" s="8">
        <v>2317471.0</v>
      </c>
      <c r="B189" s="8">
        <v>354623.0</v>
      </c>
      <c r="C189" s="9" t="s">
        <v>17</v>
      </c>
      <c r="D189" s="8">
        <v>2.0</v>
      </c>
      <c r="E189" s="8">
        <v>0.0</v>
      </c>
      <c r="F189" s="8">
        <v>0.0</v>
      </c>
      <c r="G189" s="9" t="s">
        <v>21</v>
      </c>
      <c r="H189" s="10">
        <v>45118.03931006944</v>
      </c>
      <c r="I189" s="10">
        <v>45147.46756408565</v>
      </c>
      <c r="J189" s="8">
        <v>29.0</v>
      </c>
      <c r="K189" s="11">
        <v>2.644949092E7</v>
      </c>
      <c r="L189" s="8" t="str">
        <f>+VLOOKUP(A189,Hoja2!$A$2:$X$2596,19,FALSE)</f>
        <v>#N/A</v>
      </c>
      <c r="M189" s="9" t="str">
        <f>+VLOOKUP(A189,Hoja2!$A$2:$X$2596,15,FALSE)</f>
        <v>#N/A</v>
      </c>
      <c r="N189" s="9" t="str">
        <f>+VLOOKUP(A189,Hoja2!$A$2:$X$2596,17,FALSE)</f>
        <v>#N/A</v>
      </c>
      <c r="O189" s="9" t="str">
        <f>+VLOOKUP(A189,Hoja2!$A$2:$X$2596,22,FALSE)</f>
        <v>#N/A</v>
      </c>
      <c r="P189" s="9" t="str">
        <f>+VLOOKUP(A189,Hoja2!$A$2:$X$2596,23,FALSE)</f>
        <v>#N/A</v>
      </c>
      <c r="Q189" s="9" t="str">
        <f>+VLOOKUP(A189,Hoja2!$A$2:$X$2596,24,FALSE)</f>
        <v>#N/A</v>
      </c>
    </row>
    <row r="190" ht="15.75" hidden="1" customHeight="1">
      <c r="A190" s="8">
        <v>2320650.0</v>
      </c>
      <c r="B190" s="8">
        <v>357693.0</v>
      </c>
      <c r="C190" s="9" t="s">
        <v>17</v>
      </c>
      <c r="D190" s="8">
        <v>3.0</v>
      </c>
      <c r="E190" s="8">
        <v>0.0</v>
      </c>
      <c r="F190" s="8">
        <v>0.0</v>
      </c>
      <c r="G190" s="9" t="s">
        <v>21</v>
      </c>
      <c r="H190" s="10">
        <v>44601.786474849534</v>
      </c>
      <c r="I190" s="10">
        <v>44614.358694016206</v>
      </c>
      <c r="J190" s="8">
        <v>13.0</v>
      </c>
      <c r="K190" s="11">
        <v>1581494.33</v>
      </c>
      <c r="L190" s="8" t="str">
        <f>+VLOOKUP(A190,Hoja2!$A$2:$X$2596,19,FALSE)</f>
        <v>#N/A</v>
      </c>
      <c r="M190" s="9" t="str">
        <f>+VLOOKUP(A190,Hoja2!$A$2:$X$2596,15,FALSE)</f>
        <v>#N/A</v>
      </c>
      <c r="N190" s="9" t="str">
        <f>+VLOOKUP(A190,Hoja2!$A$2:$X$2596,17,FALSE)</f>
        <v>#N/A</v>
      </c>
      <c r="O190" s="9" t="str">
        <f>+VLOOKUP(A190,Hoja2!$A$2:$X$2596,22,FALSE)</f>
        <v>#N/A</v>
      </c>
      <c r="P190" s="9" t="str">
        <f>+VLOOKUP(A190,Hoja2!$A$2:$X$2596,23,FALSE)</f>
        <v>#N/A</v>
      </c>
      <c r="Q190" s="9" t="str">
        <f>+VLOOKUP(A190,Hoja2!$A$2:$X$2596,24,FALSE)</f>
        <v>#N/A</v>
      </c>
    </row>
    <row r="191" ht="15.75" hidden="1" customHeight="1">
      <c r="A191" s="8">
        <v>2320772.0</v>
      </c>
      <c r="B191" s="8">
        <v>357809.0</v>
      </c>
      <c r="C191" s="9" t="s">
        <v>17</v>
      </c>
      <c r="D191" s="8">
        <v>3.0</v>
      </c>
      <c r="E191" s="8">
        <v>1.0</v>
      </c>
      <c r="F191" s="8">
        <v>0.0</v>
      </c>
      <c r="G191" s="9" t="s">
        <v>18</v>
      </c>
      <c r="H191" s="10">
        <v>44383.40336365741</v>
      </c>
      <c r="I191" s="10">
        <v>44424.85798194444</v>
      </c>
      <c r="J191" s="8">
        <v>41.0</v>
      </c>
      <c r="K191" s="11">
        <v>8.451080736E7</v>
      </c>
      <c r="L191" s="8" t="str">
        <f>+VLOOKUP(A191,Hoja2!$A$2:$X$2596,19,FALSE)</f>
        <v>#N/A</v>
      </c>
      <c r="M191" s="9" t="str">
        <f>+VLOOKUP(A191,Hoja2!$A$2:$X$2596,15,FALSE)</f>
        <v>#N/A</v>
      </c>
      <c r="N191" s="9" t="str">
        <f>+VLOOKUP(A191,Hoja2!$A$2:$X$2596,17,FALSE)</f>
        <v>#N/A</v>
      </c>
      <c r="O191" s="9" t="str">
        <f>+VLOOKUP(A191,Hoja2!$A$2:$X$2596,22,FALSE)</f>
        <v>#N/A</v>
      </c>
      <c r="P191" s="9" t="str">
        <f>+VLOOKUP(A191,Hoja2!$A$2:$X$2596,23,FALSE)</f>
        <v>#N/A</v>
      </c>
      <c r="Q191" s="9" t="str">
        <f>+VLOOKUP(A191,Hoja2!$A$2:$X$2596,24,FALSE)</f>
        <v>#N/A</v>
      </c>
    </row>
    <row r="192" ht="15.75" hidden="1" customHeight="1">
      <c r="A192" s="8">
        <v>2320772.0</v>
      </c>
      <c r="B192" s="8">
        <v>357809.0</v>
      </c>
      <c r="C192" s="9" t="s">
        <v>17</v>
      </c>
      <c r="D192" s="8">
        <v>4.0</v>
      </c>
      <c r="E192" s="8">
        <v>0.0</v>
      </c>
      <c r="F192" s="8">
        <v>0.0</v>
      </c>
      <c r="G192" s="9" t="s">
        <v>21</v>
      </c>
      <c r="H192" s="10">
        <v>44546.597997916666</v>
      </c>
      <c r="I192" s="10">
        <v>44550.73342268518</v>
      </c>
      <c r="J192" s="8">
        <v>4.0</v>
      </c>
      <c r="K192" s="11">
        <v>8.451080736E7</v>
      </c>
      <c r="L192" s="8" t="str">
        <f>+VLOOKUP(A192,Hoja2!$A$2:$X$2596,19,FALSE)</f>
        <v>#N/A</v>
      </c>
      <c r="M192" s="9" t="str">
        <f>+VLOOKUP(A192,Hoja2!$A$2:$X$2596,15,FALSE)</f>
        <v>#N/A</v>
      </c>
      <c r="N192" s="9" t="str">
        <f>+VLOOKUP(A192,Hoja2!$A$2:$X$2596,17,FALSE)</f>
        <v>#N/A</v>
      </c>
      <c r="O192" s="9" t="str">
        <f>+VLOOKUP(A192,Hoja2!$A$2:$X$2596,22,FALSE)</f>
        <v>#N/A</v>
      </c>
      <c r="P192" s="9" t="str">
        <f>+VLOOKUP(A192,Hoja2!$A$2:$X$2596,23,FALSE)</f>
        <v>#N/A</v>
      </c>
      <c r="Q192" s="9" t="str">
        <f>+VLOOKUP(A192,Hoja2!$A$2:$X$2596,24,FALSE)</f>
        <v>#N/A</v>
      </c>
    </row>
    <row r="193" ht="15.75" hidden="1" customHeight="1">
      <c r="A193" s="8">
        <v>2320772.0</v>
      </c>
      <c r="B193" s="8">
        <v>357809.0</v>
      </c>
      <c r="C193" s="9" t="s">
        <v>19</v>
      </c>
      <c r="D193" s="8">
        <v>1.0</v>
      </c>
      <c r="E193" s="8">
        <v>2.0</v>
      </c>
      <c r="F193" s="8">
        <v>0.0</v>
      </c>
      <c r="G193" s="9" t="s">
        <v>18</v>
      </c>
      <c r="H193" s="10">
        <v>44631.862822650466</v>
      </c>
      <c r="I193" s="10">
        <v>44748.736841550926</v>
      </c>
      <c r="J193" s="8">
        <v>117.0</v>
      </c>
      <c r="K193" s="11">
        <v>8.451080736E7</v>
      </c>
      <c r="L193" s="8" t="str">
        <f>+VLOOKUP(A193,Hoja2!$A$2:$X$2596,19,FALSE)</f>
        <v>#N/A</v>
      </c>
      <c r="M193" s="9" t="str">
        <f>+VLOOKUP(A193,Hoja2!$A$2:$X$2596,15,FALSE)</f>
        <v>#N/A</v>
      </c>
      <c r="N193" s="9" t="str">
        <f>+VLOOKUP(A193,Hoja2!$A$2:$X$2596,17,FALSE)</f>
        <v>#N/A</v>
      </c>
      <c r="O193" s="9" t="str">
        <f>+VLOOKUP(A193,Hoja2!$A$2:$X$2596,22,FALSE)</f>
        <v>#N/A</v>
      </c>
      <c r="P193" s="9" t="str">
        <f>+VLOOKUP(A193,Hoja2!$A$2:$X$2596,23,FALSE)</f>
        <v>#N/A</v>
      </c>
      <c r="Q193" s="9" t="str">
        <f>+VLOOKUP(A193,Hoja2!$A$2:$X$2596,24,FALSE)</f>
        <v>#N/A</v>
      </c>
    </row>
    <row r="194" ht="15.75" hidden="1" customHeight="1">
      <c r="A194" s="8">
        <v>2320772.0</v>
      </c>
      <c r="B194" s="8">
        <v>357809.0</v>
      </c>
      <c r="C194" s="9" t="s">
        <v>17</v>
      </c>
      <c r="D194" s="8">
        <v>2.0</v>
      </c>
      <c r="E194" s="8">
        <v>0.0</v>
      </c>
      <c r="F194" s="8">
        <v>0.0</v>
      </c>
      <c r="G194" s="9" t="s">
        <v>21</v>
      </c>
      <c r="H194" s="10">
        <v>44862.80369872685</v>
      </c>
      <c r="I194" s="10">
        <v>44874.02424525463</v>
      </c>
      <c r="J194" s="8">
        <v>12.0</v>
      </c>
      <c r="K194" s="11">
        <v>8.451080736E7</v>
      </c>
      <c r="L194" s="8" t="str">
        <f>+VLOOKUP(A194,Hoja2!$A$2:$X$2596,19,FALSE)</f>
        <v>#N/A</v>
      </c>
      <c r="M194" s="9" t="str">
        <f>+VLOOKUP(A194,Hoja2!$A$2:$X$2596,15,FALSE)</f>
        <v>#N/A</v>
      </c>
      <c r="N194" s="9" t="str">
        <f>+VLOOKUP(A194,Hoja2!$A$2:$X$2596,17,FALSE)</f>
        <v>#N/A</v>
      </c>
      <c r="O194" s="9" t="str">
        <f>+VLOOKUP(A194,Hoja2!$A$2:$X$2596,22,FALSE)</f>
        <v>#N/A</v>
      </c>
      <c r="P194" s="9" t="str">
        <f>+VLOOKUP(A194,Hoja2!$A$2:$X$2596,23,FALSE)</f>
        <v>#N/A</v>
      </c>
      <c r="Q194" s="9" t="str">
        <f>+VLOOKUP(A194,Hoja2!$A$2:$X$2596,24,FALSE)</f>
        <v>#N/A</v>
      </c>
    </row>
    <row r="195" ht="15.75" hidden="1" customHeight="1">
      <c r="A195" s="8">
        <v>2320772.0</v>
      </c>
      <c r="B195" s="8">
        <v>357809.0</v>
      </c>
      <c r="C195" s="9" t="s">
        <v>19</v>
      </c>
      <c r="D195" s="8">
        <v>4.0</v>
      </c>
      <c r="E195" s="8">
        <v>1.0</v>
      </c>
      <c r="F195" s="8">
        <v>0.0</v>
      </c>
      <c r="G195" s="9" t="s">
        <v>18</v>
      </c>
      <c r="H195" s="10">
        <v>44955.37088475694</v>
      </c>
      <c r="I195" s="10">
        <v>44977.70861342592</v>
      </c>
      <c r="J195" s="8">
        <v>22.0</v>
      </c>
      <c r="K195" s="11">
        <v>8.451080736E7</v>
      </c>
      <c r="L195" s="8" t="str">
        <f>+VLOOKUP(A195,Hoja2!$A$2:$X$2596,19,FALSE)</f>
        <v>#N/A</v>
      </c>
      <c r="M195" s="9" t="str">
        <f>+VLOOKUP(A195,Hoja2!$A$2:$X$2596,15,FALSE)</f>
        <v>#N/A</v>
      </c>
      <c r="N195" s="9" t="str">
        <f>+VLOOKUP(A195,Hoja2!$A$2:$X$2596,17,FALSE)</f>
        <v>#N/A</v>
      </c>
      <c r="O195" s="9" t="str">
        <f>+VLOOKUP(A195,Hoja2!$A$2:$X$2596,22,FALSE)</f>
        <v>#N/A</v>
      </c>
      <c r="P195" s="9" t="str">
        <f>+VLOOKUP(A195,Hoja2!$A$2:$X$2596,23,FALSE)</f>
        <v>#N/A</v>
      </c>
      <c r="Q195" s="9" t="str">
        <f>+VLOOKUP(A195,Hoja2!$A$2:$X$2596,24,FALSE)</f>
        <v>#N/A</v>
      </c>
    </row>
    <row r="196" ht="15.75" hidden="1" customHeight="1">
      <c r="A196" s="8">
        <v>2320772.0</v>
      </c>
      <c r="B196" s="8">
        <v>357809.0</v>
      </c>
      <c r="C196" s="9" t="s">
        <v>19</v>
      </c>
      <c r="D196" s="8">
        <v>1.0</v>
      </c>
      <c r="E196" s="8">
        <v>1.0</v>
      </c>
      <c r="F196" s="8">
        <v>0.0</v>
      </c>
      <c r="G196" s="9" t="s">
        <v>18</v>
      </c>
      <c r="H196" s="10">
        <v>45077.710525381946</v>
      </c>
      <c r="I196" s="10">
        <v>45096.63648634259</v>
      </c>
      <c r="J196" s="8">
        <v>19.0</v>
      </c>
      <c r="K196" s="11">
        <v>8.451080736E7</v>
      </c>
      <c r="L196" s="8" t="str">
        <f>+VLOOKUP(A196,Hoja2!$A$2:$X$2596,19,FALSE)</f>
        <v>#N/A</v>
      </c>
      <c r="M196" s="9" t="str">
        <f>+VLOOKUP(A196,Hoja2!$A$2:$X$2596,15,FALSE)</f>
        <v>#N/A</v>
      </c>
      <c r="N196" s="9" t="str">
        <f>+VLOOKUP(A196,Hoja2!$A$2:$X$2596,17,FALSE)</f>
        <v>#N/A</v>
      </c>
      <c r="O196" s="9" t="str">
        <f>+VLOOKUP(A196,Hoja2!$A$2:$X$2596,22,FALSE)</f>
        <v>#N/A</v>
      </c>
      <c r="P196" s="9" t="str">
        <f>+VLOOKUP(A196,Hoja2!$A$2:$X$2596,23,FALSE)</f>
        <v>#N/A</v>
      </c>
      <c r="Q196" s="9" t="str">
        <f>+VLOOKUP(A196,Hoja2!$A$2:$X$2596,24,FALSE)</f>
        <v>#N/A</v>
      </c>
    </row>
    <row r="197" ht="15.75" hidden="1" customHeight="1">
      <c r="A197" s="8">
        <v>2320772.0</v>
      </c>
      <c r="B197" s="8">
        <v>357809.0</v>
      </c>
      <c r="C197" s="9" t="s">
        <v>17</v>
      </c>
      <c r="D197" s="8">
        <v>2.0</v>
      </c>
      <c r="E197" s="8">
        <v>0.0</v>
      </c>
      <c r="F197" s="8">
        <v>0.0</v>
      </c>
      <c r="G197" s="9" t="s">
        <v>21</v>
      </c>
      <c r="H197" s="10">
        <v>45335.58181354167</v>
      </c>
      <c r="I197" s="10">
        <v>45341.63027017361</v>
      </c>
      <c r="J197" s="8">
        <v>6.0</v>
      </c>
      <c r="K197" s="11">
        <v>8.451080736E7</v>
      </c>
      <c r="L197" s="8" t="str">
        <f>+VLOOKUP(A197,Hoja2!$A$2:$X$2596,19,FALSE)</f>
        <v>#N/A</v>
      </c>
      <c r="M197" s="9" t="str">
        <f>+VLOOKUP(A197,Hoja2!$A$2:$X$2596,15,FALSE)</f>
        <v>#N/A</v>
      </c>
      <c r="N197" s="9" t="str">
        <f>+VLOOKUP(A197,Hoja2!$A$2:$X$2596,17,FALSE)</f>
        <v>#N/A</v>
      </c>
      <c r="O197" s="9" t="str">
        <f>+VLOOKUP(A197,Hoja2!$A$2:$X$2596,22,FALSE)</f>
        <v>#N/A</v>
      </c>
      <c r="P197" s="9" t="str">
        <f>+VLOOKUP(A197,Hoja2!$A$2:$X$2596,23,FALSE)</f>
        <v>#N/A</v>
      </c>
      <c r="Q197" s="9" t="str">
        <f>+VLOOKUP(A197,Hoja2!$A$2:$X$2596,24,FALSE)</f>
        <v>#N/A</v>
      </c>
    </row>
    <row r="198" ht="15.75" hidden="1" customHeight="1">
      <c r="A198" s="8">
        <v>2320772.0</v>
      </c>
      <c r="B198" s="8">
        <v>357809.0</v>
      </c>
      <c r="C198" s="9" t="s">
        <v>25</v>
      </c>
      <c r="D198" s="8">
        <v>0.0</v>
      </c>
      <c r="E198" s="8">
        <v>0.0</v>
      </c>
      <c r="F198" s="8">
        <v>0.0</v>
      </c>
      <c r="G198" s="9" t="s">
        <v>26</v>
      </c>
      <c r="H198" s="10">
        <v>45632.76343530093</v>
      </c>
      <c r="I198" s="10">
        <v>45632.76343530093</v>
      </c>
      <c r="J198" s="8">
        <v>0.0</v>
      </c>
      <c r="K198" s="11">
        <v>8.451080736E7</v>
      </c>
      <c r="L198" s="8" t="str">
        <f>+VLOOKUP(A198,Hoja2!$A$2:$X$2596,19,FALSE)</f>
        <v>#N/A</v>
      </c>
      <c r="M198" s="9" t="str">
        <f>+VLOOKUP(A198,Hoja2!$A$2:$X$2596,15,FALSE)</f>
        <v>#N/A</v>
      </c>
      <c r="N198" s="9" t="str">
        <f>+VLOOKUP(A198,Hoja2!$A$2:$X$2596,17,FALSE)</f>
        <v>#N/A</v>
      </c>
      <c r="O198" s="9" t="str">
        <f>+VLOOKUP(A198,Hoja2!$A$2:$X$2596,22,FALSE)</f>
        <v>#N/A</v>
      </c>
      <c r="P198" s="9" t="str">
        <f>+VLOOKUP(A198,Hoja2!$A$2:$X$2596,23,FALSE)</f>
        <v>#N/A</v>
      </c>
      <c r="Q198" s="9" t="str">
        <f>+VLOOKUP(A198,Hoja2!$A$2:$X$2596,24,FALSE)</f>
        <v>#N/A</v>
      </c>
    </row>
    <row r="199" ht="15.75" hidden="1" customHeight="1">
      <c r="A199" s="8">
        <v>2320772.0</v>
      </c>
      <c r="B199" s="8">
        <v>357809.0</v>
      </c>
      <c r="C199" s="9" t="s">
        <v>25</v>
      </c>
      <c r="D199" s="8">
        <v>0.0</v>
      </c>
      <c r="E199" s="8">
        <v>0.0</v>
      </c>
      <c r="F199" s="8">
        <v>0.0</v>
      </c>
      <c r="G199" s="9" t="s">
        <v>26</v>
      </c>
      <c r="H199" s="10">
        <v>45639.36566681713</v>
      </c>
      <c r="I199" s="10">
        <v>45639.36566681713</v>
      </c>
      <c r="J199" s="8">
        <v>0.0</v>
      </c>
      <c r="K199" s="11">
        <v>8.451080736E7</v>
      </c>
      <c r="L199" s="8" t="str">
        <f>+VLOOKUP(A199,Hoja2!$A$2:$X$2596,19,FALSE)</f>
        <v>#N/A</v>
      </c>
      <c r="M199" s="9" t="str">
        <f>+VLOOKUP(A199,Hoja2!$A$2:$X$2596,15,FALSE)</f>
        <v>#N/A</v>
      </c>
      <c r="N199" s="9" t="str">
        <f>+VLOOKUP(A199,Hoja2!$A$2:$X$2596,17,FALSE)</f>
        <v>#N/A</v>
      </c>
      <c r="O199" s="9" t="str">
        <f>+VLOOKUP(A199,Hoja2!$A$2:$X$2596,22,FALSE)</f>
        <v>#N/A</v>
      </c>
      <c r="P199" s="9" t="str">
        <f>+VLOOKUP(A199,Hoja2!$A$2:$X$2596,23,FALSE)</f>
        <v>#N/A</v>
      </c>
      <c r="Q199" s="9" t="str">
        <f>+VLOOKUP(A199,Hoja2!$A$2:$X$2596,24,FALSE)</f>
        <v>#N/A</v>
      </c>
    </row>
    <row r="200" ht="15.75" hidden="1" customHeight="1">
      <c r="A200" s="8">
        <v>2320772.0</v>
      </c>
      <c r="B200" s="8">
        <v>357809.0</v>
      </c>
      <c r="C200" s="9" t="s">
        <v>19</v>
      </c>
      <c r="D200" s="8">
        <v>4.0</v>
      </c>
      <c r="E200" s="8">
        <v>1.0</v>
      </c>
      <c r="F200" s="8">
        <v>0.0</v>
      </c>
      <c r="G200" s="9" t="s">
        <v>18</v>
      </c>
      <c r="H200" s="10">
        <v>45677.69323379629</v>
      </c>
      <c r="I200" s="10">
        <v>45756.68418063658</v>
      </c>
      <c r="J200" s="8">
        <v>79.0</v>
      </c>
      <c r="K200" s="11">
        <v>8.451080736E7</v>
      </c>
      <c r="L200" s="8" t="str">
        <f>+VLOOKUP(A200,Hoja2!$A$2:$X$2596,19,FALSE)</f>
        <v>#N/A</v>
      </c>
      <c r="M200" s="9" t="str">
        <f>+VLOOKUP(A200,Hoja2!$A$2:$X$2596,15,FALSE)</f>
        <v>#N/A</v>
      </c>
      <c r="N200" s="9" t="str">
        <f>+VLOOKUP(A200,Hoja2!$A$2:$X$2596,17,FALSE)</f>
        <v>#N/A</v>
      </c>
      <c r="O200" s="9" t="str">
        <f>+VLOOKUP(A200,Hoja2!$A$2:$X$2596,22,FALSE)</f>
        <v>#N/A</v>
      </c>
      <c r="P200" s="9" t="str">
        <f>+VLOOKUP(A200,Hoja2!$A$2:$X$2596,23,FALSE)</f>
        <v>#N/A</v>
      </c>
      <c r="Q200" s="9" t="str">
        <f>+VLOOKUP(A200,Hoja2!$A$2:$X$2596,24,FALSE)</f>
        <v>#N/A</v>
      </c>
    </row>
    <row r="201" ht="15.75" hidden="1" customHeight="1">
      <c r="A201" s="8">
        <v>2320772.0</v>
      </c>
      <c r="B201" s="8">
        <v>357809.0</v>
      </c>
      <c r="C201" s="9" t="s">
        <v>27</v>
      </c>
      <c r="D201" s="8">
        <v>2.0</v>
      </c>
      <c r="E201" s="8">
        <v>1.0</v>
      </c>
      <c r="F201" s="8">
        <v>0.0</v>
      </c>
      <c r="G201" s="9" t="s">
        <v>18</v>
      </c>
      <c r="H201" s="10">
        <v>45880.56256701389</v>
      </c>
      <c r="I201" s="10">
        <v>45950.71951258102</v>
      </c>
      <c r="J201" s="8">
        <v>70.0</v>
      </c>
      <c r="K201" s="11">
        <v>8.451080736E7</v>
      </c>
      <c r="L201" s="8" t="str">
        <f>+VLOOKUP(A201,Hoja2!$A$2:$X$2596,19,FALSE)</f>
        <v>#N/A</v>
      </c>
      <c r="M201" s="9" t="str">
        <f>+VLOOKUP(A201,Hoja2!$A$2:$X$2596,15,FALSE)</f>
        <v>#N/A</v>
      </c>
      <c r="N201" s="9" t="str">
        <f>+VLOOKUP(A201,Hoja2!$A$2:$X$2596,17,FALSE)</f>
        <v>#N/A</v>
      </c>
      <c r="O201" s="9" t="str">
        <f>+VLOOKUP(A201,Hoja2!$A$2:$X$2596,22,FALSE)</f>
        <v>#N/A</v>
      </c>
      <c r="P201" s="9" t="str">
        <f>+VLOOKUP(A201,Hoja2!$A$2:$X$2596,23,FALSE)</f>
        <v>#N/A</v>
      </c>
      <c r="Q201" s="9" t="str">
        <f>+VLOOKUP(A201,Hoja2!$A$2:$X$2596,24,FALSE)</f>
        <v>#N/A</v>
      </c>
    </row>
    <row r="202" ht="15.75" hidden="1" customHeight="1">
      <c r="A202" s="8">
        <v>2322653.0</v>
      </c>
      <c r="B202" s="8">
        <v>359576.0</v>
      </c>
      <c r="C202" s="9" t="s">
        <v>17</v>
      </c>
      <c r="D202" s="8">
        <v>3.0</v>
      </c>
      <c r="E202" s="8">
        <v>0.0</v>
      </c>
      <c r="F202" s="8">
        <v>0.0</v>
      </c>
      <c r="G202" s="9" t="s">
        <v>21</v>
      </c>
      <c r="H202" s="10">
        <v>44494.71232789352</v>
      </c>
      <c r="I202" s="10">
        <v>44525.47391388889</v>
      </c>
      <c r="J202" s="8">
        <v>31.0</v>
      </c>
      <c r="K202" s="11">
        <v>1.976153541E7</v>
      </c>
      <c r="L202" s="8" t="str">
        <f>+VLOOKUP(A202,Hoja2!$A$2:$X$2596,19,FALSE)</f>
        <v>#N/A</v>
      </c>
      <c r="M202" s="9" t="str">
        <f>+VLOOKUP(A202,Hoja2!$A$2:$X$2596,15,FALSE)</f>
        <v>#N/A</v>
      </c>
      <c r="N202" s="9" t="str">
        <f>+VLOOKUP(A202,Hoja2!$A$2:$X$2596,17,FALSE)</f>
        <v>#N/A</v>
      </c>
      <c r="O202" s="9" t="str">
        <f>+VLOOKUP(A202,Hoja2!$A$2:$X$2596,22,FALSE)</f>
        <v>#N/A</v>
      </c>
      <c r="P202" s="9" t="str">
        <f>+VLOOKUP(A202,Hoja2!$A$2:$X$2596,23,FALSE)</f>
        <v>#N/A</v>
      </c>
      <c r="Q202" s="9" t="str">
        <f>+VLOOKUP(A202,Hoja2!$A$2:$X$2596,24,FALSE)</f>
        <v>#N/A</v>
      </c>
    </row>
    <row r="203" ht="15.75" hidden="1" customHeight="1">
      <c r="A203" s="8">
        <v>2322653.0</v>
      </c>
      <c r="B203" s="8">
        <v>359576.0</v>
      </c>
      <c r="C203" s="9" t="s">
        <v>17</v>
      </c>
      <c r="D203" s="8">
        <v>2.0</v>
      </c>
      <c r="E203" s="8">
        <v>0.0</v>
      </c>
      <c r="F203" s="8">
        <v>0.0</v>
      </c>
      <c r="G203" s="9" t="s">
        <v>21</v>
      </c>
      <c r="H203" s="10">
        <v>44609.7062159375</v>
      </c>
      <c r="I203" s="10">
        <v>44624.85926527778</v>
      </c>
      <c r="J203" s="8">
        <v>15.0</v>
      </c>
      <c r="K203" s="11">
        <v>1.976153541E7</v>
      </c>
      <c r="L203" s="8" t="str">
        <f>+VLOOKUP(A203,Hoja2!$A$2:$X$2596,19,FALSE)</f>
        <v>#N/A</v>
      </c>
      <c r="M203" s="9" t="str">
        <f>+VLOOKUP(A203,Hoja2!$A$2:$X$2596,15,FALSE)</f>
        <v>#N/A</v>
      </c>
      <c r="N203" s="9" t="str">
        <f>+VLOOKUP(A203,Hoja2!$A$2:$X$2596,17,FALSE)</f>
        <v>#N/A</v>
      </c>
      <c r="O203" s="9" t="str">
        <f>+VLOOKUP(A203,Hoja2!$A$2:$X$2596,22,FALSE)</f>
        <v>#N/A</v>
      </c>
      <c r="P203" s="9" t="str">
        <f>+VLOOKUP(A203,Hoja2!$A$2:$X$2596,23,FALSE)</f>
        <v>#N/A</v>
      </c>
      <c r="Q203" s="9" t="str">
        <f>+VLOOKUP(A203,Hoja2!$A$2:$X$2596,24,FALSE)</f>
        <v>#N/A</v>
      </c>
    </row>
    <row r="204" ht="15.75" hidden="1" customHeight="1">
      <c r="A204" s="8">
        <v>2322653.0</v>
      </c>
      <c r="B204" s="8">
        <v>359576.0</v>
      </c>
      <c r="C204" s="9" t="s">
        <v>17</v>
      </c>
      <c r="D204" s="8">
        <v>2.0</v>
      </c>
      <c r="E204" s="8">
        <v>0.0</v>
      </c>
      <c r="F204" s="8">
        <v>0.0</v>
      </c>
      <c r="G204" s="9" t="s">
        <v>21</v>
      </c>
      <c r="H204" s="10">
        <v>44715.63528599537</v>
      </c>
      <c r="I204" s="10">
        <v>44721.99832329861</v>
      </c>
      <c r="J204" s="8">
        <v>6.0</v>
      </c>
      <c r="K204" s="11">
        <v>1.976153541E7</v>
      </c>
      <c r="L204" s="8" t="str">
        <f>+VLOOKUP(A204,Hoja2!$A$2:$X$2596,19,FALSE)</f>
        <v>#N/A</v>
      </c>
      <c r="M204" s="9" t="str">
        <f>+VLOOKUP(A204,Hoja2!$A$2:$X$2596,15,FALSE)</f>
        <v>#N/A</v>
      </c>
      <c r="N204" s="9" t="str">
        <f>+VLOOKUP(A204,Hoja2!$A$2:$X$2596,17,FALSE)</f>
        <v>#N/A</v>
      </c>
      <c r="O204" s="9" t="str">
        <f>+VLOOKUP(A204,Hoja2!$A$2:$X$2596,22,FALSE)</f>
        <v>#N/A</v>
      </c>
      <c r="P204" s="9" t="str">
        <f>+VLOOKUP(A204,Hoja2!$A$2:$X$2596,23,FALSE)</f>
        <v>#N/A</v>
      </c>
      <c r="Q204" s="9" t="str">
        <f>+VLOOKUP(A204,Hoja2!$A$2:$X$2596,24,FALSE)</f>
        <v>#N/A</v>
      </c>
    </row>
    <row r="205" ht="15.75" hidden="1" customHeight="1">
      <c r="A205" s="8">
        <v>2322653.0</v>
      </c>
      <c r="B205" s="8">
        <v>359576.0</v>
      </c>
      <c r="C205" s="9" t="s">
        <v>19</v>
      </c>
      <c r="D205" s="8">
        <v>2.0</v>
      </c>
      <c r="E205" s="8">
        <v>0.0</v>
      </c>
      <c r="F205" s="8">
        <v>0.0</v>
      </c>
      <c r="G205" s="9" t="s">
        <v>21</v>
      </c>
      <c r="H205" s="10">
        <v>45531.63112508102</v>
      </c>
      <c r="I205" s="10">
        <v>45568.63736875</v>
      </c>
      <c r="J205" s="8">
        <v>37.0</v>
      </c>
      <c r="K205" s="11">
        <v>1.976153541E7</v>
      </c>
      <c r="L205" s="8" t="str">
        <f>+VLOOKUP(A205,Hoja2!$A$2:$X$2596,19,FALSE)</f>
        <v>#N/A</v>
      </c>
      <c r="M205" s="9" t="str">
        <f>+VLOOKUP(A205,Hoja2!$A$2:$X$2596,15,FALSE)</f>
        <v>#N/A</v>
      </c>
      <c r="N205" s="9" t="str">
        <f>+VLOOKUP(A205,Hoja2!$A$2:$X$2596,17,FALSE)</f>
        <v>#N/A</v>
      </c>
      <c r="O205" s="9" t="str">
        <f>+VLOOKUP(A205,Hoja2!$A$2:$X$2596,22,FALSE)</f>
        <v>#N/A</v>
      </c>
      <c r="P205" s="9" t="str">
        <f>+VLOOKUP(A205,Hoja2!$A$2:$X$2596,23,FALSE)</f>
        <v>#N/A</v>
      </c>
      <c r="Q205" s="9" t="str">
        <f>+VLOOKUP(A205,Hoja2!$A$2:$X$2596,24,FALSE)</f>
        <v>#N/A</v>
      </c>
    </row>
    <row r="206" ht="15.75" hidden="1" customHeight="1">
      <c r="A206" s="8">
        <v>2322731.0</v>
      </c>
      <c r="B206" s="8">
        <v>359653.0</v>
      </c>
      <c r="C206" s="9" t="s">
        <v>17</v>
      </c>
      <c r="D206" s="8">
        <v>1.0</v>
      </c>
      <c r="E206" s="8">
        <v>1.0</v>
      </c>
      <c r="F206" s="8">
        <v>0.0</v>
      </c>
      <c r="G206" s="9" t="s">
        <v>18</v>
      </c>
      <c r="H206" s="10">
        <v>44379.65721820602</v>
      </c>
      <c r="I206" s="10">
        <v>44386.696811724534</v>
      </c>
      <c r="J206" s="8">
        <v>7.0</v>
      </c>
      <c r="K206" s="11">
        <v>2.945240806E7</v>
      </c>
      <c r="L206" s="8" t="str">
        <f>+VLOOKUP(A206,Hoja2!$A$2:$X$2596,19,FALSE)</f>
        <v>Concluido</v>
      </c>
      <c r="M206" s="9">
        <f>+VLOOKUP(A206,Hoja2!$A$2:$X$2596,15,FALSE)</f>
        <v>28039930.71</v>
      </c>
      <c r="N206" s="9">
        <f>+VLOOKUP(A206,Hoja2!$A$2:$X$2596,17,FALSE)</f>
        <v>1177597.51</v>
      </c>
      <c r="O206" s="9">
        <f>+VLOOKUP(A206,Hoja2!$A$2:$X$2596,22,FALSE)</f>
        <v>32371215.98</v>
      </c>
      <c r="P206" s="9">
        <f>+VLOOKUP(A206,Hoja2!$A$2:$X$2596,23,FALSE)</f>
        <v>1691460.66</v>
      </c>
      <c r="Q206" s="9">
        <f>+VLOOKUP(A206,Hoja2!$A$2:$X$2596,24,FALSE)</f>
        <v>0</v>
      </c>
    </row>
    <row r="207" ht="15.75" customHeight="1">
      <c r="A207" s="8">
        <v>2322731.0</v>
      </c>
      <c r="B207" s="8">
        <v>359653.0</v>
      </c>
      <c r="C207" s="9" t="s">
        <v>20</v>
      </c>
      <c r="D207" s="8">
        <v>1.0</v>
      </c>
      <c r="E207" s="8">
        <v>1.0</v>
      </c>
      <c r="F207" s="8">
        <v>0.0</v>
      </c>
      <c r="G207" s="9" t="s">
        <v>18</v>
      </c>
      <c r="H207" s="10">
        <v>44490.9495184375</v>
      </c>
      <c r="I207" s="10">
        <v>44518.9111875</v>
      </c>
      <c r="J207" s="8">
        <v>28.0</v>
      </c>
      <c r="K207" s="11">
        <v>2.945240806E7</v>
      </c>
      <c r="L207" s="8" t="str">
        <f>+VLOOKUP(A207,Hoja2!$A$2:$X$2596,19,FALSE)</f>
        <v>Concluido</v>
      </c>
      <c r="M207" s="9">
        <f>+VLOOKUP(A207,Hoja2!$A$2:$X$2596,15,FALSE)</f>
        <v>28039930.71</v>
      </c>
      <c r="N207" s="9">
        <f>+VLOOKUP(A207,Hoja2!$A$2:$X$2596,17,FALSE)</f>
        <v>1177597.51</v>
      </c>
      <c r="O207" s="9">
        <f>+VLOOKUP(A207,Hoja2!$A$2:$X$2596,22,FALSE)</f>
        <v>32371215.98</v>
      </c>
      <c r="P207" s="9">
        <f>+VLOOKUP(A207,Hoja2!$A$2:$X$2596,23,FALSE)</f>
        <v>1691460.66</v>
      </c>
      <c r="Q207" s="9">
        <f>+VLOOKUP(A207,Hoja2!$A$2:$X$2596,24,FALSE)</f>
        <v>0</v>
      </c>
    </row>
    <row r="208" ht="15.75" hidden="1" customHeight="1">
      <c r="A208" s="8">
        <v>2322829.0</v>
      </c>
      <c r="B208" s="8">
        <v>359743.0</v>
      </c>
      <c r="C208" s="9" t="s">
        <v>17</v>
      </c>
      <c r="D208" s="8">
        <v>3.0</v>
      </c>
      <c r="E208" s="8">
        <v>0.0</v>
      </c>
      <c r="F208" s="8">
        <v>0.0</v>
      </c>
      <c r="G208" s="9" t="s">
        <v>21</v>
      </c>
      <c r="H208" s="10">
        <v>44413.730270949076</v>
      </c>
      <c r="I208" s="10">
        <v>44431.71944193287</v>
      </c>
      <c r="J208" s="8">
        <v>18.0</v>
      </c>
      <c r="K208" s="11">
        <v>7275086.9</v>
      </c>
      <c r="L208" s="8" t="str">
        <f>+VLOOKUP(A208,Hoja2!$A$2:$X$2596,19,FALSE)</f>
        <v>Convenio y/o Contrato Resuelto</v>
      </c>
      <c r="M208" s="9">
        <f>+VLOOKUP(A208,Hoja2!$A$2:$X$2596,15,FALSE)</f>
        <v>6606996.8</v>
      </c>
      <c r="N208" s="9">
        <f>+VLOOKUP(A208,Hoja2!$A$2:$X$2596,17,FALSE)</f>
        <v>270286.23</v>
      </c>
      <c r="O208" s="9" t="str">
        <f>+VLOOKUP(A208,Hoja2!$A$2:$X$2596,22,FALSE)</f>
        <v/>
      </c>
      <c r="P208" s="9" t="str">
        <f>+VLOOKUP(A208,Hoja2!$A$2:$X$2596,23,FALSE)</f>
        <v/>
      </c>
      <c r="Q208" s="9" t="str">
        <f>+VLOOKUP(A208,Hoja2!$A$2:$X$2596,24,FALSE)</f>
        <v/>
      </c>
    </row>
    <row r="209" ht="15.75" hidden="1" customHeight="1">
      <c r="A209" s="8">
        <v>2322829.0</v>
      </c>
      <c r="B209" s="8">
        <v>359743.0</v>
      </c>
      <c r="C209" s="9" t="s">
        <v>19</v>
      </c>
      <c r="D209" s="8">
        <v>3.0</v>
      </c>
      <c r="E209" s="8">
        <v>3.0</v>
      </c>
      <c r="F209" s="8">
        <v>0.0</v>
      </c>
      <c r="G209" s="9" t="s">
        <v>18</v>
      </c>
      <c r="H209" s="10">
        <v>44468.71774961805</v>
      </c>
      <c r="I209" s="10">
        <v>44634.80240818287</v>
      </c>
      <c r="J209" s="8">
        <v>166.0</v>
      </c>
      <c r="K209" s="11">
        <v>7275086.9</v>
      </c>
      <c r="L209" s="8" t="str">
        <f>+VLOOKUP(A209,Hoja2!$A$2:$X$2596,19,FALSE)</f>
        <v>Convenio y/o Contrato Resuelto</v>
      </c>
      <c r="M209" s="9">
        <f>+VLOOKUP(A209,Hoja2!$A$2:$X$2596,15,FALSE)</f>
        <v>6606996.8</v>
      </c>
      <c r="N209" s="9">
        <f>+VLOOKUP(A209,Hoja2!$A$2:$X$2596,17,FALSE)</f>
        <v>270286.23</v>
      </c>
      <c r="O209" s="9" t="str">
        <f>+VLOOKUP(A209,Hoja2!$A$2:$X$2596,22,FALSE)</f>
        <v/>
      </c>
      <c r="P209" s="9" t="str">
        <f>+VLOOKUP(A209,Hoja2!$A$2:$X$2596,23,FALSE)</f>
        <v/>
      </c>
      <c r="Q209" s="9" t="str">
        <f>+VLOOKUP(A209,Hoja2!$A$2:$X$2596,24,FALSE)</f>
        <v/>
      </c>
    </row>
    <row r="210" ht="15.75" customHeight="1">
      <c r="A210" s="8">
        <v>2322829.0</v>
      </c>
      <c r="B210" s="8">
        <v>359743.0</v>
      </c>
      <c r="C210" s="9" t="s">
        <v>20</v>
      </c>
      <c r="D210" s="8">
        <v>1.0</v>
      </c>
      <c r="E210" s="8">
        <v>1.0</v>
      </c>
      <c r="F210" s="8">
        <v>0.0</v>
      </c>
      <c r="G210" s="9" t="s">
        <v>18</v>
      </c>
      <c r="H210" s="10">
        <v>44643.71867893518</v>
      </c>
      <c r="I210" s="10">
        <v>44673.644868055555</v>
      </c>
      <c r="J210" s="8">
        <v>30.0</v>
      </c>
      <c r="K210" s="11">
        <v>7275086.9</v>
      </c>
      <c r="L210" s="8" t="str">
        <f>+VLOOKUP(A210,Hoja2!$A$2:$X$2596,19,FALSE)</f>
        <v>Convenio y/o Contrato Resuelto</v>
      </c>
      <c r="M210" s="9">
        <f>+VLOOKUP(A210,Hoja2!$A$2:$X$2596,15,FALSE)</f>
        <v>6606996.8</v>
      </c>
      <c r="N210" s="9">
        <f>+VLOOKUP(A210,Hoja2!$A$2:$X$2596,17,FALSE)</f>
        <v>270286.23</v>
      </c>
      <c r="O210" s="9" t="str">
        <f>+VLOOKUP(A210,Hoja2!$A$2:$X$2596,22,FALSE)</f>
        <v/>
      </c>
      <c r="P210" s="9" t="str">
        <f>+VLOOKUP(A210,Hoja2!$A$2:$X$2596,23,FALSE)</f>
        <v/>
      </c>
      <c r="Q210" s="9" t="str">
        <f>+VLOOKUP(A210,Hoja2!$A$2:$X$2596,24,FALSE)</f>
        <v/>
      </c>
    </row>
    <row r="211" ht="15.75" customHeight="1">
      <c r="A211" s="8">
        <v>2323675.0</v>
      </c>
      <c r="B211" s="8">
        <v>360541.0</v>
      </c>
      <c r="C211" s="9" t="s">
        <v>20</v>
      </c>
      <c r="D211" s="8">
        <v>4.0</v>
      </c>
      <c r="E211" s="8">
        <v>3.0</v>
      </c>
      <c r="F211" s="8">
        <v>0.0</v>
      </c>
      <c r="G211" s="9" t="s">
        <v>18</v>
      </c>
      <c r="H211" s="10">
        <v>44464.00671350695</v>
      </c>
      <c r="I211" s="10">
        <v>44593.64518961806</v>
      </c>
      <c r="J211" s="8">
        <v>129.0</v>
      </c>
      <c r="K211" s="11">
        <v>1362583.06</v>
      </c>
      <c r="L211" s="8" t="str">
        <f>+VLOOKUP(A211,Hoja2!$A$2:$X$2596,19,FALSE)</f>
        <v>Concluido</v>
      </c>
      <c r="M211" s="9">
        <f>+VLOOKUP(A211,Hoja2!$A$2:$X$2596,15,FALSE)</f>
        <v>2902729.61</v>
      </c>
      <c r="N211" s="9">
        <f>+VLOOKUP(A211,Hoja2!$A$2:$X$2596,17,FALSE)</f>
        <v>233076.53</v>
      </c>
      <c r="O211" s="9" t="str">
        <f>+VLOOKUP(A211,Hoja2!$A$2:$X$2596,22,FALSE)</f>
        <v/>
      </c>
      <c r="P211" s="9" t="str">
        <f>+VLOOKUP(A211,Hoja2!$A$2:$X$2596,23,FALSE)</f>
        <v/>
      </c>
      <c r="Q211" s="9" t="str">
        <f>+VLOOKUP(A211,Hoja2!$A$2:$X$2596,24,FALSE)</f>
        <v/>
      </c>
    </row>
    <row r="212" ht="15.75" hidden="1" customHeight="1">
      <c r="A212" s="8">
        <v>2324639.0</v>
      </c>
      <c r="B212" s="8">
        <v>361413.0</v>
      </c>
      <c r="C212" s="9" t="s">
        <v>19</v>
      </c>
      <c r="D212" s="8">
        <v>2.0</v>
      </c>
      <c r="E212" s="8">
        <v>4.0</v>
      </c>
      <c r="F212" s="8">
        <v>0.0</v>
      </c>
      <c r="G212" s="9" t="s">
        <v>18</v>
      </c>
      <c r="H212" s="10">
        <v>44452.816383530095</v>
      </c>
      <c r="I212" s="10">
        <v>44624.386999965274</v>
      </c>
      <c r="J212" s="8">
        <v>172.0</v>
      </c>
      <c r="K212" s="11">
        <v>4357996.3</v>
      </c>
      <c r="L212" s="8" t="str">
        <f>+VLOOKUP(A212,Hoja2!$A$2:$X$2596,19,FALSE)</f>
        <v>#N/A</v>
      </c>
      <c r="M212" s="9" t="str">
        <f>+VLOOKUP(A212,Hoja2!$A$2:$X$2596,15,FALSE)</f>
        <v>#N/A</v>
      </c>
      <c r="N212" s="9" t="str">
        <f>+VLOOKUP(A212,Hoja2!$A$2:$X$2596,17,FALSE)</f>
        <v>#N/A</v>
      </c>
      <c r="O212" s="9" t="str">
        <f>+VLOOKUP(A212,Hoja2!$A$2:$X$2596,22,FALSE)</f>
        <v>#N/A</v>
      </c>
      <c r="P212" s="9" t="str">
        <f>+VLOOKUP(A212,Hoja2!$A$2:$X$2596,23,FALSE)</f>
        <v>#N/A</v>
      </c>
      <c r="Q212" s="9" t="str">
        <f>+VLOOKUP(A212,Hoja2!$A$2:$X$2596,24,FALSE)</f>
        <v>#N/A</v>
      </c>
    </row>
    <row r="213" ht="15.75" hidden="1" customHeight="1">
      <c r="A213" s="8">
        <v>2324639.0</v>
      </c>
      <c r="B213" s="8">
        <v>361413.0</v>
      </c>
      <c r="C213" s="9" t="s">
        <v>19</v>
      </c>
      <c r="D213" s="8">
        <v>3.0</v>
      </c>
      <c r="E213" s="8">
        <v>4.0</v>
      </c>
      <c r="F213" s="8">
        <v>0.0</v>
      </c>
      <c r="G213" s="9" t="s">
        <v>18</v>
      </c>
      <c r="H213" s="10">
        <v>44690.51286809028</v>
      </c>
      <c r="I213" s="10">
        <v>44844.67301971065</v>
      </c>
      <c r="J213" s="8">
        <v>154.0</v>
      </c>
      <c r="K213" s="11">
        <v>4357996.3</v>
      </c>
      <c r="L213" s="8" t="str">
        <f>+VLOOKUP(A213,Hoja2!$A$2:$X$2596,19,FALSE)</f>
        <v>#N/A</v>
      </c>
      <c r="M213" s="9" t="str">
        <f>+VLOOKUP(A213,Hoja2!$A$2:$X$2596,15,FALSE)</f>
        <v>#N/A</v>
      </c>
      <c r="N213" s="9" t="str">
        <f>+VLOOKUP(A213,Hoja2!$A$2:$X$2596,17,FALSE)</f>
        <v>#N/A</v>
      </c>
      <c r="O213" s="9" t="str">
        <f>+VLOOKUP(A213,Hoja2!$A$2:$X$2596,22,FALSE)</f>
        <v>#N/A</v>
      </c>
      <c r="P213" s="9" t="str">
        <f>+VLOOKUP(A213,Hoja2!$A$2:$X$2596,23,FALSE)</f>
        <v>#N/A</v>
      </c>
      <c r="Q213" s="9" t="str">
        <f>+VLOOKUP(A213,Hoja2!$A$2:$X$2596,24,FALSE)</f>
        <v>#N/A</v>
      </c>
    </row>
    <row r="214" ht="15.75" hidden="1" customHeight="1">
      <c r="A214" s="8">
        <v>2324639.0</v>
      </c>
      <c r="B214" s="8">
        <v>361413.0</v>
      </c>
      <c r="C214" s="9" t="s">
        <v>19</v>
      </c>
      <c r="D214" s="8">
        <v>1.0</v>
      </c>
      <c r="E214" s="8">
        <v>3.0</v>
      </c>
      <c r="F214" s="8">
        <v>0.0</v>
      </c>
      <c r="G214" s="9" t="s">
        <v>18</v>
      </c>
      <c r="H214" s="10">
        <v>44915.531173993055</v>
      </c>
      <c r="I214" s="10">
        <v>45063.60417515046</v>
      </c>
      <c r="J214" s="8">
        <v>148.0</v>
      </c>
      <c r="K214" s="11">
        <v>4357996.3</v>
      </c>
      <c r="L214" s="8" t="str">
        <f>+VLOOKUP(A214,Hoja2!$A$2:$X$2596,19,FALSE)</f>
        <v>#N/A</v>
      </c>
      <c r="M214" s="9" t="str">
        <f>+VLOOKUP(A214,Hoja2!$A$2:$X$2596,15,FALSE)</f>
        <v>#N/A</v>
      </c>
      <c r="N214" s="9" t="str">
        <f>+VLOOKUP(A214,Hoja2!$A$2:$X$2596,17,FALSE)</f>
        <v>#N/A</v>
      </c>
      <c r="O214" s="9" t="str">
        <f>+VLOOKUP(A214,Hoja2!$A$2:$X$2596,22,FALSE)</f>
        <v>#N/A</v>
      </c>
      <c r="P214" s="9" t="str">
        <f>+VLOOKUP(A214,Hoja2!$A$2:$X$2596,23,FALSE)</f>
        <v>#N/A</v>
      </c>
      <c r="Q214" s="9" t="str">
        <f>+VLOOKUP(A214,Hoja2!$A$2:$X$2596,24,FALSE)</f>
        <v>#N/A</v>
      </c>
    </row>
    <row r="215" ht="15.75" hidden="1" customHeight="1">
      <c r="A215" s="8">
        <v>2324639.0</v>
      </c>
      <c r="B215" s="8">
        <v>361413.0</v>
      </c>
      <c r="C215" s="9" t="s">
        <v>19</v>
      </c>
      <c r="D215" s="8">
        <v>2.0</v>
      </c>
      <c r="E215" s="8">
        <v>10.0</v>
      </c>
      <c r="F215" s="8">
        <v>0.0</v>
      </c>
      <c r="G215" s="9" t="s">
        <v>18</v>
      </c>
      <c r="H215" s="10">
        <v>45069.591597719904</v>
      </c>
      <c r="I215" s="10">
        <v>45211.632895601855</v>
      </c>
      <c r="J215" s="8">
        <v>142.0</v>
      </c>
      <c r="K215" s="11">
        <v>4357996.3</v>
      </c>
      <c r="L215" s="8" t="str">
        <f>+VLOOKUP(A215,Hoja2!$A$2:$X$2596,19,FALSE)</f>
        <v>#N/A</v>
      </c>
      <c r="M215" s="9" t="str">
        <f>+VLOOKUP(A215,Hoja2!$A$2:$X$2596,15,FALSE)</f>
        <v>#N/A</v>
      </c>
      <c r="N215" s="9" t="str">
        <f>+VLOOKUP(A215,Hoja2!$A$2:$X$2596,17,FALSE)</f>
        <v>#N/A</v>
      </c>
      <c r="O215" s="9" t="str">
        <f>+VLOOKUP(A215,Hoja2!$A$2:$X$2596,22,FALSE)</f>
        <v>#N/A</v>
      </c>
      <c r="P215" s="9" t="str">
        <f>+VLOOKUP(A215,Hoja2!$A$2:$X$2596,23,FALSE)</f>
        <v>#N/A</v>
      </c>
      <c r="Q215" s="9" t="str">
        <f>+VLOOKUP(A215,Hoja2!$A$2:$X$2596,24,FALSE)</f>
        <v>#N/A</v>
      </c>
    </row>
    <row r="216" ht="15.75" hidden="1" customHeight="1">
      <c r="A216" s="8">
        <v>2324639.0</v>
      </c>
      <c r="B216" s="8">
        <v>361413.0</v>
      </c>
      <c r="C216" s="9" t="s">
        <v>19</v>
      </c>
      <c r="D216" s="8">
        <v>2.0</v>
      </c>
      <c r="E216" s="8">
        <v>1.0</v>
      </c>
      <c r="F216" s="8">
        <v>0.0</v>
      </c>
      <c r="G216" s="9" t="s">
        <v>18</v>
      </c>
      <c r="H216" s="10">
        <v>45217.80408275463</v>
      </c>
      <c r="I216" s="10">
        <v>45238.5908221412</v>
      </c>
      <c r="J216" s="8">
        <v>21.0</v>
      </c>
      <c r="K216" s="11">
        <v>4357996.3</v>
      </c>
      <c r="L216" s="8" t="str">
        <f>+VLOOKUP(A216,Hoja2!$A$2:$X$2596,19,FALSE)</f>
        <v>#N/A</v>
      </c>
      <c r="M216" s="9" t="str">
        <f>+VLOOKUP(A216,Hoja2!$A$2:$X$2596,15,FALSE)</f>
        <v>#N/A</v>
      </c>
      <c r="N216" s="9" t="str">
        <f>+VLOOKUP(A216,Hoja2!$A$2:$X$2596,17,FALSE)</f>
        <v>#N/A</v>
      </c>
      <c r="O216" s="9" t="str">
        <f>+VLOOKUP(A216,Hoja2!$A$2:$X$2596,22,FALSE)</f>
        <v>#N/A</v>
      </c>
      <c r="P216" s="9" t="str">
        <f>+VLOOKUP(A216,Hoja2!$A$2:$X$2596,23,FALSE)</f>
        <v>#N/A</v>
      </c>
      <c r="Q216" s="9" t="str">
        <f>+VLOOKUP(A216,Hoja2!$A$2:$X$2596,24,FALSE)</f>
        <v>#N/A</v>
      </c>
    </row>
    <row r="217" ht="15.75" customHeight="1">
      <c r="A217" s="8">
        <v>2324763.0</v>
      </c>
      <c r="B217" s="8">
        <v>361510.0</v>
      </c>
      <c r="C217" s="9" t="s">
        <v>20</v>
      </c>
      <c r="D217" s="8">
        <v>2.0</v>
      </c>
      <c r="E217" s="8">
        <v>4.0</v>
      </c>
      <c r="F217" s="8">
        <v>0.0</v>
      </c>
      <c r="G217" s="9" t="s">
        <v>18</v>
      </c>
      <c r="H217" s="10">
        <v>44470.76922241898</v>
      </c>
      <c r="I217" s="10">
        <v>44533.65597519676</v>
      </c>
      <c r="J217" s="8">
        <v>63.0</v>
      </c>
      <c r="K217" s="11">
        <v>67063.08</v>
      </c>
      <c r="L217" s="8" t="str">
        <f>+VLOOKUP(A217,Hoja2!$A$2:$X$2596,19,FALSE)</f>
        <v>Concluido</v>
      </c>
      <c r="M217" s="9">
        <f>+VLOOKUP(A217,Hoja2!$A$2:$X$2596,15,FALSE)</f>
        <v>11383419</v>
      </c>
      <c r="N217" s="9">
        <f>+VLOOKUP(A217,Hoja2!$A$2:$X$2596,17,FALSE)</f>
        <v>750000</v>
      </c>
      <c r="O217" s="9">
        <f>+VLOOKUP(A217,Hoja2!$A$2:$X$2596,22,FALSE)</f>
        <v>11862217.93</v>
      </c>
      <c r="P217" s="9">
        <f>+VLOOKUP(A217,Hoja2!$A$2:$X$2596,23,FALSE)</f>
        <v>0</v>
      </c>
      <c r="Q217" s="9">
        <f>+VLOOKUP(A217,Hoja2!$A$2:$X$2596,24,FALSE)</f>
        <v>0</v>
      </c>
    </row>
    <row r="218" ht="15.75" customHeight="1">
      <c r="A218" s="8">
        <v>2326561.0</v>
      </c>
      <c r="B218" s="8">
        <v>363084.0</v>
      </c>
      <c r="C218" s="9" t="s">
        <v>20</v>
      </c>
      <c r="D218" s="8">
        <v>1.0</v>
      </c>
      <c r="E218" s="8">
        <v>2.0</v>
      </c>
      <c r="F218" s="8">
        <v>0.0</v>
      </c>
      <c r="G218" s="9" t="s">
        <v>18</v>
      </c>
      <c r="H218" s="10">
        <v>44200.71722010417</v>
      </c>
      <c r="I218" s="10">
        <v>44211.544487349536</v>
      </c>
      <c r="J218" s="8">
        <v>11.0</v>
      </c>
      <c r="K218" s="11">
        <v>2926810.65</v>
      </c>
      <c r="L218" s="8" t="str">
        <f>+VLOOKUP(A218,Hoja2!$A$2:$X$2596,19,FALSE)</f>
        <v>Concluido</v>
      </c>
      <c r="M218" s="9">
        <f>+VLOOKUP(A218,Hoja2!$A$2:$X$2596,15,FALSE)</f>
        <v>2650090.48</v>
      </c>
      <c r="N218" s="9">
        <f>+VLOOKUP(A218,Hoja2!$A$2:$X$2596,17,FALSE)</f>
        <v>124906.07</v>
      </c>
      <c r="O218" s="9">
        <f>+VLOOKUP(A218,Hoja2!$A$2:$X$2596,22,FALSE)</f>
        <v>0</v>
      </c>
      <c r="P218" s="9">
        <f>+VLOOKUP(A218,Hoja2!$A$2:$X$2596,23,FALSE)</f>
        <v>113156.36</v>
      </c>
      <c r="Q218" s="9">
        <f>+VLOOKUP(A218,Hoja2!$A$2:$X$2596,24,FALSE)</f>
        <v>0</v>
      </c>
    </row>
    <row r="219" ht="15.75" hidden="1" customHeight="1">
      <c r="A219" s="8">
        <v>2328188.0</v>
      </c>
      <c r="B219" s="8">
        <v>364561.0</v>
      </c>
      <c r="C219" s="9" t="s">
        <v>19</v>
      </c>
      <c r="D219" s="8">
        <v>6.0</v>
      </c>
      <c r="E219" s="8">
        <v>0.0</v>
      </c>
      <c r="F219" s="8">
        <v>0.0</v>
      </c>
      <c r="G219" s="9" t="s">
        <v>21</v>
      </c>
      <c r="H219" s="10">
        <v>44256.64004899305</v>
      </c>
      <c r="I219" s="10">
        <v>44351.81750613426</v>
      </c>
      <c r="J219" s="8">
        <v>95.0</v>
      </c>
      <c r="K219" s="11">
        <v>5024496.06</v>
      </c>
      <c r="L219" s="8" t="str">
        <f>+VLOOKUP(A219,Hoja2!$A$2:$X$2596,19,FALSE)</f>
        <v>#N/A</v>
      </c>
      <c r="M219" s="9" t="str">
        <f>+VLOOKUP(A219,Hoja2!$A$2:$X$2596,15,FALSE)</f>
        <v>#N/A</v>
      </c>
      <c r="N219" s="9" t="str">
        <f>+VLOOKUP(A219,Hoja2!$A$2:$X$2596,17,FALSE)</f>
        <v>#N/A</v>
      </c>
      <c r="O219" s="9" t="str">
        <f>+VLOOKUP(A219,Hoja2!$A$2:$X$2596,22,FALSE)</f>
        <v>#N/A</v>
      </c>
      <c r="P219" s="9" t="str">
        <f>+VLOOKUP(A219,Hoja2!$A$2:$X$2596,23,FALSE)</f>
        <v>#N/A</v>
      </c>
      <c r="Q219" s="9" t="str">
        <f>+VLOOKUP(A219,Hoja2!$A$2:$X$2596,24,FALSE)</f>
        <v>#N/A</v>
      </c>
    </row>
    <row r="220" ht="15.75" hidden="1" customHeight="1">
      <c r="A220" s="8">
        <v>2328188.0</v>
      </c>
      <c r="B220" s="8">
        <v>364561.0</v>
      </c>
      <c r="C220" s="9" t="s">
        <v>17</v>
      </c>
      <c r="D220" s="8">
        <v>2.0</v>
      </c>
      <c r="E220" s="8">
        <v>0.0</v>
      </c>
      <c r="F220" s="8">
        <v>0.0</v>
      </c>
      <c r="G220" s="9" t="s">
        <v>21</v>
      </c>
      <c r="H220" s="10">
        <v>44392.53239371528</v>
      </c>
      <c r="I220" s="10">
        <v>44398.772502395834</v>
      </c>
      <c r="J220" s="8">
        <v>6.0</v>
      </c>
      <c r="K220" s="11">
        <v>5024496.06</v>
      </c>
      <c r="L220" s="8" t="str">
        <f>+VLOOKUP(A220,Hoja2!$A$2:$X$2596,19,FALSE)</f>
        <v>#N/A</v>
      </c>
      <c r="M220" s="9" t="str">
        <f>+VLOOKUP(A220,Hoja2!$A$2:$X$2596,15,FALSE)</f>
        <v>#N/A</v>
      </c>
      <c r="N220" s="9" t="str">
        <f>+VLOOKUP(A220,Hoja2!$A$2:$X$2596,17,FALSE)</f>
        <v>#N/A</v>
      </c>
      <c r="O220" s="9" t="str">
        <f>+VLOOKUP(A220,Hoja2!$A$2:$X$2596,22,FALSE)</f>
        <v>#N/A</v>
      </c>
      <c r="P220" s="9" t="str">
        <f>+VLOOKUP(A220,Hoja2!$A$2:$X$2596,23,FALSE)</f>
        <v>#N/A</v>
      </c>
      <c r="Q220" s="9" t="str">
        <f>+VLOOKUP(A220,Hoja2!$A$2:$X$2596,24,FALSE)</f>
        <v>#N/A</v>
      </c>
    </row>
    <row r="221" ht="15.75" hidden="1" customHeight="1">
      <c r="A221" s="8">
        <v>2331182.0</v>
      </c>
      <c r="B221" s="8">
        <v>369730.0</v>
      </c>
      <c r="C221" s="9" t="s">
        <v>17</v>
      </c>
      <c r="D221" s="8">
        <v>2.0</v>
      </c>
      <c r="E221" s="8">
        <v>0.0</v>
      </c>
      <c r="F221" s="8">
        <v>0.0</v>
      </c>
      <c r="G221" s="9" t="s">
        <v>21</v>
      </c>
      <c r="H221" s="10">
        <v>44601.786225497686</v>
      </c>
      <c r="I221" s="10">
        <v>44613.84096412037</v>
      </c>
      <c r="J221" s="8">
        <v>12.0</v>
      </c>
      <c r="K221" s="11">
        <v>7503674.53</v>
      </c>
      <c r="L221" s="8" t="str">
        <f>+VLOOKUP(A221,Hoja2!$A$2:$X$2596,19,FALSE)</f>
        <v>#N/A</v>
      </c>
      <c r="M221" s="9" t="str">
        <f>+VLOOKUP(A221,Hoja2!$A$2:$X$2596,15,FALSE)</f>
        <v>#N/A</v>
      </c>
      <c r="N221" s="9" t="str">
        <f>+VLOOKUP(A221,Hoja2!$A$2:$X$2596,17,FALSE)</f>
        <v>#N/A</v>
      </c>
      <c r="O221" s="9" t="str">
        <f>+VLOOKUP(A221,Hoja2!$A$2:$X$2596,22,FALSE)</f>
        <v>#N/A</v>
      </c>
      <c r="P221" s="9" t="str">
        <f>+VLOOKUP(A221,Hoja2!$A$2:$X$2596,23,FALSE)</f>
        <v>#N/A</v>
      </c>
      <c r="Q221" s="9" t="str">
        <f>+VLOOKUP(A221,Hoja2!$A$2:$X$2596,24,FALSE)</f>
        <v>#N/A</v>
      </c>
    </row>
    <row r="222" ht="15.75" hidden="1" customHeight="1">
      <c r="A222" s="8">
        <v>2334202.0</v>
      </c>
      <c r="B222" s="8">
        <v>373365.0</v>
      </c>
      <c r="C222" s="9" t="s">
        <v>17</v>
      </c>
      <c r="D222" s="8">
        <v>2.0</v>
      </c>
      <c r="E222" s="8">
        <v>0.0</v>
      </c>
      <c r="F222" s="8">
        <v>0.0</v>
      </c>
      <c r="G222" s="9" t="s">
        <v>21</v>
      </c>
      <c r="H222" s="10">
        <v>44706.74261547453</v>
      </c>
      <c r="I222" s="10">
        <v>44712.52897847222</v>
      </c>
      <c r="J222" s="8">
        <v>6.0</v>
      </c>
      <c r="K222" s="11">
        <v>7337299.29</v>
      </c>
      <c r="L222" s="8" t="str">
        <f>+VLOOKUP(A222,Hoja2!$A$2:$X$2596,19,FALSE)</f>
        <v>#N/A</v>
      </c>
      <c r="M222" s="9" t="str">
        <f>+VLOOKUP(A222,Hoja2!$A$2:$X$2596,15,FALSE)</f>
        <v>#N/A</v>
      </c>
      <c r="N222" s="9" t="str">
        <f>+VLOOKUP(A222,Hoja2!$A$2:$X$2596,17,FALSE)</f>
        <v>#N/A</v>
      </c>
      <c r="O222" s="9" t="str">
        <f>+VLOOKUP(A222,Hoja2!$A$2:$X$2596,22,FALSE)</f>
        <v>#N/A</v>
      </c>
      <c r="P222" s="9" t="str">
        <f>+VLOOKUP(A222,Hoja2!$A$2:$X$2596,23,FALSE)</f>
        <v>#N/A</v>
      </c>
      <c r="Q222" s="9" t="str">
        <f>+VLOOKUP(A222,Hoja2!$A$2:$X$2596,24,FALSE)</f>
        <v>#N/A</v>
      </c>
    </row>
    <row r="223" ht="15.75" hidden="1" customHeight="1">
      <c r="A223" s="8">
        <v>2334812.0</v>
      </c>
      <c r="B223" s="8">
        <v>373945.0</v>
      </c>
      <c r="C223" s="9" t="s">
        <v>17</v>
      </c>
      <c r="D223" s="8">
        <v>2.0</v>
      </c>
      <c r="E223" s="8">
        <v>0.0</v>
      </c>
      <c r="F223" s="8">
        <v>0.0</v>
      </c>
      <c r="G223" s="9" t="s">
        <v>21</v>
      </c>
      <c r="H223" s="10">
        <v>44455.5418871875</v>
      </c>
      <c r="I223" s="10">
        <v>44463.62351909722</v>
      </c>
      <c r="J223" s="8">
        <v>8.0</v>
      </c>
      <c r="K223" s="11">
        <v>2.044714327E7</v>
      </c>
      <c r="L223" s="8" t="str">
        <f>+VLOOKUP(A223,Hoja2!$A$2:$X$2596,19,FALSE)</f>
        <v>#N/A</v>
      </c>
      <c r="M223" s="9" t="str">
        <f>+VLOOKUP(A223,Hoja2!$A$2:$X$2596,15,FALSE)</f>
        <v>#N/A</v>
      </c>
      <c r="N223" s="9" t="str">
        <f>+VLOOKUP(A223,Hoja2!$A$2:$X$2596,17,FALSE)</f>
        <v>#N/A</v>
      </c>
      <c r="O223" s="9" t="str">
        <f>+VLOOKUP(A223,Hoja2!$A$2:$X$2596,22,FALSE)</f>
        <v>#N/A</v>
      </c>
      <c r="P223" s="9" t="str">
        <f>+VLOOKUP(A223,Hoja2!$A$2:$X$2596,23,FALSE)</f>
        <v>#N/A</v>
      </c>
      <c r="Q223" s="9" t="str">
        <f>+VLOOKUP(A223,Hoja2!$A$2:$X$2596,24,FALSE)</f>
        <v>#N/A</v>
      </c>
    </row>
    <row r="224" ht="15.75" hidden="1" customHeight="1">
      <c r="A224" s="8">
        <v>2336039.0</v>
      </c>
      <c r="B224" s="8">
        <v>375091.0</v>
      </c>
      <c r="C224" s="9" t="s">
        <v>17</v>
      </c>
      <c r="D224" s="8">
        <v>2.0</v>
      </c>
      <c r="E224" s="8">
        <v>0.0</v>
      </c>
      <c r="F224" s="8">
        <v>0.0</v>
      </c>
      <c r="G224" s="9" t="s">
        <v>21</v>
      </c>
      <c r="H224" s="10">
        <v>44698.82997175926</v>
      </c>
      <c r="I224" s="10">
        <v>44705.724553506945</v>
      </c>
      <c r="J224" s="8">
        <v>7.0</v>
      </c>
      <c r="K224" s="11">
        <v>1.771922088E7</v>
      </c>
      <c r="L224" s="8" t="str">
        <f>+VLOOKUP(A224,Hoja2!$A$2:$X$2596,19,FALSE)</f>
        <v>#N/A</v>
      </c>
      <c r="M224" s="9" t="str">
        <f>+VLOOKUP(A224,Hoja2!$A$2:$X$2596,15,FALSE)</f>
        <v>#N/A</v>
      </c>
      <c r="N224" s="9" t="str">
        <f>+VLOOKUP(A224,Hoja2!$A$2:$X$2596,17,FALSE)</f>
        <v>#N/A</v>
      </c>
      <c r="O224" s="9" t="str">
        <f>+VLOOKUP(A224,Hoja2!$A$2:$X$2596,22,FALSE)</f>
        <v>#N/A</v>
      </c>
      <c r="P224" s="9" t="str">
        <f>+VLOOKUP(A224,Hoja2!$A$2:$X$2596,23,FALSE)</f>
        <v>#N/A</v>
      </c>
      <c r="Q224" s="9" t="str">
        <f>+VLOOKUP(A224,Hoja2!$A$2:$X$2596,24,FALSE)</f>
        <v>#N/A</v>
      </c>
    </row>
    <row r="225" ht="15.75" hidden="1" customHeight="1">
      <c r="A225" s="8">
        <v>2337367.0</v>
      </c>
      <c r="B225" s="8">
        <v>376347.0</v>
      </c>
      <c r="C225" s="9" t="s">
        <v>17</v>
      </c>
      <c r="D225" s="8">
        <v>2.0</v>
      </c>
      <c r="E225" s="8">
        <v>0.0</v>
      </c>
      <c r="F225" s="8">
        <v>0.0</v>
      </c>
      <c r="G225" s="9" t="s">
        <v>21</v>
      </c>
      <c r="H225" s="10">
        <v>44362.51021478009</v>
      </c>
      <c r="I225" s="10">
        <v>44377.506365277775</v>
      </c>
      <c r="J225" s="8">
        <v>15.0</v>
      </c>
      <c r="K225" s="11">
        <v>9570347.33</v>
      </c>
      <c r="L225" s="8" t="str">
        <f>+VLOOKUP(A225,Hoja2!$A$2:$X$2596,19,FALSE)</f>
        <v>#N/A</v>
      </c>
      <c r="M225" s="9" t="str">
        <f>+VLOOKUP(A225,Hoja2!$A$2:$X$2596,15,FALSE)</f>
        <v>#N/A</v>
      </c>
      <c r="N225" s="9" t="str">
        <f>+VLOOKUP(A225,Hoja2!$A$2:$X$2596,17,FALSE)</f>
        <v>#N/A</v>
      </c>
      <c r="O225" s="9" t="str">
        <f>+VLOOKUP(A225,Hoja2!$A$2:$X$2596,22,FALSE)</f>
        <v>#N/A</v>
      </c>
      <c r="P225" s="9" t="str">
        <f>+VLOOKUP(A225,Hoja2!$A$2:$X$2596,23,FALSE)</f>
        <v>#N/A</v>
      </c>
      <c r="Q225" s="9" t="str">
        <f>+VLOOKUP(A225,Hoja2!$A$2:$X$2596,24,FALSE)</f>
        <v>#N/A</v>
      </c>
    </row>
    <row r="226" ht="15.75" hidden="1" customHeight="1">
      <c r="A226" s="8">
        <v>2337689.0</v>
      </c>
      <c r="B226" s="8">
        <v>376625.0</v>
      </c>
      <c r="C226" s="9" t="s">
        <v>19</v>
      </c>
      <c r="D226" s="8">
        <v>3.0</v>
      </c>
      <c r="E226" s="8">
        <v>0.0</v>
      </c>
      <c r="F226" s="8">
        <v>0.0</v>
      </c>
      <c r="G226" s="9" t="s">
        <v>21</v>
      </c>
      <c r="H226" s="10">
        <v>44420.66479818287</v>
      </c>
      <c r="I226" s="10">
        <v>44461.2388184375</v>
      </c>
      <c r="J226" s="8">
        <v>41.0</v>
      </c>
      <c r="K226" s="11">
        <v>1671834.92</v>
      </c>
      <c r="L226" s="8" t="str">
        <f>+VLOOKUP(A226,Hoja2!$A$2:$X$2596,19,FALSE)</f>
        <v>#N/A</v>
      </c>
      <c r="M226" s="9" t="str">
        <f>+VLOOKUP(A226,Hoja2!$A$2:$X$2596,15,FALSE)</f>
        <v>#N/A</v>
      </c>
      <c r="N226" s="9" t="str">
        <f>+VLOOKUP(A226,Hoja2!$A$2:$X$2596,17,FALSE)</f>
        <v>#N/A</v>
      </c>
      <c r="O226" s="9" t="str">
        <f>+VLOOKUP(A226,Hoja2!$A$2:$X$2596,22,FALSE)</f>
        <v>#N/A</v>
      </c>
      <c r="P226" s="9" t="str">
        <f>+VLOOKUP(A226,Hoja2!$A$2:$X$2596,23,FALSE)</f>
        <v>#N/A</v>
      </c>
      <c r="Q226" s="9" t="str">
        <f>+VLOOKUP(A226,Hoja2!$A$2:$X$2596,24,FALSE)</f>
        <v>#N/A</v>
      </c>
    </row>
    <row r="227" ht="15.75" hidden="1" customHeight="1">
      <c r="A227" s="8">
        <v>2337689.0</v>
      </c>
      <c r="B227" s="8">
        <v>376625.0</v>
      </c>
      <c r="C227" s="9" t="s">
        <v>17</v>
      </c>
      <c r="D227" s="8">
        <v>4.0</v>
      </c>
      <c r="E227" s="8">
        <v>0.0</v>
      </c>
      <c r="F227" s="8">
        <v>0.0</v>
      </c>
      <c r="G227" s="9" t="s">
        <v>21</v>
      </c>
      <c r="H227" s="10">
        <v>44497.415123530096</v>
      </c>
      <c r="I227" s="10">
        <v>44519.15805605324</v>
      </c>
      <c r="J227" s="8">
        <v>22.0</v>
      </c>
      <c r="K227" s="11">
        <v>1671834.92</v>
      </c>
      <c r="L227" s="8" t="str">
        <f>+VLOOKUP(A227,Hoja2!$A$2:$X$2596,19,FALSE)</f>
        <v>#N/A</v>
      </c>
      <c r="M227" s="9" t="str">
        <f>+VLOOKUP(A227,Hoja2!$A$2:$X$2596,15,FALSE)</f>
        <v>#N/A</v>
      </c>
      <c r="N227" s="9" t="str">
        <f>+VLOOKUP(A227,Hoja2!$A$2:$X$2596,17,FALSE)</f>
        <v>#N/A</v>
      </c>
      <c r="O227" s="9" t="str">
        <f>+VLOOKUP(A227,Hoja2!$A$2:$X$2596,22,FALSE)</f>
        <v>#N/A</v>
      </c>
      <c r="P227" s="9" t="str">
        <f>+VLOOKUP(A227,Hoja2!$A$2:$X$2596,23,FALSE)</f>
        <v>#N/A</v>
      </c>
      <c r="Q227" s="9" t="str">
        <f>+VLOOKUP(A227,Hoja2!$A$2:$X$2596,24,FALSE)</f>
        <v>#N/A</v>
      </c>
    </row>
    <row r="228" ht="15.75" hidden="1" customHeight="1">
      <c r="A228" s="8">
        <v>2337938.0</v>
      </c>
      <c r="B228" s="8">
        <v>376862.0</v>
      </c>
      <c r="C228" s="9" t="s">
        <v>19</v>
      </c>
      <c r="D228" s="8">
        <v>2.0</v>
      </c>
      <c r="E228" s="8">
        <v>0.0</v>
      </c>
      <c r="F228" s="8">
        <v>0.0</v>
      </c>
      <c r="G228" s="9" t="s">
        <v>21</v>
      </c>
      <c r="H228" s="10">
        <v>44274.59456805555</v>
      </c>
      <c r="I228" s="10">
        <v>44282.434747604166</v>
      </c>
      <c r="J228" s="8">
        <v>8.0</v>
      </c>
      <c r="K228" s="11">
        <v>1.2756984E7</v>
      </c>
      <c r="L228" s="8" t="str">
        <f>+VLOOKUP(A228,Hoja2!$A$2:$X$2596,19,FALSE)</f>
        <v>#N/A</v>
      </c>
      <c r="M228" s="9" t="str">
        <f>+VLOOKUP(A228,Hoja2!$A$2:$X$2596,15,FALSE)</f>
        <v>#N/A</v>
      </c>
      <c r="N228" s="9" t="str">
        <f>+VLOOKUP(A228,Hoja2!$A$2:$X$2596,17,FALSE)</f>
        <v>#N/A</v>
      </c>
      <c r="O228" s="9" t="str">
        <f>+VLOOKUP(A228,Hoja2!$A$2:$X$2596,22,FALSE)</f>
        <v>#N/A</v>
      </c>
      <c r="P228" s="9" t="str">
        <f>+VLOOKUP(A228,Hoja2!$A$2:$X$2596,23,FALSE)</f>
        <v>#N/A</v>
      </c>
      <c r="Q228" s="9" t="str">
        <f>+VLOOKUP(A228,Hoja2!$A$2:$X$2596,24,FALSE)</f>
        <v>#N/A</v>
      </c>
    </row>
    <row r="229" ht="15.75" hidden="1" customHeight="1">
      <c r="A229" s="8">
        <v>2338024.0</v>
      </c>
      <c r="B229" s="8">
        <v>376947.0</v>
      </c>
      <c r="C229" s="9" t="s">
        <v>19</v>
      </c>
      <c r="D229" s="8">
        <v>3.0</v>
      </c>
      <c r="E229" s="8">
        <v>5.0</v>
      </c>
      <c r="F229" s="8">
        <v>0.0</v>
      </c>
      <c r="G229" s="9" t="s">
        <v>18</v>
      </c>
      <c r="H229" s="10">
        <v>44382.9640278588</v>
      </c>
      <c r="I229" s="10">
        <v>44489.93136177083</v>
      </c>
      <c r="J229" s="8">
        <v>107.0</v>
      </c>
      <c r="K229" s="11">
        <v>2776850.86</v>
      </c>
      <c r="L229" s="8" t="str">
        <f>+VLOOKUP(A229,Hoja2!$A$2:$X$2596,19,FALSE)</f>
        <v>Concluido</v>
      </c>
      <c r="M229" s="9">
        <f>+VLOOKUP(A229,Hoja2!$A$2:$X$2596,15,FALSE)</f>
        <v>4781537.48</v>
      </c>
      <c r="N229" s="9">
        <f>+VLOOKUP(A229,Hoja2!$A$2:$X$2596,17,FALSE)</f>
        <v>238500</v>
      </c>
      <c r="O229" s="9">
        <f>+VLOOKUP(A229,Hoja2!$A$2:$X$2596,22,FALSE)</f>
        <v>0</v>
      </c>
      <c r="P229" s="9">
        <f>+VLOOKUP(A229,Hoja2!$A$2:$X$2596,23,FALSE)</f>
        <v>238500</v>
      </c>
      <c r="Q229" s="9">
        <f>+VLOOKUP(A229,Hoja2!$A$2:$X$2596,24,FALSE)</f>
        <v>0</v>
      </c>
    </row>
    <row r="230" ht="15.75" hidden="1" customHeight="1">
      <c r="A230" s="8">
        <v>2338024.0</v>
      </c>
      <c r="B230" s="8">
        <v>376947.0</v>
      </c>
      <c r="C230" s="9" t="s">
        <v>19</v>
      </c>
      <c r="D230" s="8">
        <v>5.0</v>
      </c>
      <c r="E230" s="8">
        <v>4.0</v>
      </c>
      <c r="F230" s="8">
        <v>0.0</v>
      </c>
      <c r="G230" s="9" t="s">
        <v>18</v>
      </c>
      <c r="H230" s="10">
        <v>44594.93835644676</v>
      </c>
      <c r="I230" s="10">
        <v>44747.60930957176</v>
      </c>
      <c r="J230" s="8">
        <v>153.0</v>
      </c>
      <c r="K230" s="11">
        <v>2776850.86</v>
      </c>
      <c r="L230" s="8" t="str">
        <f>+VLOOKUP(A230,Hoja2!$A$2:$X$2596,19,FALSE)</f>
        <v>Concluido</v>
      </c>
      <c r="M230" s="9">
        <f>+VLOOKUP(A230,Hoja2!$A$2:$X$2596,15,FALSE)</f>
        <v>4781537.48</v>
      </c>
      <c r="N230" s="9">
        <f>+VLOOKUP(A230,Hoja2!$A$2:$X$2596,17,FALSE)</f>
        <v>238500</v>
      </c>
      <c r="O230" s="9">
        <f>+VLOOKUP(A230,Hoja2!$A$2:$X$2596,22,FALSE)</f>
        <v>0</v>
      </c>
      <c r="P230" s="9">
        <f>+VLOOKUP(A230,Hoja2!$A$2:$X$2596,23,FALSE)</f>
        <v>238500</v>
      </c>
      <c r="Q230" s="9">
        <f>+VLOOKUP(A230,Hoja2!$A$2:$X$2596,24,FALSE)</f>
        <v>0</v>
      </c>
    </row>
    <row r="231" ht="15.75" customHeight="1">
      <c r="A231" s="8">
        <v>2338024.0</v>
      </c>
      <c r="B231" s="8">
        <v>376947.0</v>
      </c>
      <c r="C231" s="9" t="s">
        <v>20</v>
      </c>
      <c r="D231" s="8">
        <v>4.0</v>
      </c>
      <c r="E231" s="8">
        <v>13.0</v>
      </c>
      <c r="F231" s="8">
        <v>0.0</v>
      </c>
      <c r="G231" s="9" t="s">
        <v>18</v>
      </c>
      <c r="H231" s="10">
        <v>44748.39125193287</v>
      </c>
      <c r="I231" s="10">
        <v>44915.68512800926</v>
      </c>
      <c r="J231" s="8">
        <v>167.0</v>
      </c>
      <c r="K231" s="11">
        <v>2776850.86</v>
      </c>
      <c r="L231" s="8" t="str">
        <f>+VLOOKUP(A231,Hoja2!$A$2:$X$2596,19,FALSE)</f>
        <v>Concluido</v>
      </c>
      <c r="M231" s="9">
        <f>+VLOOKUP(A231,Hoja2!$A$2:$X$2596,15,FALSE)</f>
        <v>4781537.48</v>
      </c>
      <c r="N231" s="9">
        <f>+VLOOKUP(A231,Hoja2!$A$2:$X$2596,17,FALSE)</f>
        <v>238500</v>
      </c>
      <c r="O231" s="9">
        <f>+VLOOKUP(A231,Hoja2!$A$2:$X$2596,22,FALSE)</f>
        <v>0</v>
      </c>
      <c r="P231" s="9">
        <f>+VLOOKUP(A231,Hoja2!$A$2:$X$2596,23,FALSE)</f>
        <v>238500</v>
      </c>
      <c r="Q231" s="9">
        <f>+VLOOKUP(A231,Hoja2!$A$2:$X$2596,24,FALSE)</f>
        <v>0</v>
      </c>
    </row>
    <row r="232" ht="15.75" customHeight="1">
      <c r="A232" s="8">
        <v>2338024.0</v>
      </c>
      <c r="B232" s="8">
        <v>376947.0</v>
      </c>
      <c r="C232" s="9" t="s">
        <v>20</v>
      </c>
      <c r="D232" s="8">
        <v>3.0</v>
      </c>
      <c r="E232" s="8">
        <v>6.0</v>
      </c>
      <c r="F232" s="8">
        <v>0.0</v>
      </c>
      <c r="G232" s="9" t="s">
        <v>18</v>
      </c>
      <c r="H232" s="10">
        <v>45112.984409606484</v>
      </c>
      <c r="I232" s="10">
        <v>45120.95057850694</v>
      </c>
      <c r="J232" s="8">
        <v>8.0</v>
      </c>
      <c r="K232" s="11">
        <v>2776850.86</v>
      </c>
      <c r="L232" s="8" t="str">
        <f>+VLOOKUP(A232,Hoja2!$A$2:$X$2596,19,FALSE)</f>
        <v>Concluido</v>
      </c>
      <c r="M232" s="9">
        <f>+VLOOKUP(A232,Hoja2!$A$2:$X$2596,15,FALSE)</f>
        <v>4781537.48</v>
      </c>
      <c r="N232" s="9">
        <f>+VLOOKUP(A232,Hoja2!$A$2:$X$2596,17,FALSE)</f>
        <v>238500</v>
      </c>
      <c r="O232" s="9">
        <f>+VLOOKUP(A232,Hoja2!$A$2:$X$2596,22,FALSE)</f>
        <v>0</v>
      </c>
      <c r="P232" s="9">
        <f>+VLOOKUP(A232,Hoja2!$A$2:$X$2596,23,FALSE)</f>
        <v>238500</v>
      </c>
      <c r="Q232" s="9">
        <f>+VLOOKUP(A232,Hoja2!$A$2:$X$2596,24,FALSE)</f>
        <v>0</v>
      </c>
    </row>
    <row r="233" ht="15.75" hidden="1" customHeight="1">
      <c r="A233" s="8">
        <v>2338210.0</v>
      </c>
      <c r="B233" s="8">
        <v>377116.0</v>
      </c>
      <c r="C233" s="9" t="s">
        <v>17</v>
      </c>
      <c r="D233" s="8">
        <v>3.0</v>
      </c>
      <c r="E233" s="8">
        <v>0.0</v>
      </c>
      <c r="F233" s="8">
        <v>0.0</v>
      </c>
      <c r="G233" s="9" t="s">
        <v>21</v>
      </c>
      <c r="H233" s="10">
        <v>45236.650105127315</v>
      </c>
      <c r="I233" s="10">
        <v>45295.41265787037</v>
      </c>
      <c r="J233" s="8">
        <v>59.0</v>
      </c>
      <c r="K233" s="11">
        <v>3.928033535E7</v>
      </c>
      <c r="L233" s="8" t="str">
        <f>+VLOOKUP(A233,Hoja2!$A$2:$X$2596,19,FALSE)</f>
        <v>#N/A</v>
      </c>
      <c r="M233" s="9" t="str">
        <f>+VLOOKUP(A233,Hoja2!$A$2:$X$2596,15,FALSE)</f>
        <v>#N/A</v>
      </c>
      <c r="N233" s="9" t="str">
        <f>+VLOOKUP(A233,Hoja2!$A$2:$X$2596,17,FALSE)</f>
        <v>#N/A</v>
      </c>
      <c r="O233" s="9" t="str">
        <f>+VLOOKUP(A233,Hoja2!$A$2:$X$2596,22,FALSE)</f>
        <v>#N/A</v>
      </c>
      <c r="P233" s="9" t="str">
        <f>+VLOOKUP(A233,Hoja2!$A$2:$X$2596,23,FALSE)</f>
        <v>#N/A</v>
      </c>
      <c r="Q233" s="9" t="str">
        <f>+VLOOKUP(A233,Hoja2!$A$2:$X$2596,24,FALSE)</f>
        <v>#N/A</v>
      </c>
    </row>
    <row r="234" ht="15.75" hidden="1" customHeight="1">
      <c r="A234" s="8">
        <v>2338210.0</v>
      </c>
      <c r="B234" s="8">
        <v>377116.0</v>
      </c>
      <c r="C234" s="9" t="s">
        <v>17</v>
      </c>
      <c r="D234" s="8">
        <v>2.0</v>
      </c>
      <c r="E234" s="8">
        <v>0.0</v>
      </c>
      <c r="F234" s="8">
        <v>0.0</v>
      </c>
      <c r="G234" s="9" t="s">
        <v>21</v>
      </c>
      <c r="H234" s="10">
        <v>45381.67801015046</v>
      </c>
      <c r="I234" s="10">
        <v>45391.73155755787</v>
      </c>
      <c r="J234" s="8">
        <v>10.0</v>
      </c>
      <c r="K234" s="11">
        <v>3.928033535E7</v>
      </c>
      <c r="L234" s="8" t="str">
        <f>+VLOOKUP(A234,Hoja2!$A$2:$X$2596,19,FALSE)</f>
        <v>#N/A</v>
      </c>
      <c r="M234" s="9" t="str">
        <f>+VLOOKUP(A234,Hoja2!$A$2:$X$2596,15,FALSE)</f>
        <v>#N/A</v>
      </c>
      <c r="N234" s="9" t="str">
        <f>+VLOOKUP(A234,Hoja2!$A$2:$X$2596,17,FALSE)</f>
        <v>#N/A</v>
      </c>
      <c r="O234" s="9" t="str">
        <f>+VLOOKUP(A234,Hoja2!$A$2:$X$2596,22,FALSE)</f>
        <v>#N/A</v>
      </c>
      <c r="P234" s="9" t="str">
        <f>+VLOOKUP(A234,Hoja2!$A$2:$X$2596,23,FALSE)</f>
        <v>#N/A</v>
      </c>
      <c r="Q234" s="9" t="str">
        <f>+VLOOKUP(A234,Hoja2!$A$2:$X$2596,24,FALSE)</f>
        <v>#N/A</v>
      </c>
    </row>
    <row r="235" ht="15.75" hidden="1" customHeight="1">
      <c r="A235" s="8">
        <v>2338210.0</v>
      </c>
      <c r="B235" s="8">
        <v>377116.0</v>
      </c>
      <c r="C235" s="9" t="s">
        <v>19</v>
      </c>
      <c r="D235" s="8">
        <v>2.0</v>
      </c>
      <c r="E235" s="8">
        <v>3.0</v>
      </c>
      <c r="F235" s="8">
        <v>0.0</v>
      </c>
      <c r="G235" s="9" t="s">
        <v>18</v>
      </c>
      <c r="H235" s="10">
        <v>45495.52074629629</v>
      </c>
      <c r="I235" s="10">
        <v>45692.72064988426</v>
      </c>
      <c r="J235" s="8">
        <v>197.0</v>
      </c>
      <c r="K235" s="11">
        <v>3.928033535E7</v>
      </c>
      <c r="L235" s="8" t="str">
        <f>+VLOOKUP(A235,Hoja2!$A$2:$X$2596,19,FALSE)</f>
        <v>#N/A</v>
      </c>
      <c r="M235" s="9" t="str">
        <f>+VLOOKUP(A235,Hoja2!$A$2:$X$2596,15,FALSE)</f>
        <v>#N/A</v>
      </c>
      <c r="N235" s="9" t="str">
        <f>+VLOOKUP(A235,Hoja2!$A$2:$X$2596,17,FALSE)</f>
        <v>#N/A</v>
      </c>
      <c r="O235" s="9" t="str">
        <f>+VLOOKUP(A235,Hoja2!$A$2:$X$2596,22,FALSE)</f>
        <v>#N/A</v>
      </c>
      <c r="P235" s="9" t="str">
        <f>+VLOOKUP(A235,Hoja2!$A$2:$X$2596,23,FALSE)</f>
        <v>#N/A</v>
      </c>
      <c r="Q235" s="9" t="str">
        <f>+VLOOKUP(A235,Hoja2!$A$2:$X$2596,24,FALSE)</f>
        <v>#N/A</v>
      </c>
    </row>
    <row r="236" ht="15.75" hidden="1" customHeight="1">
      <c r="A236" s="8">
        <v>2338210.0</v>
      </c>
      <c r="B236" s="8">
        <v>377116.0</v>
      </c>
      <c r="C236" s="9" t="s">
        <v>22</v>
      </c>
      <c r="D236" s="8">
        <v>3.0</v>
      </c>
      <c r="E236" s="8">
        <v>1.0</v>
      </c>
      <c r="F236" s="8">
        <v>0.0</v>
      </c>
      <c r="G236" s="9" t="s">
        <v>18</v>
      </c>
      <c r="H236" s="10">
        <v>45891.909244525465</v>
      </c>
      <c r="I236" s="10">
        <v>45943.73066736111</v>
      </c>
      <c r="J236" s="8">
        <v>52.0</v>
      </c>
      <c r="K236" s="11">
        <v>3.928033535E7</v>
      </c>
      <c r="L236" s="8" t="str">
        <f>+VLOOKUP(A236,Hoja2!$A$2:$X$2596,19,FALSE)</f>
        <v>#N/A</v>
      </c>
      <c r="M236" s="9" t="str">
        <f>+VLOOKUP(A236,Hoja2!$A$2:$X$2596,15,FALSE)</f>
        <v>#N/A</v>
      </c>
      <c r="N236" s="9" t="str">
        <f>+VLOOKUP(A236,Hoja2!$A$2:$X$2596,17,FALSE)</f>
        <v>#N/A</v>
      </c>
      <c r="O236" s="9" t="str">
        <f>+VLOOKUP(A236,Hoja2!$A$2:$X$2596,22,FALSE)</f>
        <v>#N/A</v>
      </c>
      <c r="P236" s="9" t="str">
        <f>+VLOOKUP(A236,Hoja2!$A$2:$X$2596,23,FALSE)</f>
        <v>#N/A</v>
      </c>
      <c r="Q236" s="9" t="str">
        <f>+VLOOKUP(A236,Hoja2!$A$2:$X$2596,24,FALSE)</f>
        <v>#N/A</v>
      </c>
    </row>
    <row r="237" ht="15.75" hidden="1" customHeight="1">
      <c r="A237" s="8">
        <v>2341134.0</v>
      </c>
      <c r="B237" s="8">
        <v>379882.0</v>
      </c>
      <c r="C237" s="9" t="s">
        <v>17</v>
      </c>
      <c r="D237" s="8">
        <v>2.0</v>
      </c>
      <c r="E237" s="8">
        <v>0.0</v>
      </c>
      <c r="F237" s="8">
        <v>0.0</v>
      </c>
      <c r="G237" s="9" t="s">
        <v>21</v>
      </c>
      <c r="H237" s="10">
        <v>44999.88858310185</v>
      </c>
      <c r="I237" s="10">
        <v>45010.77271570602</v>
      </c>
      <c r="J237" s="8">
        <v>11.0</v>
      </c>
      <c r="K237" s="11">
        <v>6145978.92</v>
      </c>
      <c r="L237" s="8" t="str">
        <f>+VLOOKUP(A237,Hoja2!$A$2:$X$2596,19,FALSE)</f>
        <v>#N/A</v>
      </c>
      <c r="M237" s="9" t="str">
        <f>+VLOOKUP(A237,Hoja2!$A$2:$X$2596,15,FALSE)</f>
        <v>#N/A</v>
      </c>
      <c r="N237" s="9" t="str">
        <f>+VLOOKUP(A237,Hoja2!$A$2:$X$2596,17,FALSE)</f>
        <v>#N/A</v>
      </c>
      <c r="O237" s="9" t="str">
        <f>+VLOOKUP(A237,Hoja2!$A$2:$X$2596,22,FALSE)</f>
        <v>#N/A</v>
      </c>
      <c r="P237" s="9" t="str">
        <f>+VLOOKUP(A237,Hoja2!$A$2:$X$2596,23,FALSE)</f>
        <v>#N/A</v>
      </c>
      <c r="Q237" s="9" t="str">
        <f>+VLOOKUP(A237,Hoja2!$A$2:$X$2596,24,FALSE)</f>
        <v>#N/A</v>
      </c>
    </row>
    <row r="238" ht="15.75" hidden="1" customHeight="1">
      <c r="A238" s="8">
        <v>2341134.0</v>
      </c>
      <c r="B238" s="8">
        <v>379882.0</v>
      </c>
      <c r="C238" s="9" t="s">
        <v>17</v>
      </c>
      <c r="D238" s="8">
        <v>3.0</v>
      </c>
      <c r="E238" s="8">
        <v>0.0</v>
      </c>
      <c r="F238" s="8">
        <v>0.0</v>
      </c>
      <c r="G238" s="9" t="s">
        <v>21</v>
      </c>
      <c r="H238" s="10">
        <v>45155.935928356485</v>
      </c>
      <c r="I238" s="10">
        <v>45166.65065228009</v>
      </c>
      <c r="J238" s="8">
        <v>11.0</v>
      </c>
      <c r="K238" s="11">
        <v>6145978.92</v>
      </c>
      <c r="L238" s="8" t="str">
        <f>+VLOOKUP(A238,Hoja2!$A$2:$X$2596,19,FALSE)</f>
        <v>#N/A</v>
      </c>
      <c r="M238" s="9" t="str">
        <f>+VLOOKUP(A238,Hoja2!$A$2:$X$2596,15,FALSE)</f>
        <v>#N/A</v>
      </c>
      <c r="N238" s="9" t="str">
        <f>+VLOOKUP(A238,Hoja2!$A$2:$X$2596,17,FALSE)</f>
        <v>#N/A</v>
      </c>
      <c r="O238" s="9" t="str">
        <f>+VLOOKUP(A238,Hoja2!$A$2:$X$2596,22,FALSE)</f>
        <v>#N/A</v>
      </c>
      <c r="P238" s="9" t="str">
        <f>+VLOOKUP(A238,Hoja2!$A$2:$X$2596,23,FALSE)</f>
        <v>#N/A</v>
      </c>
      <c r="Q238" s="9" t="str">
        <f>+VLOOKUP(A238,Hoja2!$A$2:$X$2596,24,FALSE)</f>
        <v>#N/A</v>
      </c>
    </row>
    <row r="239" ht="15.75" hidden="1" customHeight="1">
      <c r="A239" s="8">
        <v>2341134.0</v>
      </c>
      <c r="B239" s="8">
        <v>379882.0</v>
      </c>
      <c r="C239" s="9" t="s">
        <v>17</v>
      </c>
      <c r="D239" s="8">
        <v>3.0</v>
      </c>
      <c r="E239" s="8">
        <v>0.0</v>
      </c>
      <c r="F239" s="8">
        <v>0.0</v>
      </c>
      <c r="G239" s="9" t="s">
        <v>21</v>
      </c>
      <c r="H239" s="10">
        <v>45245.694365972224</v>
      </c>
      <c r="I239" s="10">
        <v>45251.70739545139</v>
      </c>
      <c r="J239" s="8">
        <v>6.0</v>
      </c>
      <c r="K239" s="11">
        <v>6145978.92</v>
      </c>
      <c r="L239" s="8" t="str">
        <f>+VLOOKUP(A239,Hoja2!$A$2:$X$2596,19,FALSE)</f>
        <v>#N/A</v>
      </c>
      <c r="M239" s="9" t="str">
        <f>+VLOOKUP(A239,Hoja2!$A$2:$X$2596,15,FALSE)</f>
        <v>#N/A</v>
      </c>
      <c r="N239" s="9" t="str">
        <f>+VLOOKUP(A239,Hoja2!$A$2:$X$2596,17,FALSE)</f>
        <v>#N/A</v>
      </c>
      <c r="O239" s="9" t="str">
        <f>+VLOOKUP(A239,Hoja2!$A$2:$X$2596,22,FALSE)</f>
        <v>#N/A</v>
      </c>
      <c r="P239" s="9" t="str">
        <f>+VLOOKUP(A239,Hoja2!$A$2:$X$2596,23,FALSE)</f>
        <v>#N/A</v>
      </c>
      <c r="Q239" s="9" t="str">
        <f>+VLOOKUP(A239,Hoja2!$A$2:$X$2596,24,FALSE)</f>
        <v>#N/A</v>
      </c>
    </row>
    <row r="240" ht="15.75" hidden="1" customHeight="1">
      <c r="A240" s="8">
        <v>2341134.0</v>
      </c>
      <c r="B240" s="8">
        <v>379882.0</v>
      </c>
      <c r="C240" s="9" t="s">
        <v>17</v>
      </c>
      <c r="D240" s="8">
        <v>2.0</v>
      </c>
      <c r="E240" s="8">
        <v>0.0</v>
      </c>
      <c r="F240" s="8">
        <v>0.0</v>
      </c>
      <c r="G240" s="9" t="s">
        <v>21</v>
      </c>
      <c r="H240" s="10">
        <v>45488.90198969907</v>
      </c>
      <c r="I240" s="10">
        <v>45516.37971940972</v>
      </c>
      <c r="J240" s="8">
        <v>28.0</v>
      </c>
      <c r="K240" s="11">
        <v>6145978.92</v>
      </c>
      <c r="L240" s="8" t="str">
        <f>+VLOOKUP(A240,Hoja2!$A$2:$X$2596,19,FALSE)</f>
        <v>#N/A</v>
      </c>
      <c r="M240" s="9" t="str">
        <f>+VLOOKUP(A240,Hoja2!$A$2:$X$2596,15,FALSE)</f>
        <v>#N/A</v>
      </c>
      <c r="N240" s="9" t="str">
        <f>+VLOOKUP(A240,Hoja2!$A$2:$X$2596,17,FALSE)</f>
        <v>#N/A</v>
      </c>
      <c r="O240" s="9" t="str">
        <f>+VLOOKUP(A240,Hoja2!$A$2:$X$2596,22,FALSE)</f>
        <v>#N/A</v>
      </c>
      <c r="P240" s="9" t="str">
        <f>+VLOOKUP(A240,Hoja2!$A$2:$X$2596,23,FALSE)</f>
        <v>#N/A</v>
      </c>
      <c r="Q240" s="9" t="str">
        <f>+VLOOKUP(A240,Hoja2!$A$2:$X$2596,24,FALSE)</f>
        <v>#N/A</v>
      </c>
    </row>
    <row r="241" ht="15.75" hidden="1" customHeight="1">
      <c r="A241" s="8">
        <v>2341134.0</v>
      </c>
      <c r="B241" s="8">
        <v>379882.0</v>
      </c>
      <c r="C241" s="9" t="s">
        <v>22</v>
      </c>
      <c r="D241" s="8">
        <v>2.0</v>
      </c>
      <c r="E241" s="8">
        <v>0.0</v>
      </c>
      <c r="F241" s="8">
        <v>0.0</v>
      </c>
      <c r="G241" s="9" t="s">
        <v>21</v>
      </c>
      <c r="H241" s="10">
        <v>45918.44785844907</v>
      </c>
      <c r="I241" s="10">
        <v>45930.47174143518</v>
      </c>
      <c r="J241" s="8">
        <v>12.0</v>
      </c>
      <c r="K241" s="11">
        <v>6145978.92</v>
      </c>
      <c r="L241" s="8" t="str">
        <f>+VLOOKUP(A241,Hoja2!$A$2:$X$2596,19,FALSE)</f>
        <v>#N/A</v>
      </c>
      <c r="M241" s="9" t="str">
        <f>+VLOOKUP(A241,Hoja2!$A$2:$X$2596,15,FALSE)</f>
        <v>#N/A</v>
      </c>
      <c r="N241" s="9" t="str">
        <f>+VLOOKUP(A241,Hoja2!$A$2:$X$2596,17,FALSE)</f>
        <v>#N/A</v>
      </c>
      <c r="O241" s="9" t="str">
        <f>+VLOOKUP(A241,Hoja2!$A$2:$X$2596,22,FALSE)</f>
        <v>#N/A</v>
      </c>
      <c r="P241" s="9" t="str">
        <f>+VLOOKUP(A241,Hoja2!$A$2:$X$2596,23,FALSE)</f>
        <v>#N/A</v>
      </c>
      <c r="Q241" s="9" t="str">
        <f>+VLOOKUP(A241,Hoja2!$A$2:$X$2596,24,FALSE)</f>
        <v>#N/A</v>
      </c>
    </row>
    <row r="242" ht="15.75" hidden="1" customHeight="1">
      <c r="A242" s="8">
        <v>2342851.0</v>
      </c>
      <c r="B242" s="8">
        <v>381556.0</v>
      </c>
      <c r="C242" s="9" t="s">
        <v>19</v>
      </c>
      <c r="D242" s="8">
        <v>3.0</v>
      </c>
      <c r="E242" s="8">
        <v>1.0</v>
      </c>
      <c r="F242" s="8">
        <v>0.0</v>
      </c>
      <c r="G242" s="9" t="s">
        <v>18</v>
      </c>
      <c r="H242" s="10">
        <v>45659.48300393519</v>
      </c>
      <c r="I242" s="10">
        <v>45750.757053009256</v>
      </c>
      <c r="J242" s="8">
        <v>91.0</v>
      </c>
      <c r="K242" s="11">
        <v>9023947.78</v>
      </c>
      <c r="L242" s="8" t="str">
        <f>+VLOOKUP(A242,Hoja2!$A$2:$X$2596,19,FALSE)</f>
        <v>#N/A</v>
      </c>
      <c r="M242" s="9" t="str">
        <f>+VLOOKUP(A242,Hoja2!$A$2:$X$2596,15,FALSE)</f>
        <v>#N/A</v>
      </c>
      <c r="N242" s="9" t="str">
        <f>+VLOOKUP(A242,Hoja2!$A$2:$X$2596,17,FALSE)</f>
        <v>#N/A</v>
      </c>
      <c r="O242" s="9" t="str">
        <f>+VLOOKUP(A242,Hoja2!$A$2:$X$2596,22,FALSE)</f>
        <v>#N/A</v>
      </c>
      <c r="P242" s="9" t="str">
        <f>+VLOOKUP(A242,Hoja2!$A$2:$X$2596,23,FALSE)</f>
        <v>#N/A</v>
      </c>
      <c r="Q242" s="9" t="str">
        <f>+VLOOKUP(A242,Hoja2!$A$2:$X$2596,24,FALSE)</f>
        <v>#N/A</v>
      </c>
    </row>
    <row r="243" ht="15.75" hidden="1" customHeight="1">
      <c r="A243" s="8">
        <v>2343917.0</v>
      </c>
      <c r="B243" s="8">
        <v>382489.0</v>
      </c>
      <c r="C243" s="9" t="s">
        <v>19</v>
      </c>
      <c r="D243" s="8">
        <v>3.0</v>
      </c>
      <c r="E243" s="8">
        <v>0.0</v>
      </c>
      <c r="F243" s="8">
        <v>0.0</v>
      </c>
      <c r="G243" s="9" t="s">
        <v>21</v>
      </c>
      <c r="H243" s="10">
        <v>44279.41318082176</v>
      </c>
      <c r="I243" s="10">
        <v>44298.859265127314</v>
      </c>
      <c r="J243" s="8">
        <v>19.0</v>
      </c>
      <c r="K243" s="11">
        <v>1.702931242E7</v>
      </c>
      <c r="L243" s="8" t="str">
        <f>+VLOOKUP(A243,Hoja2!$A$2:$X$2596,19,FALSE)</f>
        <v>#N/A</v>
      </c>
      <c r="M243" s="9" t="str">
        <f>+VLOOKUP(A243,Hoja2!$A$2:$X$2596,15,FALSE)</f>
        <v>#N/A</v>
      </c>
      <c r="N243" s="9" t="str">
        <f>+VLOOKUP(A243,Hoja2!$A$2:$X$2596,17,FALSE)</f>
        <v>#N/A</v>
      </c>
      <c r="O243" s="9" t="str">
        <f>+VLOOKUP(A243,Hoja2!$A$2:$X$2596,22,FALSE)</f>
        <v>#N/A</v>
      </c>
      <c r="P243" s="9" t="str">
        <f>+VLOOKUP(A243,Hoja2!$A$2:$X$2596,23,FALSE)</f>
        <v>#N/A</v>
      </c>
      <c r="Q243" s="9" t="str">
        <f>+VLOOKUP(A243,Hoja2!$A$2:$X$2596,24,FALSE)</f>
        <v>#N/A</v>
      </c>
    </row>
    <row r="244" ht="15.75" hidden="1" customHeight="1">
      <c r="A244" s="8">
        <v>2343917.0</v>
      </c>
      <c r="B244" s="8">
        <v>382489.0</v>
      </c>
      <c r="C244" s="9" t="s">
        <v>19</v>
      </c>
      <c r="D244" s="8">
        <v>3.0</v>
      </c>
      <c r="E244" s="8">
        <v>1.0</v>
      </c>
      <c r="F244" s="8">
        <v>0.0</v>
      </c>
      <c r="G244" s="9" t="s">
        <v>18</v>
      </c>
      <c r="H244" s="10">
        <v>45755.422895717595</v>
      </c>
      <c r="I244" s="10">
        <v>45873.41110775463</v>
      </c>
      <c r="J244" s="8">
        <v>118.0</v>
      </c>
      <c r="K244" s="11">
        <v>1.702931242E7</v>
      </c>
      <c r="L244" s="8" t="str">
        <f>+VLOOKUP(A244,Hoja2!$A$2:$X$2596,19,FALSE)</f>
        <v>#N/A</v>
      </c>
      <c r="M244" s="9" t="str">
        <f>+VLOOKUP(A244,Hoja2!$A$2:$X$2596,15,FALSE)</f>
        <v>#N/A</v>
      </c>
      <c r="N244" s="9" t="str">
        <f>+VLOOKUP(A244,Hoja2!$A$2:$X$2596,17,FALSE)</f>
        <v>#N/A</v>
      </c>
      <c r="O244" s="9" t="str">
        <f>+VLOOKUP(A244,Hoja2!$A$2:$X$2596,22,FALSE)</f>
        <v>#N/A</v>
      </c>
      <c r="P244" s="9" t="str">
        <f>+VLOOKUP(A244,Hoja2!$A$2:$X$2596,23,FALSE)</f>
        <v>#N/A</v>
      </c>
      <c r="Q244" s="9" t="str">
        <f>+VLOOKUP(A244,Hoja2!$A$2:$X$2596,24,FALSE)</f>
        <v>#N/A</v>
      </c>
    </row>
    <row r="245" ht="15.75" hidden="1" customHeight="1">
      <c r="A245" s="8">
        <v>2344553.0</v>
      </c>
      <c r="B245" s="8">
        <v>383084.0</v>
      </c>
      <c r="C245" s="9" t="s">
        <v>17</v>
      </c>
      <c r="D245" s="8">
        <v>2.0</v>
      </c>
      <c r="E245" s="8">
        <v>0.0</v>
      </c>
      <c r="F245" s="8">
        <v>0.0</v>
      </c>
      <c r="G245" s="9" t="s">
        <v>21</v>
      </c>
      <c r="H245" s="10">
        <v>44496.86039282408</v>
      </c>
      <c r="I245" s="10">
        <v>44504.406649571756</v>
      </c>
      <c r="J245" s="8">
        <v>8.0</v>
      </c>
      <c r="K245" s="11">
        <v>1.088686058E7</v>
      </c>
      <c r="L245" s="8" t="str">
        <f>+VLOOKUP(A245,Hoja2!$A$2:$X$2596,19,FALSE)</f>
        <v>#N/A</v>
      </c>
      <c r="M245" s="9" t="str">
        <f>+VLOOKUP(A245,Hoja2!$A$2:$X$2596,15,FALSE)</f>
        <v>#N/A</v>
      </c>
      <c r="N245" s="9" t="str">
        <f>+VLOOKUP(A245,Hoja2!$A$2:$X$2596,17,FALSE)</f>
        <v>#N/A</v>
      </c>
      <c r="O245" s="9" t="str">
        <f>+VLOOKUP(A245,Hoja2!$A$2:$X$2596,22,FALSE)</f>
        <v>#N/A</v>
      </c>
      <c r="P245" s="9" t="str">
        <f>+VLOOKUP(A245,Hoja2!$A$2:$X$2596,23,FALSE)</f>
        <v>#N/A</v>
      </c>
      <c r="Q245" s="9" t="str">
        <f>+VLOOKUP(A245,Hoja2!$A$2:$X$2596,24,FALSE)</f>
        <v>#N/A</v>
      </c>
    </row>
    <row r="246" ht="15.75" hidden="1" customHeight="1">
      <c r="A246" s="8">
        <v>2344553.0</v>
      </c>
      <c r="B246" s="8">
        <v>383084.0</v>
      </c>
      <c r="C246" s="9" t="s">
        <v>17</v>
      </c>
      <c r="D246" s="8">
        <v>2.0</v>
      </c>
      <c r="E246" s="8">
        <v>0.0</v>
      </c>
      <c r="F246" s="8">
        <v>0.0</v>
      </c>
      <c r="G246" s="9" t="s">
        <v>21</v>
      </c>
      <c r="H246" s="10">
        <v>44546.70783255787</v>
      </c>
      <c r="I246" s="10">
        <v>44559.453860381946</v>
      </c>
      <c r="J246" s="8">
        <v>13.0</v>
      </c>
      <c r="K246" s="11">
        <v>1.088686058E7</v>
      </c>
      <c r="L246" s="8" t="str">
        <f>+VLOOKUP(A246,Hoja2!$A$2:$X$2596,19,FALSE)</f>
        <v>#N/A</v>
      </c>
      <c r="M246" s="9" t="str">
        <f>+VLOOKUP(A246,Hoja2!$A$2:$X$2596,15,FALSE)</f>
        <v>#N/A</v>
      </c>
      <c r="N246" s="9" t="str">
        <f>+VLOOKUP(A246,Hoja2!$A$2:$X$2596,17,FALSE)</f>
        <v>#N/A</v>
      </c>
      <c r="O246" s="9" t="str">
        <f>+VLOOKUP(A246,Hoja2!$A$2:$X$2596,22,FALSE)</f>
        <v>#N/A</v>
      </c>
      <c r="P246" s="9" t="str">
        <f>+VLOOKUP(A246,Hoja2!$A$2:$X$2596,23,FALSE)</f>
        <v>#N/A</v>
      </c>
      <c r="Q246" s="9" t="str">
        <f>+VLOOKUP(A246,Hoja2!$A$2:$X$2596,24,FALSE)</f>
        <v>#N/A</v>
      </c>
    </row>
    <row r="247" ht="15.75" hidden="1" customHeight="1">
      <c r="A247" s="8">
        <v>2344553.0</v>
      </c>
      <c r="B247" s="8">
        <v>383084.0</v>
      </c>
      <c r="C247" s="9" t="s">
        <v>17</v>
      </c>
      <c r="D247" s="8">
        <v>2.0</v>
      </c>
      <c r="E247" s="8">
        <v>0.0</v>
      </c>
      <c r="F247" s="8">
        <v>0.0</v>
      </c>
      <c r="G247" s="9" t="s">
        <v>21</v>
      </c>
      <c r="H247" s="10">
        <v>44608.44873425926</v>
      </c>
      <c r="I247" s="10">
        <v>44615.59179475695</v>
      </c>
      <c r="J247" s="8">
        <v>7.0</v>
      </c>
      <c r="K247" s="11">
        <v>1.088686058E7</v>
      </c>
      <c r="L247" s="8" t="str">
        <f>+VLOOKUP(A247,Hoja2!$A$2:$X$2596,19,FALSE)</f>
        <v>#N/A</v>
      </c>
      <c r="M247" s="9" t="str">
        <f>+VLOOKUP(A247,Hoja2!$A$2:$X$2596,15,FALSE)</f>
        <v>#N/A</v>
      </c>
      <c r="N247" s="9" t="str">
        <f>+VLOOKUP(A247,Hoja2!$A$2:$X$2596,17,FALSE)</f>
        <v>#N/A</v>
      </c>
      <c r="O247" s="9" t="str">
        <f>+VLOOKUP(A247,Hoja2!$A$2:$X$2596,22,FALSE)</f>
        <v>#N/A</v>
      </c>
      <c r="P247" s="9" t="str">
        <f>+VLOOKUP(A247,Hoja2!$A$2:$X$2596,23,FALSE)</f>
        <v>#N/A</v>
      </c>
      <c r="Q247" s="9" t="str">
        <f>+VLOOKUP(A247,Hoja2!$A$2:$X$2596,24,FALSE)</f>
        <v>#N/A</v>
      </c>
    </row>
    <row r="248" ht="15.75" hidden="1" customHeight="1">
      <c r="A248" s="8">
        <v>2376950.0</v>
      </c>
      <c r="B248" s="8">
        <v>386231.0</v>
      </c>
      <c r="C248" s="9" t="s">
        <v>19</v>
      </c>
      <c r="D248" s="8">
        <v>3.0</v>
      </c>
      <c r="E248" s="8">
        <v>0.0</v>
      </c>
      <c r="F248" s="8">
        <v>0.0</v>
      </c>
      <c r="G248" s="9" t="s">
        <v>21</v>
      </c>
      <c r="H248" s="10">
        <v>44272.79294675926</v>
      </c>
      <c r="I248" s="10">
        <v>44367.81504579861</v>
      </c>
      <c r="J248" s="8">
        <v>95.0</v>
      </c>
      <c r="K248" s="11">
        <v>2.629811625E7</v>
      </c>
      <c r="L248" s="8" t="str">
        <f>+VLOOKUP(A248,Hoja2!$A$2:$X$2596,19,FALSE)</f>
        <v>#N/A</v>
      </c>
      <c r="M248" s="9" t="str">
        <f>+VLOOKUP(A248,Hoja2!$A$2:$X$2596,15,FALSE)</f>
        <v>#N/A</v>
      </c>
      <c r="N248" s="9" t="str">
        <f>+VLOOKUP(A248,Hoja2!$A$2:$X$2596,17,FALSE)</f>
        <v>#N/A</v>
      </c>
      <c r="O248" s="9" t="str">
        <f>+VLOOKUP(A248,Hoja2!$A$2:$X$2596,22,FALSE)</f>
        <v>#N/A</v>
      </c>
      <c r="P248" s="9" t="str">
        <f>+VLOOKUP(A248,Hoja2!$A$2:$X$2596,23,FALSE)</f>
        <v>#N/A</v>
      </c>
      <c r="Q248" s="9" t="str">
        <f>+VLOOKUP(A248,Hoja2!$A$2:$X$2596,24,FALSE)</f>
        <v>#N/A</v>
      </c>
    </row>
    <row r="249" ht="15.75" hidden="1" customHeight="1">
      <c r="A249" s="8">
        <v>2376950.0</v>
      </c>
      <c r="B249" s="8">
        <v>386231.0</v>
      </c>
      <c r="C249" s="9" t="s">
        <v>17</v>
      </c>
      <c r="D249" s="8">
        <v>1.0</v>
      </c>
      <c r="E249" s="8">
        <v>1.0</v>
      </c>
      <c r="F249" s="8">
        <v>0.0</v>
      </c>
      <c r="G249" s="9" t="s">
        <v>18</v>
      </c>
      <c r="H249" s="10">
        <v>44378.749954479164</v>
      </c>
      <c r="I249" s="10">
        <v>44412.98067276621</v>
      </c>
      <c r="J249" s="8">
        <v>34.0</v>
      </c>
      <c r="K249" s="11">
        <v>2.629811625E7</v>
      </c>
      <c r="L249" s="8" t="str">
        <f>+VLOOKUP(A249,Hoja2!$A$2:$X$2596,19,FALSE)</f>
        <v>#N/A</v>
      </c>
      <c r="M249" s="9" t="str">
        <f>+VLOOKUP(A249,Hoja2!$A$2:$X$2596,15,FALSE)</f>
        <v>#N/A</v>
      </c>
      <c r="N249" s="9" t="str">
        <f>+VLOOKUP(A249,Hoja2!$A$2:$X$2596,17,FALSE)</f>
        <v>#N/A</v>
      </c>
      <c r="O249" s="9" t="str">
        <f>+VLOOKUP(A249,Hoja2!$A$2:$X$2596,22,FALSE)</f>
        <v>#N/A</v>
      </c>
      <c r="P249" s="9" t="str">
        <f>+VLOOKUP(A249,Hoja2!$A$2:$X$2596,23,FALSE)</f>
        <v>#N/A</v>
      </c>
      <c r="Q249" s="9" t="str">
        <f>+VLOOKUP(A249,Hoja2!$A$2:$X$2596,24,FALSE)</f>
        <v>#N/A</v>
      </c>
    </row>
    <row r="250" ht="15.75" hidden="1" customHeight="1">
      <c r="A250" s="8">
        <v>2376950.0</v>
      </c>
      <c r="B250" s="8">
        <v>386231.0</v>
      </c>
      <c r="C250" s="9" t="s">
        <v>19</v>
      </c>
      <c r="D250" s="8">
        <v>6.0</v>
      </c>
      <c r="E250" s="8">
        <v>3.0</v>
      </c>
      <c r="F250" s="8">
        <v>0.0</v>
      </c>
      <c r="G250" s="9" t="s">
        <v>18</v>
      </c>
      <c r="H250" s="10">
        <v>44686.47827685185</v>
      </c>
      <c r="I250" s="10">
        <v>44971.32494262732</v>
      </c>
      <c r="J250" s="8">
        <v>285.0</v>
      </c>
      <c r="K250" s="11">
        <v>2.629811625E7</v>
      </c>
      <c r="L250" s="8" t="str">
        <f>+VLOOKUP(A250,Hoja2!$A$2:$X$2596,19,FALSE)</f>
        <v>#N/A</v>
      </c>
      <c r="M250" s="9" t="str">
        <f>+VLOOKUP(A250,Hoja2!$A$2:$X$2596,15,FALSE)</f>
        <v>#N/A</v>
      </c>
      <c r="N250" s="9" t="str">
        <f>+VLOOKUP(A250,Hoja2!$A$2:$X$2596,17,FALSE)</f>
        <v>#N/A</v>
      </c>
      <c r="O250" s="9" t="str">
        <f>+VLOOKUP(A250,Hoja2!$A$2:$X$2596,22,FALSE)</f>
        <v>#N/A</v>
      </c>
      <c r="P250" s="9" t="str">
        <f>+VLOOKUP(A250,Hoja2!$A$2:$X$2596,23,FALSE)</f>
        <v>#N/A</v>
      </c>
      <c r="Q250" s="9" t="str">
        <f>+VLOOKUP(A250,Hoja2!$A$2:$X$2596,24,FALSE)</f>
        <v>#N/A</v>
      </c>
    </row>
    <row r="251" ht="15.75" hidden="1" customHeight="1">
      <c r="A251" s="8">
        <v>2376950.0</v>
      </c>
      <c r="B251" s="8">
        <v>386231.0</v>
      </c>
      <c r="C251" s="9" t="s">
        <v>17</v>
      </c>
      <c r="D251" s="8">
        <v>2.0</v>
      </c>
      <c r="E251" s="8">
        <v>0.0</v>
      </c>
      <c r="F251" s="8">
        <v>0.0</v>
      </c>
      <c r="G251" s="9" t="s">
        <v>21</v>
      </c>
      <c r="H251" s="10">
        <v>45016.72353434028</v>
      </c>
      <c r="I251" s="10">
        <v>45035.726930902776</v>
      </c>
      <c r="J251" s="8">
        <v>19.0</v>
      </c>
      <c r="K251" s="11">
        <v>2.629811625E7</v>
      </c>
      <c r="L251" s="8" t="str">
        <f>+VLOOKUP(A251,Hoja2!$A$2:$X$2596,19,FALSE)</f>
        <v>#N/A</v>
      </c>
      <c r="M251" s="9" t="str">
        <f>+VLOOKUP(A251,Hoja2!$A$2:$X$2596,15,FALSE)</f>
        <v>#N/A</v>
      </c>
      <c r="N251" s="9" t="str">
        <f>+VLOOKUP(A251,Hoja2!$A$2:$X$2596,17,FALSE)</f>
        <v>#N/A</v>
      </c>
      <c r="O251" s="9" t="str">
        <f>+VLOOKUP(A251,Hoja2!$A$2:$X$2596,22,FALSE)</f>
        <v>#N/A</v>
      </c>
      <c r="P251" s="9" t="str">
        <f>+VLOOKUP(A251,Hoja2!$A$2:$X$2596,23,FALSE)</f>
        <v>#N/A</v>
      </c>
      <c r="Q251" s="9" t="str">
        <f>+VLOOKUP(A251,Hoja2!$A$2:$X$2596,24,FALSE)</f>
        <v>#N/A</v>
      </c>
    </row>
    <row r="252" ht="15.75" hidden="1" customHeight="1">
      <c r="A252" s="8">
        <v>2376950.0</v>
      </c>
      <c r="B252" s="8">
        <v>386231.0</v>
      </c>
      <c r="C252" s="9" t="s">
        <v>17</v>
      </c>
      <c r="D252" s="8">
        <v>2.0</v>
      </c>
      <c r="E252" s="8">
        <v>0.0</v>
      </c>
      <c r="F252" s="8">
        <v>0.0</v>
      </c>
      <c r="G252" s="9" t="s">
        <v>21</v>
      </c>
      <c r="H252" s="10">
        <v>45128.78218688657</v>
      </c>
      <c r="I252" s="10">
        <v>45139.46190505787</v>
      </c>
      <c r="J252" s="8">
        <v>11.0</v>
      </c>
      <c r="K252" s="11">
        <v>2.629811625E7</v>
      </c>
      <c r="L252" s="8" t="str">
        <f>+VLOOKUP(A252,Hoja2!$A$2:$X$2596,19,FALSE)</f>
        <v>#N/A</v>
      </c>
      <c r="M252" s="9" t="str">
        <f>+VLOOKUP(A252,Hoja2!$A$2:$X$2596,15,FALSE)</f>
        <v>#N/A</v>
      </c>
      <c r="N252" s="9" t="str">
        <f>+VLOOKUP(A252,Hoja2!$A$2:$X$2596,17,FALSE)</f>
        <v>#N/A</v>
      </c>
      <c r="O252" s="9" t="str">
        <f>+VLOOKUP(A252,Hoja2!$A$2:$X$2596,22,FALSE)</f>
        <v>#N/A</v>
      </c>
      <c r="P252" s="9" t="str">
        <f>+VLOOKUP(A252,Hoja2!$A$2:$X$2596,23,FALSE)</f>
        <v>#N/A</v>
      </c>
      <c r="Q252" s="9" t="str">
        <f>+VLOOKUP(A252,Hoja2!$A$2:$X$2596,24,FALSE)</f>
        <v>#N/A</v>
      </c>
    </row>
    <row r="253" ht="15.75" hidden="1" customHeight="1">
      <c r="A253" s="8">
        <v>2376950.0</v>
      </c>
      <c r="B253" s="8">
        <v>386231.0</v>
      </c>
      <c r="C253" s="9" t="s">
        <v>17</v>
      </c>
      <c r="D253" s="8">
        <v>2.0</v>
      </c>
      <c r="E253" s="8">
        <v>0.0</v>
      </c>
      <c r="F253" s="8">
        <v>0.0</v>
      </c>
      <c r="G253" s="9" t="s">
        <v>21</v>
      </c>
      <c r="H253" s="10">
        <v>45185.52448125</v>
      </c>
      <c r="I253" s="10">
        <v>45202.36739042824</v>
      </c>
      <c r="J253" s="8">
        <v>17.0</v>
      </c>
      <c r="K253" s="11">
        <v>2.629811625E7</v>
      </c>
      <c r="L253" s="8" t="str">
        <f>+VLOOKUP(A253,Hoja2!$A$2:$X$2596,19,FALSE)</f>
        <v>#N/A</v>
      </c>
      <c r="M253" s="9" t="str">
        <f>+VLOOKUP(A253,Hoja2!$A$2:$X$2596,15,FALSE)</f>
        <v>#N/A</v>
      </c>
      <c r="N253" s="9" t="str">
        <f>+VLOOKUP(A253,Hoja2!$A$2:$X$2596,17,FALSE)</f>
        <v>#N/A</v>
      </c>
      <c r="O253" s="9" t="str">
        <f>+VLOOKUP(A253,Hoja2!$A$2:$X$2596,22,FALSE)</f>
        <v>#N/A</v>
      </c>
      <c r="P253" s="9" t="str">
        <f>+VLOOKUP(A253,Hoja2!$A$2:$X$2596,23,FALSE)</f>
        <v>#N/A</v>
      </c>
      <c r="Q253" s="9" t="str">
        <f>+VLOOKUP(A253,Hoja2!$A$2:$X$2596,24,FALSE)</f>
        <v>#N/A</v>
      </c>
    </row>
    <row r="254" ht="15.75" hidden="1" customHeight="1">
      <c r="A254" s="8">
        <v>2376950.0</v>
      </c>
      <c r="B254" s="8">
        <v>386231.0</v>
      </c>
      <c r="C254" s="9" t="s">
        <v>19</v>
      </c>
      <c r="D254" s="8">
        <v>4.0</v>
      </c>
      <c r="E254" s="8">
        <v>0.0</v>
      </c>
      <c r="F254" s="8">
        <v>0.0</v>
      </c>
      <c r="G254" s="9" t="s">
        <v>21</v>
      </c>
      <c r="H254" s="10">
        <v>45392.372064965275</v>
      </c>
      <c r="I254" s="10">
        <v>45567.37188472222</v>
      </c>
      <c r="J254" s="8">
        <v>175.0</v>
      </c>
      <c r="K254" s="11">
        <v>2.629811625E7</v>
      </c>
      <c r="L254" s="8" t="str">
        <f>+VLOOKUP(A254,Hoja2!$A$2:$X$2596,19,FALSE)</f>
        <v>#N/A</v>
      </c>
      <c r="M254" s="9" t="str">
        <f>+VLOOKUP(A254,Hoja2!$A$2:$X$2596,15,FALSE)</f>
        <v>#N/A</v>
      </c>
      <c r="N254" s="9" t="str">
        <f>+VLOOKUP(A254,Hoja2!$A$2:$X$2596,17,FALSE)</f>
        <v>#N/A</v>
      </c>
      <c r="O254" s="9" t="str">
        <f>+VLOOKUP(A254,Hoja2!$A$2:$X$2596,22,FALSE)</f>
        <v>#N/A</v>
      </c>
      <c r="P254" s="9" t="str">
        <f>+VLOOKUP(A254,Hoja2!$A$2:$X$2596,23,FALSE)</f>
        <v>#N/A</v>
      </c>
      <c r="Q254" s="9" t="str">
        <f>+VLOOKUP(A254,Hoja2!$A$2:$X$2596,24,FALSE)</f>
        <v>#N/A</v>
      </c>
    </row>
    <row r="255" ht="15.75" hidden="1" customHeight="1">
      <c r="A255" s="8">
        <v>2376950.0</v>
      </c>
      <c r="B255" s="8">
        <v>386231.0</v>
      </c>
      <c r="C255" s="9" t="s">
        <v>27</v>
      </c>
      <c r="D255" s="8">
        <v>2.0</v>
      </c>
      <c r="E255" s="8">
        <v>5.0</v>
      </c>
      <c r="F255" s="8">
        <v>0.0</v>
      </c>
      <c r="G255" s="9" t="s">
        <v>18</v>
      </c>
      <c r="H255" s="10">
        <v>45584.49451570602</v>
      </c>
      <c r="I255" s="10">
        <v>45931.97622341435</v>
      </c>
      <c r="J255" s="8">
        <v>347.0</v>
      </c>
      <c r="K255" s="11">
        <v>2.629811625E7</v>
      </c>
      <c r="L255" s="8" t="str">
        <f>+VLOOKUP(A255,Hoja2!$A$2:$X$2596,19,FALSE)</f>
        <v>#N/A</v>
      </c>
      <c r="M255" s="9" t="str">
        <f>+VLOOKUP(A255,Hoja2!$A$2:$X$2596,15,FALSE)</f>
        <v>#N/A</v>
      </c>
      <c r="N255" s="9" t="str">
        <f>+VLOOKUP(A255,Hoja2!$A$2:$X$2596,17,FALSE)</f>
        <v>#N/A</v>
      </c>
      <c r="O255" s="9" t="str">
        <f>+VLOOKUP(A255,Hoja2!$A$2:$X$2596,22,FALSE)</f>
        <v>#N/A</v>
      </c>
      <c r="P255" s="9" t="str">
        <f>+VLOOKUP(A255,Hoja2!$A$2:$X$2596,23,FALSE)</f>
        <v>#N/A</v>
      </c>
      <c r="Q255" s="9" t="str">
        <f>+VLOOKUP(A255,Hoja2!$A$2:$X$2596,24,FALSE)</f>
        <v>#N/A</v>
      </c>
    </row>
    <row r="256" ht="15.75" hidden="1" customHeight="1">
      <c r="A256" s="8">
        <v>2378839.0</v>
      </c>
      <c r="B256" s="8">
        <v>387291.0</v>
      </c>
      <c r="C256" s="9" t="s">
        <v>17</v>
      </c>
      <c r="D256" s="8">
        <v>2.0</v>
      </c>
      <c r="E256" s="8">
        <v>0.0</v>
      </c>
      <c r="F256" s="8">
        <v>0.0</v>
      </c>
      <c r="G256" s="9" t="s">
        <v>21</v>
      </c>
      <c r="H256" s="10">
        <v>44807.563539965275</v>
      </c>
      <c r="I256" s="10">
        <v>44813.6990943287</v>
      </c>
      <c r="J256" s="8">
        <v>6.0</v>
      </c>
      <c r="K256" s="11">
        <v>1615250.0</v>
      </c>
      <c r="L256" s="8" t="str">
        <f>+VLOOKUP(A256,Hoja2!$A$2:$X$2596,19,FALSE)</f>
        <v>#N/A</v>
      </c>
      <c r="M256" s="9" t="str">
        <f>+VLOOKUP(A256,Hoja2!$A$2:$X$2596,15,FALSE)</f>
        <v>#N/A</v>
      </c>
      <c r="N256" s="9" t="str">
        <f>+VLOOKUP(A256,Hoja2!$A$2:$X$2596,17,FALSE)</f>
        <v>#N/A</v>
      </c>
      <c r="O256" s="9" t="str">
        <f>+VLOOKUP(A256,Hoja2!$A$2:$X$2596,22,FALSE)</f>
        <v>#N/A</v>
      </c>
      <c r="P256" s="9" t="str">
        <f>+VLOOKUP(A256,Hoja2!$A$2:$X$2596,23,FALSE)</f>
        <v>#N/A</v>
      </c>
      <c r="Q256" s="9" t="str">
        <f>+VLOOKUP(A256,Hoja2!$A$2:$X$2596,24,FALSE)</f>
        <v>#N/A</v>
      </c>
    </row>
    <row r="257" ht="15.75" hidden="1" customHeight="1">
      <c r="A257" s="8">
        <v>2378839.0</v>
      </c>
      <c r="B257" s="8">
        <v>387291.0</v>
      </c>
      <c r="C257" s="9" t="s">
        <v>17</v>
      </c>
      <c r="D257" s="8">
        <v>2.0</v>
      </c>
      <c r="E257" s="8">
        <v>0.0</v>
      </c>
      <c r="F257" s="8">
        <v>0.0</v>
      </c>
      <c r="G257" s="9" t="s">
        <v>21</v>
      </c>
      <c r="H257" s="10">
        <v>45120.677303159726</v>
      </c>
      <c r="I257" s="10">
        <v>45131.73299664352</v>
      </c>
      <c r="J257" s="8">
        <v>11.0</v>
      </c>
      <c r="K257" s="11">
        <v>1615250.0</v>
      </c>
      <c r="L257" s="8" t="str">
        <f>+VLOOKUP(A257,Hoja2!$A$2:$X$2596,19,FALSE)</f>
        <v>#N/A</v>
      </c>
      <c r="M257" s="9" t="str">
        <f>+VLOOKUP(A257,Hoja2!$A$2:$X$2596,15,FALSE)</f>
        <v>#N/A</v>
      </c>
      <c r="N257" s="9" t="str">
        <f>+VLOOKUP(A257,Hoja2!$A$2:$X$2596,17,FALSE)</f>
        <v>#N/A</v>
      </c>
      <c r="O257" s="9" t="str">
        <f>+VLOOKUP(A257,Hoja2!$A$2:$X$2596,22,FALSE)</f>
        <v>#N/A</v>
      </c>
      <c r="P257" s="9" t="str">
        <f>+VLOOKUP(A257,Hoja2!$A$2:$X$2596,23,FALSE)</f>
        <v>#N/A</v>
      </c>
      <c r="Q257" s="9" t="str">
        <f>+VLOOKUP(A257,Hoja2!$A$2:$X$2596,24,FALSE)</f>
        <v>#N/A</v>
      </c>
    </row>
    <row r="258" ht="15.75" hidden="1" customHeight="1">
      <c r="A258" s="8">
        <v>2378839.0</v>
      </c>
      <c r="B258" s="8">
        <v>387291.0</v>
      </c>
      <c r="C258" s="9" t="s">
        <v>19</v>
      </c>
      <c r="D258" s="8">
        <v>2.0</v>
      </c>
      <c r="E258" s="8">
        <v>1.0</v>
      </c>
      <c r="F258" s="8">
        <v>0.0</v>
      </c>
      <c r="G258" s="9" t="s">
        <v>18</v>
      </c>
      <c r="H258" s="10">
        <v>45176.80339537037</v>
      </c>
      <c r="I258" s="10">
        <v>45195.75186875</v>
      </c>
      <c r="J258" s="8">
        <v>19.0</v>
      </c>
      <c r="K258" s="11">
        <v>1615250.0</v>
      </c>
      <c r="L258" s="8" t="str">
        <f>+VLOOKUP(A258,Hoja2!$A$2:$X$2596,19,FALSE)</f>
        <v>#N/A</v>
      </c>
      <c r="M258" s="9" t="str">
        <f>+VLOOKUP(A258,Hoja2!$A$2:$X$2596,15,FALSE)</f>
        <v>#N/A</v>
      </c>
      <c r="N258" s="9" t="str">
        <f>+VLOOKUP(A258,Hoja2!$A$2:$X$2596,17,FALSE)</f>
        <v>#N/A</v>
      </c>
      <c r="O258" s="9" t="str">
        <f>+VLOOKUP(A258,Hoja2!$A$2:$X$2596,22,FALSE)</f>
        <v>#N/A</v>
      </c>
      <c r="P258" s="9" t="str">
        <f>+VLOOKUP(A258,Hoja2!$A$2:$X$2596,23,FALSE)</f>
        <v>#N/A</v>
      </c>
      <c r="Q258" s="9" t="str">
        <f>+VLOOKUP(A258,Hoja2!$A$2:$X$2596,24,FALSE)</f>
        <v>#N/A</v>
      </c>
    </row>
    <row r="259" ht="15.75" hidden="1" customHeight="1">
      <c r="A259" s="8">
        <v>2378946.0</v>
      </c>
      <c r="B259" s="8">
        <v>387340.0</v>
      </c>
      <c r="C259" s="9" t="s">
        <v>19</v>
      </c>
      <c r="D259" s="8">
        <v>4.0</v>
      </c>
      <c r="E259" s="8">
        <v>2.0</v>
      </c>
      <c r="F259" s="8">
        <v>0.0</v>
      </c>
      <c r="G259" s="9" t="s">
        <v>18</v>
      </c>
      <c r="H259" s="10">
        <v>44391.99995690972</v>
      </c>
      <c r="I259" s="10">
        <v>44594.75025034722</v>
      </c>
      <c r="J259" s="8">
        <v>203.0</v>
      </c>
      <c r="K259" s="11">
        <v>2.525939811E7</v>
      </c>
      <c r="L259" s="8" t="str">
        <f>+VLOOKUP(A259,Hoja2!$A$2:$X$2596,19,FALSE)</f>
        <v>#N/A</v>
      </c>
      <c r="M259" s="9" t="str">
        <f>+VLOOKUP(A259,Hoja2!$A$2:$X$2596,15,FALSE)</f>
        <v>#N/A</v>
      </c>
      <c r="N259" s="9" t="str">
        <f>+VLOOKUP(A259,Hoja2!$A$2:$X$2596,17,FALSE)</f>
        <v>#N/A</v>
      </c>
      <c r="O259" s="9" t="str">
        <f>+VLOOKUP(A259,Hoja2!$A$2:$X$2596,22,FALSE)</f>
        <v>#N/A</v>
      </c>
      <c r="P259" s="9" t="str">
        <f>+VLOOKUP(A259,Hoja2!$A$2:$X$2596,23,FALSE)</f>
        <v>#N/A</v>
      </c>
      <c r="Q259" s="9" t="str">
        <f>+VLOOKUP(A259,Hoja2!$A$2:$X$2596,24,FALSE)</f>
        <v>#N/A</v>
      </c>
    </row>
    <row r="260" ht="15.75" hidden="1" customHeight="1">
      <c r="A260" s="8">
        <v>2378946.0</v>
      </c>
      <c r="B260" s="8">
        <v>387340.0</v>
      </c>
      <c r="C260" s="9" t="s">
        <v>19</v>
      </c>
      <c r="D260" s="8">
        <v>2.0</v>
      </c>
      <c r="E260" s="8">
        <v>4.0</v>
      </c>
      <c r="F260" s="8">
        <v>0.0</v>
      </c>
      <c r="G260" s="9" t="s">
        <v>18</v>
      </c>
      <c r="H260" s="10">
        <v>44915.34001211805</v>
      </c>
      <c r="I260" s="10">
        <v>45090.783750347226</v>
      </c>
      <c r="J260" s="8">
        <v>175.0</v>
      </c>
      <c r="K260" s="11">
        <v>2.525939811E7</v>
      </c>
      <c r="L260" s="8" t="str">
        <f>+VLOOKUP(A260,Hoja2!$A$2:$X$2596,19,FALSE)</f>
        <v>#N/A</v>
      </c>
      <c r="M260" s="9" t="str">
        <f>+VLOOKUP(A260,Hoja2!$A$2:$X$2596,15,FALSE)</f>
        <v>#N/A</v>
      </c>
      <c r="N260" s="9" t="str">
        <f>+VLOOKUP(A260,Hoja2!$A$2:$X$2596,17,FALSE)</f>
        <v>#N/A</v>
      </c>
      <c r="O260" s="9" t="str">
        <f>+VLOOKUP(A260,Hoja2!$A$2:$X$2596,22,FALSE)</f>
        <v>#N/A</v>
      </c>
      <c r="P260" s="9" t="str">
        <f>+VLOOKUP(A260,Hoja2!$A$2:$X$2596,23,FALSE)</f>
        <v>#N/A</v>
      </c>
      <c r="Q260" s="9" t="str">
        <f>+VLOOKUP(A260,Hoja2!$A$2:$X$2596,24,FALSE)</f>
        <v>#N/A</v>
      </c>
    </row>
    <row r="261" ht="15.75" hidden="1" customHeight="1">
      <c r="A261" s="8">
        <v>2378946.0</v>
      </c>
      <c r="B261" s="8">
        <v>387340.0</v>
      </c>
      <c r="C261" s="9" t="s">
        <v>17</v>
      </c>
      <c r="D261" s="8">
        <v>2.0</v>
      </c>
      <c r="E261" s="8">
        <v>0.0</v>
      </c>
      <c r="F261" s="8">
        <v>0.0</v>
      </c>
      <c r="G261" s="9" t="s">
        <v>21</v>
      </c>
      <c r="H261" s="10">
        <v>45551.539652858795</v>
      </c>
      <c r="I261" s="10">
        <v>45565.435880324076</v>
      </c>
      <c r="J261" s="8">
        <v>14.0</v>
      </c>
      <c r="K261" s="11">
        <v>2.525939811E7</v>
      </c>
      <c r="L261" s="8" t="str">
        <f>+VLOOKUP(A261,Hoja2!$A$2:$X$2596,19,FALSE)</f>
        <v>#N/A</v>
      </c>
      <c r="M261" s="9" t="str">
        <f>+VLOOKUP(A261,Hoja2!$A$2:$X$2596,15,FALSE)</f>
        <v>#N/A</v>
      </c>
      <c r="N261" s="9" t="str">
        <f>+VLOOKUP(A261,Hoja2!$A$2:$X$2596,17,FALSE)</f>
        <v>#N/A</v>
      </c>
      <c r="O261" s="9" t="str">
        <f>+VLOOKUP(A261,Hoja2!$A$2:$X$2596,22,FALSE)</f>
        <v>#N/A</v>
      </c>
      <c r="P261" s="9" t="str">
        <f>+VLOOKUP(A261,Hoja2!$A$2:$X$2596,23,FALSE)</f>
        <v>#N/A</v>
      </c>
      <c r="Q261" s="9" t="str">
        <f>+VLOOKUP(A261,Hoja2!$A$2:$X$2596,24,FALSE)</f>
        <v>#N/A</v>
      </c>
    </row>
    <row r="262" ht="15.75" hidden="1" customHeight="1">
      <c r="A262" s="8">
        <v>2378946.0</v>
      </c>
      <c r="B262" s="8">
        <v>387340.0</v>
      </c>
      <c r="C262" s="9" t="s">
        <v>19</v>
      </c>
      <c r="D262" s="8">
        <v>1.0</v>
      </c>
      <c r="E262" s="8">
        <v>1.0</v>
      </c>
      <c r="F262" s="8">
        <v>0.0</v>
      </c>
      <c r="G262" s="9" t="s">
        <v>18</v>
      </c>
      <c r="H262" s="10">
        <v>45652.38472758102</v>
      </c>
      <c r="I262" s="10">
        <v>45690.06377804398</v>
      </c>
      <c r="J262" s="8">
        <v>38.0</v>
      </c>
      <c r="K262" s="11">
        <v>2.525939811E7</v>
      </c>
      <c r="L262" s="8" t="str">
        <f>+VLOOKUP(A262,Hoja2!$A$2:$X$2596,19,FALSE)</f>
        <v>#N/A</v>
      </c>
      <c r="M262" s="9" t="str">
        <f>+VLOOKUP(A262,Hoja2!$A$2:$X$2596,15,FALSE)</f>
        <v>#N/A</v>
      </c>
      <c r="N262" s="9" t="str">
        <f>+VLOOKUP(A262,Hoja2!$A$2:$X$2596,17,FALSE)</f>
        <v>#N/A</v>
      </c>
      <c r="O262" s="9" t="str">
        <f>+VLOOKUP(A262,Hoja2!$A$2:$X$2596,22,FALSE)</f>
        <v>#N/A</v>
      </c>
      <c r="P262" s="9" t="str">
        <f>+VLOOKUP(A262,Hoja2!$A$2:$X$2596,23,FALSE)</f>
        <v>#N/A</v>
      </c>
      <c r="Q262" s="9" t="str">
        <f>+VLOOKUP(A262,Hoja2!$A$2:$X$2596,24,FALSE)</f>
        <v>#N/A</v>
      </c>
    </row>
    <row r="263" ht="15.75" hidden="1" customHeight="1">
      <c r="A263" s="8">
        <v>2378970.0</v>
      </c>
      <c r="B263" s="8">
        <v>387354.0</v>
      </c>
      <c r="C263" s="9" t="s">
        <v>19</v>
      </c>
      <c r="D263" s="8">
        <v>2.0</v>
      </c>
      <c r="E263" s="8">
        <v>0.0</v>
      </c>
      <c r="F263" s="8">
        <v>0.0</v>
      </c>
      <c r="G263" s="9" t="s">
        <v>21</v>
      </c>
      <c r="H263" s="10">
        <v>44743.443650960646</v>
      </c>
      <c r="I263" s="10">
        <v>44749.74869756944</v>
      </c>
      <c r="J263" s="8">
        <v>6.0</v>
      </c>
      <c r="K263" s="11">
        <v>5270330.88</v>
      </c>
      <c r="L263" s="8" t="str">
        <f>+VLOOKUP(A263,Hoja2!$A$2:$X$2596,19,FALSE)</f>
        <v>Actos Previos</v>
      </c>
      <c r="M263" s="9">
        <f>+VLOOKUP(A263,Hoja2!$A$2:$X$2596,15,FALSE)</f>
        <v>3929973.1</v>
      </c>
      <c r="N263" s="9" t="str">
        <f>+VLOOKUP(A263,Hoja2!$A$2:$X$2596,17,FALSE)</f>
        <v/>
      </c>
      <c r="O263" s="9" t="str">
        <f>+VLOOKUP(A263,Hoja2!$A$2:$X$2596,22,FALSE)</f>
        <v/>
      </c>
      <c r="P263" s="9" t="str">
        <f>+VLOOKUP(A263,Hoja2!$A$2:$X$2596,23,FALSE)</f>
        <v/>
      </c>
      <c r="Q263" s="9" t="str">
        <f>+VLOOKUP(A263,Hoja2!$A$2:$X$2596,24,FALSE)</f>
        <v/>
      </c>
    </row>
    <row r="264" ht="15.75" hidden="1" customHeight="1">
      <c r="A264" s="8">
        <v>2378970.0</v>
      </c>
      <c r="B264" s="8">
        <v>387354.0</v>
      </c>
      <c r="C264" s="9" t="s">
        <v>17</v>
      </c>
      <c r="D264" s="8">
        <v>2.0</v>
      </c>
      <c r="E264" s="8">
        <v>0.0</v>
      </c>
      <c r="F264" s="8">
        <v>0.0</v>
      </c>
      <c r="G264" s="9" t="s">
        <v>21</v>
      </c>
      <c r="H264" s="10">
        <v>44811.60747141204</v>
      </c>
      <c r="I264" s="10">
        <v>44817.70442523148</v>
      </c>
      <c r="J264" s="8">
        <v>6.0</v>
      </c>
      <c r="K264" s="11">
        <v>5270330.88</v>
      </c>
      <c r="L264" s="8" t="str">
        <f>+VLOOKUP(A264,Hoja2!$A$2:$X$2596,19,FALSE)</f>
        <v>Actos Previos</v>
      </c>
      <c r="M264" s="9">
        <f>+VLOOKUP(A264,Hoja2!$A$2:$X$2596,15,FALSE)</f>
        <v>3929973.1</v>
      </c>
      <c r="N264" s="9" t="str">
        <f>+VLOOKUP(A264,Hoja2!$A$2:$X$2596,17,FALSE)</f>
        <v/>
      </c>
      <c r="O264" s="9" t="str">
        <f>+VLOOKUP(A264,Hoja2!$A$2:$X$2596,22,FALSE)</f>
        <v/>
      </c>
      <c r="P264" s="9" t="str">
        <f>+VLOOKUP(A264,Hoja2!$A$2:$X$2596,23,FALSE)</f>
        <v/>
      </c>
      <c r="Q264" s="9" t="str">
        <f>+VLOOKUP(A264,Hoja2!$A$2:$X$2596,24,FALSE)</f>
        <v/>
      </c>
    </row>
    <row r="265" ht="15.75" hidden="1" customHeight="1">
      <c r="A265" s="8">
        <v>2378970.0</v>
      </c>
      <c r="B265" s="8">
        <v>387354.0</v>
      </c>
      <c r="C265" s="9" t="s">
        <v>19</v>
      </c>
      <c r="D265" s="8">
        <v>5.0</v>
      </c>
      <c r="E265" s="8">
        <v>3.0</v>
      </c>
      <c r="F265" s="8">
        <v>0.0</v>
      </c>
      <c r="G265" s="9" t="s">
        <v>18</v>
      </c>
      <c r="H265" s="10">
        <v>45251.78291947917</v>
      </c>
      <c r="I265" s="10">
        <v>45383.434962928244</v>
      </c>
      <c r="J265" s="8">
        <v>132.0</v>
      </c>
      <c r="K265" s="11">
        <v>5270330.88</v>
      </c>
      <c r="L265" s="8" t="str">
        <f>+VLOOKUP(A265,Hoja2!$A$2:$X$2596,19,FALSE)</f>
        <v>Actos Previos</v>
      </c>
      <c r="M265" s="9">
        <f>+VLOOKUP(A265,Hoja2!$A$2:$X$2596,15,FALSE)</f>
        <v>3929973.1</v>
      </c>
      <c r="N265" s="9" t="str">
        <f>+VLOOKUP(A265,Hoja2!$A$2:$X$2596,17,FALSE)</f>
        <v/>
      </c>
      <c r="O265" s="9" t="str">
        <f>+VLOOKUP(A265,Hoja2!$A$2:$X$2596,22,FALSE)</f>
        <v/>
      </c>
      <c r="P265" s="9" t="str">
        <f>+VLOOKUP(A265,Hoja2!$A$2:$X$2596,23,FALSE)</f>
        <v/>
      </c>
      <c r="Q265" s="9" t="str">
        <f>+VLOOKUP(A265,Hoja2!$A$2:$X$2596,24,FALSE)</f>
        <v/>
      </c>
    </row>
    <row r="266" ht="15.75" customHeight="1">
      <c r="A266" s="8">
        <v>2378970.0</v>
      </c>
      <c r="B266" s="8">
        <v>387354.0</v>
      </c>
      <c r="C266" s="9" t="s">
        <v>20</v>
      </c>
      <c r="D266" s="8">
        <v>3.0</v>
      </c>
      <c r="E266" s="8">
        <v>2.0</v>
      </c>
      <c r="F266" s="8">
        <v>0.0</v>
      </c>
      <c r="G266" s="9" t="s">
        <v>18</v>
      </c>
      <c r="H266" s="10">
        <v>45401.73443128472</v>
      </c>
      <c r="I266" s="10">
        <v>45468.546114895835</v>
      </c>
      <c r="J266" s="8">
        <v>67.0</v>
      </c>
      <c r="K266" s="11">
        <v>5270330.88</v>
      </c>
      <c r="L266" s="8" t="str">
        <f>+VLOOKUP(A266,Hoja2!$A$2:$X$2596,19,FALSE)</f>
        <v>Actos Previos</v>
      </c>
      <c r="M266" s="9">
        <f>+VLOOKUP(A266,Hoja2!$A$2:$X$2596,15,FALSE)</f>
        <v>3929973.1</v>
      </c>
      <c r="N266" s="9" t="str">
        <f>+VLOOKUP(A266,Hoja2!$A$2:$X$2596,17,FALSE)</f>
        <v/>
      </c>
      <c r="O266" s="9" t="str">
        <f>+VLOOKUP(A266,Hoja2!$A$2:$X$2596,22,FALSE)</f>
        <v/>
      </c>
      <c r="P266" s="9" t="str">
        <f>+VLOOKUP(A266,Hoja2!$A$2:$X$2596,23,FALSE)</f>
        <v/>
      </c>
      <c r="Q266" s="9" t="str">
        <f>+VLOOKUP(A266,Hoja2!$A$2:$X$2596,24,FALSE)</f>
        <v/>
      </c>
    </row>
    <row r="267" ht="15.75" hidden="1" customHeight="1">
      <c r="A267" s="8">
        <v>2082548.0</v>
      </c>
      <c r="B267" s="8">
        <v>64870.0</v>
      </c>
      <c r="C267" s="9" t="s">
        <v>17</v>
      </c>
      <c r="D267" s="8">
        <v>2.0</v>
      </c>
      <c r="E267" s="8">
        <v>0.0</v>
      </c>
      <c r="F267" s="8">
        <v>0.0</v>
      </c>
      <c r="G267" s="9" t="s">
        <v>21</v>
      </c>
      <c r="H267" s="10">
        <v>44690.747648460645</v>
      </c>
      <c r="I267" s="10">
        <v>44713.605659837966</v>
      </c>
      <c r="J267" s="8">
        <v>23.0</v>
      </c>
      <c r="K267" s="11">
        <v>8548667.61</v>
      </c>
      <c r="L267" s="8" t="str">
        <f>+VLOOKUP(A267,Hoja2!$A$2:$X$2596,19,FALSE)</f>
        <v>#N/A</v>
      </c>
      <c r="M267" s="9" t="str">
        <f>+VLOOKUP(A267,Hoja2!$A$2:$X$2596,15,FALSE)</f>
        <v>#N/A</v>
      </c>
      <c r="N267" s="9" t="str">
        <f>+VLOOKUP(A267,Hoja2!$A$2:$X$2596,17,FALSE)</f>
        <v>#N/A</v>
      </c>
      <c r="O267" s="9" t="str">
        <f>+VLOOKUP(A267,Hoja2!$A$2:$X$2596,22,FALSE)</f>
        <v>#N/A</v>
      </c>
      <c r="P267" s="9" t="str">
        <f>+VLOOKUP(A267,Hoja2!$A$2:$X$2596,23,FALSE)</f>
        <v>#N/A</v>
      </c>
      <c r="Q267" s="9" t="str">
        <f>+VLOOKUP(A267,Hoja2!$A$2:$X$2596,24,FALSE)</f>
        <v>#N/A</v>
      </c>
    </row>
    <row r="268" ht="15.75" hidden="1" customHeight="1">
      <c r="A268" s="8">
        <v>2082548.0</v>
      </c>
      <c r="B268" s="8">
        <v>64870.0</v>
      </c>
      <c r="C268" s="9" t="s">
        <v>17</v>
      </c>
      <c r="D268" s="8">
        <v>2.0</v>
      </c>
      <c r="E268" s="8">
        <v>0.0</v>
      </c>
      <c r="F268" s="8">
        <v>0.0</v>
      </c>
      <c r="G268" s="9" t="s">
        <v>21</v>
      </c>
      <c r="H268" s="10">
        <v>44836.5024662037</v>
      </c>
      <c r="I268" s="10">
        <v>44844.73722207176</v>
      </c>
      <c r="J268" s="8">
        <v>8.0</v>
      </c>
      <c r="K268" s="11">
        <v>8548667.61</v>
      </c>
      <c r="L268" s="8" t="str">
        <f>+VLOOKUP(A268,Hoja2!$A$2:$X$2596,19,FALSE)</f>
        <v>#N/A</v>
      </c>
      <c r="M268" s="9" t="str">
        <f>+VLOOKUP(A268,Hoja2!$A$2:$X$2596,15,FALSE)</f>
        <v>#N/A</v>
      </c>
      <c r="N268" s="9" t="str">
        <f>+VLOOKUP(A268,Hoja2!$A$2:$X$2596,17,FALSE)</f>
        <v>#N/A</v>
      </c>
      <c r="O268" s="9" t="str">
        <f>+VLOOKUP(A268,Hoja2!$A$2:$X$2596,22,FALSE)</f>
        <v>#N/A</v>
      </c>
      <c r="P268" s="9" t="str">
        <f>+VLOOKUP(A268,Hoja2!$A$2:$X$2596,23,FALSE)</f>
        <v>#N/A</v>
      </c>
      <c r="Q268" s="9" t="str">
        <f>+VLOOKUP(A268,Hoja2!$A$2:$X$2596,24,FALSE)</f>
        <v>#N/A</v>
      </c>
    </row>
    <row r="269" ht="15.75" customHeight="1">
      <c r="A269" s="8">
        <v>2151160.0</v>
      </c>
      <c r="B269" s="8">
        <v>200195.0</v>
      </c>
      <c r="C269" s="9" t="s">
        <v>20</v>
      </c>
      <c r="D269" s="8">
        <v>6.0</v>
      </c>
      <c r="E269" s="8">
        <v>7.0</v>
      </c>
      <c r="F269" s="8">
        <v>0.0</v>
      </c>
      <c r="G269" s="9" t="s">
        <v>18</v>
      </c>
      <c r="H269" s="10">
        <v>44557.795036261574</v>
      </c>
      <c r="I269" s="10">
        <v>44711.445312881944</v>
      </c>
      <c r="J269" s="8">
        <v>154.0</v>
      </c>
      <c r="K269" s="11">
        <v>3840828.77</v>
      </c>
      <c r="L269" s="8" t="str">
        <f>+VLOOKUP(A269,Hoja2!$A$2:$X$2596,19,FALSE)</f>
        <v>Actos Previos</v>
      </c>
      <c r="M269" s="9" t="str">
        <f>+VLOOKUP(A269,Hoja2!$A$2:$X$2596,15,FALSE)</f>
        <v/>
      </c>
      <c r="N269" s="9" t="str">
        <f>+VLOOKUP(A269,Hoja2!$A$2:$X$2596,17,FALSE)</f>
        <v/>
      </c>
      <c r="O269" s="9" t="str">
        <f>+VLOOKUP(A269,Hoja2!$A$2:$X$2596,22,FALSE)</f>
        <v/>
      </c>
      <c r="P269" s="9" t="str">
        <f>+VLOOKUP(A269,Hoja2!$A$2:$X$2596,23,FALSE)</f>
        <v/>
      </c>
      <c r="Q269" s="9" t="str">
        <f>+VLOOKUP(A269,Hoja2!$A$2:$X$2596,24,FALSE)</f>
        <v/>
      </c>
    </row>
    <row r="270" ht="15.75" hidden="1" customHeight="1">
      <c r="A270" s="8">
        <v>2176609.0</v>
      </c>
      <c r="B270" s="8">
        <v>252686.0</v>
      </c>
      <c r="C270" s="9" t="s">
        <v>19</v>
      </c>
      <c r="D270" s="8">
        <v>2.0</v>
      </c>
      <c r="E270" s="8">
        <v>0.0</v>
      </c>
      <c r="F270" s="8">
        <v>0.0</v>
      </c>
      <c r="G270" s="9" t="s">
        <v>21</v>
      </c>
      <c r="H270" s="10">
        <v>45796.71812758102</v>
      </c>
      <c r="I270" s="10">
        <v>45805.69982646991</v>
      </c>
      <c r="J270" s="8">
        <v>9.0</v>
      </c>
      <c r="K270" s="11">
        <v>1634320.7</v>
      </c>
      <c r="L270" s="8" t="str">
        <f>+VLOOKUP(A270,Hoja2!$A$2:$X$2596,19,FALSE)</f>
        <v>#N/A</v>
      </c>
      <c r="M270" s="9" t="str">
        <f>+VLOOKUP(A270,Hoja2!$A$2:$X$2596,15,FALSE)</f>
        <v>#N/A</v>
      </c>
      <c r="N270" s="9" t="str">
        <f>+VLOOKUP(A270,Hoja2!$A$2:$X$2596,17,FALSE)</f>
        <v>#N/A</v>
      </c>
      <c r="O270" s="9" t="str">
        <f>+VLOOKUP(A270,Hoja2!$A$2:$X$2596,22,FALSE)</f>
        <v>#N/A</v>
      </c>
      <c r="P270" s="9" t="str">
        <f>+VLOOKUP(A270,Hoja2!$A$2:$X$2596,23,FALSE)</f>
        <v>#N/A</v>
      </c>
      <c r="Q270" s="9" t="str">
        <f>+VLOOKUP(A270,Hoja2!$A$2:$X$2596,24,FALSE)</f>
        <v>#N/A</v>
      </c>
    </row>
    <row r="271" ht="15.75" hidden="1" customHeight="1">
      <c r="A271" s="8">
        <v>2176609.0</v>
      </c>
      <c r="B271" s="8">
        <v>252686.0</v>
      </c>
      <c r="C271" s="9" t="s">
        <v>27</v>
      </c>
      <c r="D271" s="8">
        <v>1.0</v>
      </c>
      <c r="E271" s="8">
        <v>0.0</v>
      </c>
      <c r="F271" s="8">
        <v>0.0</v>
      </c>
      <c r="G271" s="9" t="s">
        <v>21</v>
      </c>
      <c r="H271" s="10">
        <v>45932.64507045139</v>
      </c>
      <c r="I271" s="10">
        <v>45932.64507045139</v>
      </c>
      <c r="J271" s="8">
        <v>0.0</v>
      </c>
      <c r="K271" s="11">
        <v>1634320.7</v>
      </c>
      <c r="L271" s="8" t="str">
        <f>+VLOOKUP(A271,Hoja2!$A$2:$X$2596,19,FALSE)</f>
        <v>#N/A</v>
      </c>
      <c r="M271" s="9" t="str">
        <f>+VLOOKUP(A271,Hoja2!$A$2:$X$2596,15,FALSE)</f>
        <v>#N/A</v>
      </c>
      <c r="N271" s="9" t="str">
        <f>+VLOOKUP(A271,Hoja2!$A$2:$X$2596,17,FALSE)</f>
        <v>#N/A</v>
      </c>
      <c r="O271" s="9" t="str">
        <f>+VLOOKUP(A271,Hoja2!$A$2:$X$2596,22,FALSE)</f>
        <v>#N/A</v>
      </c>
      <c r="P271" s="9" t="str">
        <f>+VLOOKUP(A271,Hoja2!$A$2:$X$2596,23,FALSE)</f>
        <v>#N/A</v>
      </c>
      <c r="Q271" s="9" t="str">
        <f>+VLOOKUP(A271,Hoja2!$A$2:$X$2596,24,FALSE)</f>
        <v>#N/A</v>
      </c>
    </row>
    <row r="272" ht="15.75" hidden="1" customHeight="1">
      <c r="A272" s="8">
        <v>2195488.0</v>
      </c>
      <c r="B272" s="8">
        <v>183665.0</v>
      </c>
      <c r="C272" s="9" t="s">
        <v>17</v>
      </c>
      <c r="D272" s="8">
        <v>2.0</v>
      </c>
      <c r="E272" s="8">
        <v>0.0</v>
      </c>
      <c r="F272" s="8">
        <v>0.0</v>
      </c>
      <c r="G272" s="9" t="s">
        <v>21</v>
      </c>
      <c r="H272" s="10">
        <v>44327.576556134256</v>
      </c>
      <c r="I272" s="10">
        <v>44342.478768946756</v>
      </c>
      <c r="J272" s="8">
        <v>15.0</v>
      </c>
      <c r="K272" s="11">
        <v>8.874394466E7</v>
      </c>
      <c r="L272" s="8" t="str">
        <f>+VLOOKUP(A272,Hoja2!$A$2:$X$2596,19,FALSE)</f>
        <v>#N/A</v>
      </c>
      <c r="M272" s="9" t="str">
        <f>+VLOOKUP(A272,Hoja2!$A$2:$X$2596,15,FALSE)</f>
        <v>#N/A</v>
      </c>
      <c r="N272" s="9" t="str">
        <f>+VLOOKUP(A272,Hoja2!$A$2:$X$2596,17,FALSE)</f>
        <v>#N/A</v>
      </c>
      <c r="O272" s="9" t="str">
        <f>+VLOOKUP(A272,Hoja2!$A$2:$X$2596,22,FALSE)</f>
        <v>#N/A</v>
      </c>
      <c r="P272" s="9" t="str">
        <f>+VLOOKUP(A272,Hoja2!$A$2:$X$2596,23,FALSE)</f>
        <v>#N/A</v>
      </c>
      <c r="Q272" s="9" t="str">
        <f>+VLOOKUP(A272,Hoja2!$A$2:$X$2596,24,FALSE)</f>
        <v>#N/A</v>
      </c>
    </row>
    <row r="273" ht="15.75" hidden="1" customHeight="1">
      <c r="A273" s="8">
        <v>2195488.0</v>
      </c>
      <c r="B273" s="8">
        <v>183665.0</v>
      </c>
      <c r="C273" s="9" t="s">
        <v>17</v>
      </c>
      <c r="D273" s="8">
        <v>2.0</v>
      </c>
      <c r="E273" s="8">
        <v>1.0</v>
      </c>
      <c r="F273" s="8">
        <v>0.0</v>
      </c>
      <c r="G273" s="9" t="s">
        <v>18</v>
      </c>
      <c r="H273" s="10">
        <v>44404.44721585648</v>
      </c>
      <c r="I273" s="10">
        <v>44426.800942905094</v>
      </c>
      <c r="J273" s="8">
        <v>22.0</v>
      </c>
      <c r="K273" s="11">
        <v>8.874394466E7</v>
      </c>
      <c r="L273" s="8" t="str">
        <f>+VLOOKUP(A273,Hoja2!$A$2:$X$2596,19,FALSE)</f>
        <v>#N/A</v>
      </c>
      <c r="M273" s="9" t="str">
        <f>+VLOOKUP(A273,Hoja2!$A$2:$X$2596,15,FALSE)</f>
        <v>#N/A</v>
      </c>
      <c r="N273" s="9" t="str">
        <f>+VLOOKUP(A273,Hoja2!$A$2:$X$2596,17,FALSE)</f>
        <v>#N/A</v>
      </c>
      <c r="O273" s="9" t="str">
        <f>+VLOOKUP(A273,Hoja2!$A$2:$X$2596,22,FALSE)</f>
        <v>#N/A</v>
      </c>
      <c r="P273" s="9" t="str">
        <f>+VLOOKUP(A273,Hoja2!$A$2:$X$2596,23,FALSE)</f>
        <v>#N/A</v>
      </c>
      <c r="Q273" s="9" t="str">
        <f>+VLOOKUP(A273,Hoja2!$A$2:$X$2596,24,FALSE)</f>
        <v>#N/A</v>
      </c>
    </row>
    <row r="274" ht="15.75" hidden="1" customHeight="1">
      <c r="A274" s="8">
        <v>2195488.0</v>
      </c>
      <c r="B274" s="8">
        <v>183665.0</v>
      </c>
      <c r="C274" s="9" t="s">
        <v>19</v>
      </c>
      <c r="D274" s="8">
        <v>2.0</v>
      </c>
      <c r="E274" s="8">
        <v>3.0</v>
      </c>
      <c r="F274" s="8">
        <v>0.0</v>
      </c>
      <c r="G274" s="9" t="s">
        <v>18</v>
      </c>
      <c r="H274" s="10">
        <v>44463.671227858795</v>
      </c>
      <c r="I274" s="10">
        <v>44593.49625497685</v>
      </c>
      <c r="J274" s="8">
        <v>130.0</v>
      </c>
      <c r="K274" s="11">
        <v>8.874394466E7</v>
      </c>
      <c r="L274" s="8" t="str">
        <f>+VLOOKUP(A274,Hoja2!$A$2:$X$2596,19,FALSE)</f>
        <v>#N/A</v>
      </c>
      <c r="M274" s="9" t="str">
        <f>+VLOOKUP(A274,Hoja2!$A$2:$X$2596,15,FALSE)</f>
        <v>#N/A</v>
      </c>
      <c r="N274" s="9" t="str">
        <f>+VLOOKUP(A274,Hoja2!$A$2:$X$2596,17,FALSE)</f>
        <v>#N/A</v>
      </c>
      <c r="O274" s="9" t="str">
        <f>+VLOOKUP(A274,Hoja2!$A$2:$X$2596,22,FALSE)</f>
        <v>#N/A</v>
      </c>
      <c r="P274" s="9" t="str">
        <f>+VLOOKUP(A274,Hoja2!$A$2:$X$2596,23,FALSE)</f>
        <v>#N/A</v>
      </c>
      <c r="Q274" s="9" t="str">
        <f>+VLOOKUP(A274,Hoja2!$A$2:$X$2596,24,FALSE)</f>
        <v>#N/A</v>
      </c>
    </row>
    <row r="275" ht="15.75" hidden="1" customHeight="1">
      <c r="A275" s="8">
        <v>2195488.0</v>
      </c>
      <c r="B275" s="8">
        <v>183665.0</v>
      </c>
      <c r="C275" s="9" t="s">
        <v>17</v>
      </c>
      <c r="D275" s="8">
        <v>1.0</v>
      </c>
      <c r="E275" s="8">
        <v>2.0</v>
      </c>
      <c r="F275" s="8">
        <v>0.0</v>
      </c>
      <c r="G275" s="9" t="s">
        <v>18</v>
      </c>
      <c r="H275" s="10">
        <v>44599.64172079861</v>
      </c>
      <c r="I275" s="10">
        <v>44659.46210929398</v>
      </c>
      <c r="J275" s="8">
        <v>60.0</v>
      </c>
      <c r="K275" s="11">
        <v>8.874394466E7</v>
      </c>
      <c r="L275" s="8" t="str">
        <f>+VLOOKUP(A275,Hoja2!$A$2:$X$2596,19,FALSE)</f>
        <v>#N/A</v>
      </c>
      <c r="M275" s="9" t="str">
        <f>+VLOOKUP(A275,Hoja2!$A$2:$X$2596,15,FALSE)</f>
        <v>#N/A</v>
      </c>
      <c r="N275" s="9" t="str">
        <f>+VLOOKUP(A275,Hoja2!$A$2:$X$2596,17,FALSE)</f>
        <v>#N/A</v>
      </c>
      <c r="O275" s="9" t="str">
        <f>+VLOOKUP(A275,Hoja2!$A$2:$X$2596,22,FALSE)</f>
        <v>#N/A</v>
      </c>
      <c r="P275" s="9" t="str">
        <f>+VLOOKUP(A275,Hoja2!$A$2:$X$2596,23,FALSE)</f>
        <v>#N/A</v>
      </c>
      <c r="Q275" s="9" t="str">
        <f>+VLOOKUP(A275,Hoja2!$A$2:$X$2596,24,FALSE)</f>
        <v>#N/A</v>
      </c>
    </row>
    <row r="276" ht="15.75" hidden="1" customHeight="1">
      <c r="A276" s="8">
        <v>2195488.0</v>
      </c>
      <c r="B276" s="8">
        <v>183665.0</v>
      </c>
      <c r="C276" s="9" t="s">
        <v>19</v>
      </c>
      <c r="D276" s="8">
        <v>2.0</v>
      </c>
      <c r="E276" s="8">
        <v>2.0</v>
      </c>
      <c r="F276" s="8">
        <v>0.0</v>
      </c>
      <c r="G276" s="9" t="s">
        <v>18</v>
      </c>
      <c r="H276" s="10">
        <v>45188.53763070602</v>
      </c>
      <c r="I276" s="10">
        <v>45287.62659024305</v>
      </c>
      <c r="J276" s="8">
        <v>99.0</v>
      </c>
      <c r="K276" s="11">
        <v>8.874394466E7</v>
      </c>
      <c r="L276" s="8" t="str">
        <f>+VLOOKUP(A276,Hoja2!$A$2:$X$2596,19,FALSE)</f>
        <v>#N/A</v>
      </c>
      <c r="M276" s="9" t="str">
        <f>+VLOOKUP(A276,Hoja2!$A$2:$X$2596,15,FALSE)</f>
        <v>#N/A</v>
      </c>
      <c r="N276" s="9" t="str">
        <f>+VLOOKUP(A276,Hoja2!$A$2:$X$2596,17,FALSE)</f>
        <v>#N/A</v>
      </c>
      <c r="O276" s="9" t="str">
        <f>+VLOOKUP(A276,Hoja2!$A$2:$X$2596,22,FALSE)</f>
        <v>#N/A</v>
      </c>
      <c r="P276" s="9" t="str">
        <f>+VLOOKUP(A276,Hoja2!$A$2:$X$2596,23,FALSE)</f>
        <v>#N/A</v>
      </c>
      <c r="Q276" s="9" t="str">
        <f>+VLOOKUP(A276,Hoja2!$A$2:$X$2596,24,FALSE)</f>
        <v>#N/A</v>
      </c>
    </row>
    <row r="277" ht="15.75" hidden="1" customHeight="1">
      <c r="A277" s="8">
        <v>2195488.0</v>
      </c>
      <c r="B277" s="8">
        <v>183665.0</v>
      </c>
      <c r="C277" s="9" t="s">
        <v>19</v>
      </c>
      <c r="D277" s="8">
        <v>2.0</v>
      </c>
      <c r="E277" s="8">
        <v>2.0</v>
      </c>
      <c r="F277" s="8">
        <v>0.0</v>
      </c>
      <c r="G277" s="9" t="s">
        <v>18</v>
      </c>
      <c r="H277" s="10">
        <v>45348.400637349536</v>
      </c>
      <c r="I277" s="10">
        <v>45397.60221994213</v>
      </c>
      <c r="J277" s="8">
        <v>49.0</v>
      </c>
      <c r="K277" s="11">
        <v>8.874394466E7</v>
      </c>
      <c r="L277" s="8" t="str">
        <f>+VLOOKUP(A277,Hoja2!$A$2:$X$2596,19,FALSE)</f>
        <v>#N/A</v>
      </c>
      <c r="M277" s="9" t="str">
        <f>+VLOOKUP(A277,Hoja2!$A$2:$X$2596,15,FALSE)</f>
        <v>#N/A</v>
      </c>
      <c r="N277" s="9" t="str">
        <f>+VLOOKUP(A277,Hoja2!$A$2:$X$2596,17,FALSE)</f>
        <v>#N/A</v>
      </c>
      <c r="O277" s="9" t="str">
        <f>+VLOOKUP(A277,Hoja2!$A$2:$X$2596,22,FALSE)</f>
        <v>#N/A</v>
      </c>
      <c r="P277" s="9" t="str">
        <f>+VLOOKUP(A277,Hoja2!$A$2:$X$2596,23,FALSE)</f>
        <v>#N/A</v>
      </c>
      <c r="Q277" s="9" t="str">
        <f>+VLOOKUP(A277,Hoja2!$A$2:$X$2596,24,FALSE)</f>
        <v>#N/A</v>
      </c>
    </row>
    <row r="278" ht="15.75" hidden="1" customHeight="1">
      <c r="A278" s="8">
        <v>2274607.0</v>
      </c>
      <c r="B278" s="8">
        <v>119202.0</v>
      </c>
      <c r="C278" s="9" t="s">
        <v>17</v>
      </c>
      <c r="D278" s="8">
        <v>3.0</v>
      </c>
      <c r="E278" s="8">
        <v>0.0</v>
      </c>
      <c r="F278" s="8">
        <v>0.0</v>
      </c>
      <c r="G278" s="9" t="s">
        <v>21</v>
      </c>
      <c r="H278" s="10">
        <v>44432.4879102662</v>
      </c>
      <c r="I278" s="10">
        <v>44439.754903043984</v>
      </c>
      <c r="J278" s="8">
        <v>7.0</v>
      </c>
      <c r="K278" s="11">
        <v>9.417376559E7</v>
      </c>
      <c r="L278" s="8" t="str">
        <f>+VLOOKUP(A278,Hoja2!$A$2:$X$2596,19,FALSE)</f>
        <v>Actos Previos</v>
      </c>
      <c r="M278" s="9" t="str">
        <f>+VLOOKUP(A278,Hoja2!$A$2:$X$2596,15,FALSE)</f>
        <v/>
      </c>
      <c r="N278" s="9" t="str">
        <f>+VLOOKUP(A278,Hoja2!$A$2:$X$2596,17,FALSE)</f>
        <v/>
      </c>
      <c r="O278" s="9" t="str">
        <f>+VLOOKUP(A278,Hoja2!$A$2:$X$2596,22,FALSE)</f>
        <v/>
      </c>
      <c r="P278" s="9" t="str">
        <f>+VLOOKUP(A278,Hoja2!$A$2:$X$2596,23,FALSE)</f>
        <v/>
      </c>
      <c r="Q278" s="9" t="str">
        <f>+VLOOKUP(A278,Hoja2!$A$2:$X$2596,24,FALSE)</f>
        <v/>
      </c>
    </row>
    <row r="279" ht="15.75" hidden="1" customHeight="1">
      <c r="A279" s="8">
        <v>2274607.0</v>
      </c>
      <c r="B279" s="8">
        <v>119202.0</v>
      </c>
      <c r="C279" s="9" t="s">
        <v>17</v>
      </c>
      <c r="D279" s="8">
        <v>3.0</v>
      </c>
      <c r="E279" s="8">
        <v>1.0</v>
      </c>
      <c r="F279" s="8">
        <v>0.0</v>
      </c>
      <c r="G279" s="9" t="s">
        <v>18</v>
      </c>
      <c r="H279" s="10">
        <v>44509.33490420139</v>
      </c>
      <c r="I279" s="10">
        <v>44547.783521840276</v>
      </c>
      <c r="J279" s="8">
        <v>38.0</v>
      </c>
      <c r="K279" s="11">
        <v>9.417376559E7</v>
      </c>
      <c r="L279" s="8" t="str">
        <f>+VLOOKUP(A279,Hoja2!$A$2:$X$2596,19,FALSE)</f>
        <v>Actos Previos</v>
      </c>
      <c r="M279" s="9" t="str">
        <f>+VLOOKUP(A279,Hoja2!$A$2:$X$2596,15,FALSE)</f>
        <v/>
      </c>
      <c r="N279" s="9" t="str">
        <f>+VLOOKUP(A279,Hoja2!$A$2:$X$2596,17,FALSE)</f>
        <v/>
      </c>
      <c r="O279" s="9" t="str">
        <f>+VLOOKUP(A279,Hoja2!$A$2:$X$2596,22,FALSE)</f>
        <v/>
      </c>
      <c r="P279" s="9" t="str">
        <f>+VLOOKUP(A279,Hoja2!$A$2:$X$2596,23,FALSE)</f>
        <v/>
      </c>
      <c r="Q279" s="9" t="str">
        <f>+VLOOKUP(A279,Hoja2!$A$2:$X$2596,24,FALSE)</f>
        <v/>
      </c>
    </row>
    <row r="280" ht="15.75" customHeight="1">
      <c r="A280" s="8">
        <v>2274607.0</v>
      </c>
      <c r="B280" s="8">
        <v>119202.0</v>
      </c>
      <c r="C280" s="9" t="s">
        <v>20</v>
      </c>
      <c r="D280" s="8">
        <v>1.0</v>
      </c>
      <c r="E280" s="8">
        <v>0.0</v>
      </c>
      <c r="F280" s="8">
        <v>0.0</v>
      </c>
      <c r="G280" s="9" t="s">
        <v>21</v>
      </c>
      <c r="H280" s="10">
        <v>44711.511493287035</v>
      </c>
      <c r="I280" s="10">
        <v>44711.511493287035</v>
      </c>
      <c r="J280" s="8">
        <v>0.0</v>
      </c>
      <c r="K280" s="11">
        <v>9.417376559E7</v>
      </c>
      <c r="L280" s="8" t="str">
        <f>+VLOOKUP(A280,Hoja2!$A$2:$X$2596,19,FALSE)</f>
        <v>Actos Previos</v>
      </c>
      <c r="M280" s="9" t="str">
        <f>+VLOOKUP(A280,Hoja2!$A$2:$X$2596,15,FALSE)</f>
        <v/>
      </c>
      <c r="N280" s="9" t="str">
        <f>+VLOOKUP(A280,Hoja2!$A$2:$X$2596,17,FALSE)</f>
        <v/>
      </c>
      <c r="O280" s="9" t="str">
        <f>+VLOOKUP(A280,Hoja2!$A$2:$X$2596,22,FALSE)</f>
        <v/>
      </c>
      <c r="P280" s="9" t="str">
        <f>+VLOOKUP(A280,Hoja2!$A$2:$X$2596,23,FALSE)</f>
        <v/>
      </c>
      <c r="Q280" s="9" t="str">
        <f>+VLOOKUP(A280,Hoja2!$A$2:$X$2596,24,FALSE)</f>
        <v/>
      </c>
    </row>
    <row r="281" ht="15.75" hidden="1" customHeight="1">
      <c r="A281" s="8">
        <v>2290600.0</v>
      </c>
      <c r="B281" s="8">
        <v>332124.0</v>
      </c>
      <c r="C281" s="9" t="s">
        <v>17</v>
      </c>
      <c r="D281" s="8">
        <v>3.0</v>
      </c>
      <c r="E281" s="8">
        <v>0.0</v>
      </c>
      <c r="F281" s="8">
        <v>0.0</v>
      </c>
      <c r="G281" s="9" t="s">
        <v>21</v>
      </c>
      <c r="H281" s="10">
        <v>45399.79707025463</v>
      </c>
      <c r="I281" s="10">
        <v>45407.66239922454</v>
      </c>
      <c r="J281" s="8">
        <v>8.0</v>
      </c>
      <c r="K281" s="11">
        <v>2.451037618E7</v>
      </c>
      <c r="L281" s="8" t="str">
        <f>+VLOOKUP(A281,Hoja2!$A$2:$X$2596,19,FALSE)</f>
        <v>#N/A</v>
      </c>
      <c r="M281" s="9" t="str">
        <f>+VLOOKUP(A281,Hoja2!$A$2:$X$2596,15,FALSE)</f>
        <v>#N/A</v>
      </c>
      <c r="N281" s="9" t="str">
        <f>+VLOOKUP(A281,Hoja2!$A$2:$X$2596,17,FALSE)</f>
        <v>#N/A</v>
      </c>
      <c r="O281" s="9" t="str">
        <f>+VLOOKUP(A281,Hoja2!$A$2:$X$2596,22,FALSE)</f>
        <v>#N/A</v>
      </c>
      <c r="P281" s="9" t="str">
        <f>+VLOOKUP(A281,Hoja2!$A$2:$X$2596,23,FALSE)</f>
        <v>#N/A</v>
      </c>
      <c r="Q281" s="9" t="str">
        <f>+VLOOKUP(A281,Hoja2!$A$2:$X$2596,24,FALSE)</f>
        <v>#N/A</v>
      </c>
    </row>
    <row r="282" ht="15.75" hidden="1" customHeight="1">
      <c r="A282" s="8">
        <v>2290600.0</v>
      </c>
      <c r="B282" s="8">
        <v>332124.0</v>
      </c>
      <c r="C282" s="9" t="s">
        <v>19</v>
      </c>
      <c r="D282" s="8">
        <v>5.0</v>
      </c>
      <c r="E282" s="8">
        <v>0.0</v>
      </c>
      <c r="F282" s="8">
        <v>0.0</v>
      </c>
      <c r="G282" s="9" t="s">
        <v>21</v>
      </c>
      <c r="H282" s="10">
        <v>45497.73209305556</v>
      </c>
      <c r="I282" s="10">
        <v>45590.73788032407</v>
      </c>
      <c r="J282" s="8">
        <v>93.0</v>
      </c>
      <c r="K282" s="11">
        <v>2.451037618E7</v>
      </c>
      <c r="L282" s="8" t="str">
        <f>+VLOOKUP(A282,Hoja2!$A$2:$X$2596,19,FALSE)</f>
        <v>#N/A</v>
      </c>
      <c r="M282" s="9" t="str">
        <f>+VLOOKUP(A282,Hoja2!$A$2:$X$2596,15,FALSE)</f>
        <v>#N/A</v>
      </c>
      <c r="N282" s="9" t="str">
        <f>+VLOOKUP(A282,Hoja2!$A$2:$X$2596,17,FALSE)</f>
        <v>#N/A</v>
      </c>
      <c r="O282" s="9" t="str">
        <f>+VLOOKUP(A282,Hoja2!$A$2:$X$2596,22,FALSE)</f>
        <v>#N/A</v>
      </c>
      <c r="P282" s="9" t="str">
        <f>+VLOOKUP(A282,Hoja2!$A$2:$X$2596,23,FALSE)</f>
        <v>#N/A</v>
      </c>
      <c r="Q282" s="9" t="str">
        <f>+VLOOKUP(A282,Hoja2!$A$2:$X$2596,24,FALSE)</f>
        <v>#N/A</v>
      </c>
    </row>
    <row r="283" ht="15.75" hidden="1" customHeight="1">
      <c r="A283" s="8">
        <v>2290600.0</v>
      </c>
      <c r="B283" s="8">
        <v>332124.0</v>
      </c>
      <c r="C283" s="9" t="s">
        <v>19</v>
      </c>
      <c r="D283" s="8">
        <v>2.0</v>
      </c>
      <c r="E283" s="8">
        <v>3.0</v>
      </c>
      <c r="F283" s="8">
        <v>0.0</v>
      </c>
      <c r="G283" s="9" t="s">
        <v>18</v>
      </c>
      <c r="H283" s="10">
        <v>45617.132534525466</v>
      </c>
      <c r="I283" s="10">
        <v>45846.73904421296</v>
      </c>
      <c r="J283" s="8">
        <v>229.0</v>
      </c>
      <c r="K283" s="11">
        <v>2.451037618E7</v>
      </c>
      <c r="L283" s="8" t="str">
        <f>+VLOOKUP(A283,Hoja2!$A$2:$X$2596,19,FALSE)</f>
        <v>#N/A</v>
      </c>
      <c r="M283" s="9" t="str">
        <f>+VLOOKUP(A283,Hoja2!$A$2:$X$2596,15,FALSE)</f>
        <v>#N/A</v>
      </c>
      <c r="N283" s="9" t="str">
        <f>+VLOOKUP(A283,Hoja2!$A$2:$X$2596,17,FALSE)</f>
        <v>#N/A</v>
      </c>
      <c r="O283" s="9" t="str">
        <f>+VLOOKUP(A283,Hoja2!$A$2:$X$2596,22,FALSE)</f>
        <v>#N/A</v>
      </c>
      <c r="P283" s="9" t="str">
        <f>+VLOOKUP(A283,Hoja2!$A$2:$X$2596,23,FALSE)</f>
        <v>#N/A</v>
      </c>
      <c r="Q283" s="9" t="str">
        <f>+VLOOKUP(A283,Hoja2!$A$2:$X$2596,24,FALSE)</f>
        <v>#N/A</v>
      </c>
    </row>
    <row r="284" ht="15.75" hidden="1" customHeight="1">
      <c r="A284" s="8">
        <v>2290600.0</v>
      </c>
      <c r="B284" s="8">
        <v>332124.0</v>
      </c>
      <c r="C284" s="9" t="s">
        <v>22</v>
      </c>
      <c r="D284" s="8">
        <v>4.0</v>
      </c>
      <c r="E284" s="8">
        <v>0.0</v>
      </c>
      <c r="F284" s="8">
        <v>0.0</v>
      </c>
      <c r="G284" s="9" t="s">
        <v>21</v>
      </c>
      <c r="H284" s="10">
        <v>45862.5260008912</v>
      </c>
      <c r="I284" s="10">
        <v>45950.70930138889</v>
      </c>
      <c r="J284" s="8">
        <v>88.0</v>
      </c>
      <c r="K284" s="11">
        <v>2.451037618E7</v>
      </c>
      <c r="L284" s="8" t="str">
        <f>+VLOOKUP(A284,Hoja2!$A$2:$X$2596,19,FALSE)</f>
        <v>#N/A</v>
      </c>
      <c r="M284" s="9" t="str">
        <f>+VLOOKUP(A284,Hoja2!$A$2:$X$2596,15,FALSE)</f>
        <v>#N/A</v>
      </c>
      <c r="N284" s="9" t="str">
        <f>+VLOOKUP(A284,Hoja2!$A$2:$X$2596,17,FALSE)</f>
        <v>#N/A</v>
      </c>
      <c r="O284" s="9" t="str">
        <f>+VLOOKUP(A284,Hoja2!$A$2:$X$2596,22,FALSE)</f>
        <v>#N/A</v>
      </c>
      <c r="P284" s="9" t="str">
        <f>+VLOOKUP(A284,Hoja2!$A$2:$X$2596,23,FALSE)</f>
        <v>#N/A</v>
      </c>
      <c r="Q284" s="9" t="str">
        <f>+VLOOKUP(A284,Hoja2!$A$2:$X$2596,24,FALSE)</f>
        <v>#N/A</v>
      </c>
    </row>
    <row r="285" ht="15.75" hidden="1" customHeight="1">
      <c r="A285" s="8">
        <v>2338115.0</v>
      </c>
      <c r="B285" s="8">
        <v>377035.0</v>
      </c>
      <c r="C285" s="9" t="s">
        <v>17</v>
      </c>
      <c r="D285" s="8">
        <v>2.0</v>
      </c>
      <c r="E285" s="8">
        <v>0.0</v>
      </c>
      <c r="F285" s="8">
        <v>0.0</v>
      </c>
      <c r="G285" s="9" t="s">
        <v>21</v>
      </c>
      <c r="H285" s="10">
        <v>44382.537158831015</v>
      </c>
      <c r="I285" s="10">
        <v>44396.97041947917</v>
      </c>
      <c r="J285" s="8">
        <v>14.0</v>
      </c>
      <c r="K285" s="11">
        <v>2.253584227E7</v>
      </c>
      <c r="L285" s="8" t="str">
        <f>+VLOOKUP(A285,Hoja2!$A$2:$X$2596,19,FALSE)</f>
        <v>#N/A</v>
      </c>
      <c r="M285" s="9" t="str">
        <f>+VLOOKUP(A285,Hoja2!$A$2:$X$2596,15,FALSE)</f>
        <v>#N/A</v>
      </c>
      <c r="N285" s="9" t="str">
        <f>+VLOOKUP(A285,Hoja2!$A$2:$X$2596,17,FALSE)</f>
        <v>#N/A</v>
      </c>
      <c r="O285" s="9" t="str">
        <f>+VLOOKUP(A285,Hoja2!$A$2:$X$2596,22,FALSE)</f>
        <v>#N/A</v>
      </c>
      <c r="P285" s="9" t="str">
        <f>+VLOOKUP(A285,Hoja2!$A$2:$X$2596,23,FALSE)</f>
        <v>#N/A</v>
      </c>
      <c r="Q285" s="9" t="str">
        <f>+VLOOKUP(A285,Hoja2!$A$2:$X$2596,24,FALSE)</f>
        <v>#N/A</v>
      </c>
    </row>
    <row r="286" ht="15.75" hidden="1" customHeight="1">
      <c r="A286" s="8">
        <v>2341964.0</v>
      </c>
      <c r="B286" s="8">
        <v>2341964.0</v>
      </c>
      <c r="C286" s="9" t="s">
        <v>19</v>
      </c>
      <c r="D286" s="8">
        <v>4.0</v>
      </c>
      <c r="E286" s="8">
        <v>0.0</v>
      </c>
      <c r="F286" s="8">
        <v>0.0</v>
      </c>
      <c r="G286" s="9" t="s">
        <v>21</v>
      </c>
      <c r="H286" s="10">
        <v>44207.69819297454</v>
      </c>
      <c r="I286" s="10">
        <v>44307.6982584838</v>
      </c>
      <c r="J286" s="8">
        <v>100.0</v>
      </c>
      <c r="K286" s="11">
        <v>1.157934444E7</v>
      </c>
      <c r="L286" s="8" t="str">
        <f>+VLOOKUP(A286,Hoja2!$A$2:$X$2596,19,FALSE)</f>
        <v>#N/A</v>
      </c>
      <c r="M286" s="9" t="str">
        <f>+VLOOKUP(A286,Hoja2!$A$2:$X$2596,15,FALSE)</f>
        <v>#N/A</v>
      </c>
      <c r="N286" s="9" t="str">
        <f>+VLOOKUP(A286,Hoja2!$A$2:$X$2596,17,FALSE)</f>
        <v>#N/A</v>
      </c>
      <c r="O286" s="9" t="str">
        <f>+VLOOKUP(A286,Hoja2!$A$2:$X$2596,22,FALSE)</f>
        <v>#N/A</v>
      </c>
      <c r="P286" s="9" t="str">
        <f>+VLOOKUP(A286,Hoja2!$A$2:$X$2596,23,FALSE)</f>
        <v>#N/A</v>
      </c>
      <c r="Q286" s="9" t="str">
        <f>+VLOOKUP(A286,Hoja2!$A$2:$X$2596,24,FALSE)</f>
        <v>#N/A</v>
      </c>
    </row>
    <row r="287" ht="15.75" hidden="1" customHeight="1">
      <c r="A287" s="8">
        <v>2344766.0</v>
      </c>
      <c r="B287" s="8">
        <v>2344766.0</v>
      </c>
      <c r="C287" s="9" t="s">
        <v>17</v>
      </c>
      <c r="D287" s="8">
        <v>2.0</v>
      </c>
      <c r="E287" s="8">
        <v>0.0</v>
      </c>
      <c r="F287" s="8">
        <v>0.0</v>
      </c>
      <c r="G287" s="9" t="s">
        <v>21</v>
      </c>
      <c r="H287" s="10">
        <v>44385.44621458333</v>
      </c>
      <c r="I287" s="10">
        <v>44397.880600034725</v>
      </c>
      <c r="J287" s="8">
        <v>12.0</v>
      </c>
      <c r="K287" s="11">
        <v>6621750.35</v>
      </c>
      <c r="L287" s="8" t="str">
        <f>+VLOOKUP(A287,Hoja2!$A$2:$X$2596,19,FALSE)</f>
        <v>#N/A</v>
      </c>
      <c r="M287" s="9" t="str">
        <f>+VLOOKUP(A287,Hoja2!$A$2:$X$2596,15,FALSE)</f>
        <v>#N/A</v>
      </c>
      <c r="N287" s="9" t="str">
        <f>+VLOOKUP(A287,Hoja2!$A$2:$X$2596,17,FALSE)</f>
        <v>#N/A</v>
      </c>
      <c r="O287" s="9" t="str">
        <f>+VLOOKUP(A287,Hoja2!$A$2:$X$2596,22,FALSE)</f>
        <v>#N/A</v>
      </c>
      <c r="P287" s="9" t="str">
        <f>+VLOOKUP(A287,Hoja2!$A$2:$X$2596,23,FALSE)</f>
        <v>#N/A</v>
      </c>
      <c r="Q287" s="9" t="str">
        <f>+VLOOKUP(A287,Hoja2!$A$2:$X$2596,24,FALSE)</f>
        <v>#N/A</v>
      </c>
    </row>
    <row r="288" ht="15.75" hidden="1" customHeight="1">
      <c r="A288" s="8">
        <v>2347145.0</v>
      </c>
      <c r="B288" s="8">
        <v>2347145.0</v>
      </c>
      <c r="C288" s="9" t="s">
        <v>17</v>
      </c>
      <c r="D288" s="8">
        <v>2.0</v>
      </c>
      <c r="E288" s="8">
        <v>0.0</v>
      </c>
      <c r="F288" s="8">
        <v>0.0</v>
      </c>
      <c r="G288" s="9" t="s">
        <v>21</v>
      </c>
      <c r="H288" s="10">
        <v>44383.459692592594</v>
      </c>
      <c r="I288" s="10">
        <v>44391.557737152776</v>
      </c>
      <c r="J288" s="8">
        <v>8.0</v>
      </c>
      <c r="K288" s="11">
        <v>2603774.99</v>
      </c>
      <c r="L288" s="8" t="str">
        <f>+VLOOKUP(A288,Hoja2!$A$2:$X$2596,19,FALSE)</f>
        <v>#N/A</v>
      </c>
      <c r="M288" s="9" t="str">
        <f>+VLOOKUP(A288,Hoja2!$A$2:$X$2596,15,FALSE)</f>
        <v>#N/A</v>
      </c>
      <c r="N288" s="9" t="str">
        <f>+VLOOKUP(A288,Hoja2!$A$2:$X$2596,17,FALSE)</f>
        <v>#N/A</v>
      </c>
      <c r="O288" s="9" t="str">
        <f>+VLOOKUP(A288,Hoja2!$A$2:$X$2596,22,FALSE)</f>
        <v>#N/A</v>
      </c>
      <c r="P288" s="9" t="str">
        <f>+VLOOKUP(A288,Hoja2!$A$2:$X$2596,23,FALSE)</f>
        <v>#N/A</v>
      </c>
      <c r="Q288" s="9" t="str">
        <f>+VLOOKUP(A288,Hoja2!$A$2:$X$2596,24,FALSE)</f>
        <v>#N/A</v>
      </c>
    </row>
    <row r="289" ht="15.75" hidden="1" customHeight="1">
      <c r="A289" s="8">
        <v>2347145.0</v>
      </c>
      <c r="B289" s="8">
        <v>2347145.0</v>
      </c>
      <c r="C289" s="9" t="s">
        <v>17</v>
      </c>
      <c r="D289" s="8">
        <v>2.0</v>
      </c>
      <c r="E289" s="8">
        <v>0.0</v>
      </c>
      <c r="F289" s="8">
        <v>0.0</v>
      </c>
      <c r="G289" s="9" t="s">
        <v>21</v>
      </c>
      <c r="H289" s="10">
        <v>44701.34511327546</v>
      </c>
      <c r="I289" s="10">
        <v>44707.41167534722</v>
      </c>
      <c r="J289" s="8">
        <v>6.0</v>
      </c>
      <c r="K289" s="11">
        <v>2603774.99</v>
      </c>
      <c r="L289" s="8" t="str">
        <f>+VLOOKUP(A289,Hoja2!$A$2:$X$2596,19,FALSE)</f>
        <v>#N/A</v>
      </c>
      <c r="M289" s="9" t="str">
        <f>+VLOOKUP(A289,Hoja2!$A$2:$X$2596,15,FALSE)</f>
        <v>#N/A</v>
      </c>
      <c r="N289" s="9" t="str">
        <f>+VLOOKUP(A289,Hoja2!$A$2:$X$2596,17,FALSE)</f>
        <v>#N/A</v>
      </c>
      <c r="O289" s="9" t="str">
        <f>+VLOOKUP(A289,Hoja2!$A$2:$X$2596,22,FALSE)</f>
        <v>#N/A</v>
      </c>
      <c r="P289" s="9" t="str">
        <f>+VLOOKUP(A289,Hoja2!$A$2:$X$2596,23,FALSE)</f>
        <v>#N/A</v>
      </c>
      <c r="Q289" s="9" t="str">
        <f>+VLOOKUP(A289,Hoja2!$A$2:$X$2596,24,FALSE)</f>
        <v>#N/A</v>
      </c>
    </row>
    <row r="290" ht="15.75" hidden="1" customHeight="1">
      <c r="A290" s="8">
        <v>2347356.0</v>
      </c>
      <c r="B290" s="8">
        <v>2347356.0</v>
      </c>
      <c r="C290" s="9" t="s">
        <v>17</v>
      </c>
      <c r="D290" s="8">
        <v>2.0</v>
      </c>
      <c r="E290" s="8">
        <v>0.0</v>
      </c>
      <c r="F290" s="8">
        <v>0.0</v>
      </c>
      <c r="G290" s="9" t="s">
        <v>21</v>
      </c>
      <c r="H290" s="10">
        <v>44349.62124097222</v>
      </c>
      <c r="I290" s="10">
        <v>44358.51234903935</v>
      </c>
      <c r="J290" s="8">
        <v>9.0</v>
      </c>
      <c r="K290" s="11">
        <v>6829439.46</v>
      </c>
      <c r="L290" s="8" t="str">
        <f>+VLOOKUP(A290,Hoja2!$A$2:$X$2596,19,FALSE)</f>
        <v>#N/A</v>
      </c>
      <c r="M290" s="9" t="str">
        <f>+VLOOKUP(A290,Hoja2!$A$2:$X$2596,15,FALSE)</f>
        <v>#N/A</v>
      </c>
      <c r="N290" s="9" t="str">
        <f>+VLOOKUP(A290,Hoja2!$A$2:$X$2596,17,FALSE)</f>
        <v>#N/A</v>
      </c>
      <c r="O290" s="9" t="str">
        <f>+VLOOKUP(A290,Hoja2!$A$2:$X$2596,22,FALSE)</f>
        <v>#N/A</v>
      </c>
      <c r="P290" s="9" t="str">
        <f>+VLOOKUP(A290,Hoja2!$A$2:$X$2596,23,FALSE)</f>
        <v>#N/A</v>
      </c>
      <c r="Q290" s="9" t="str">
        <f>+VLOOKUP(A290,Hoja2!$A$2:$X$2596,24,FALSE)</f>
        <v>#N/A</v>
      </c>
    </row>
    <row r="291" ht="15.75" hidden="1" customHeight="1">
      <c r="A291" s="8">
        <v>2347356.0</v>
      </c>
      <c r="B291" s="8">
        <v>2347356.0</v>
      </c>
      <c r="C291" s="9" t="s">
        <v>17</v>
      </c>
      <c r="D291" s="8">
        <v>3.0</v>
      </c>
      <c r="E291" s="8">
        <v>2.0</v>
      </c>
      <c r="F291" s="8">
        <v>0.0</v>
      </c>
      <c r="G291" s="9" t="s">
        <v>18</v>
      </c>
      <c r="H291" s="10">
        <v>44453.70649108796</v>
      </c>
      <c r="I291" s="10">
        <v>44592.737067905095</v>
      </c>
      <c r="J291" s="8">
        <v>139.0</v>
      </c>
      <c r="K291" s="11">
        <v>6829439.46</v>
      </c>
      <c r="L291" s="8" t="str">
        <f>+VLOOKUP(A291,Hoja2!$A$2:$X$2596,19,FALSE)</f>
        <v>#N/A</v>
      </c>
      <c r="M291" s="9" t="str">
        <f>+VLOOKUP(A291,Hoja2!$A$2:$X$2596,15,FALSE)</f>
        <v>#N/A</v>
      </c>
      <c r="N291" s="9" t="str">
        <f>+VLOOKUP(A291,Hoja2!$A$2:$X$2596,17,FALSE)</f>
        <v>#N/A</v>
      </c>
      <c r="O291" s="9" t="str">
        <f>+VLOOKUP(A291,Hoja2!$A$2:$X$2596,22,FALSE)</f>
        <v>#N/A</v>
      </c>
      <c r="P291" s="9" t="str">
        <f>+VLOOKUP(A291,Hoja2!$A$2:$X$2596,23,FALSE)</f>
        <v>#N/A</v>
      </c>
      <c r="Q291" s="9" t="str">
        <f>+VLOOKUP(A291,Hoja2!$A$2:$X$2596,24,FALSE)</f>
        <v>#N/A</v>
      </c>
    </row>
    <row r="292" ht="15.75" hidden="1" customHeight="1">
      <c r="A292" s="8">
        <v>2347356.0</v>
      </c>
      <c r="B292" s="8">
        <v>2347356.0</v>
      </c>
      <c r="C292" s="9" t="s">
        <v>19</v>
      </c>
      <c r="D292" s="8">
        <v>2.0</v>
      </c>
      <c r="E292" s="8">
        <v>3.0</v>
      </c>
      <c r="F292" s="8">
        <v>0.0</v>
      </c>
      <c r="G292" s="9" t="s">
        <v>18</v>
      </c>
      <c r="H292" s="10">
        <v>44648.9671408912</v>
      </c>
      <c r="I292" s="10">
        <v>44788.76205883102</v>
      </c>
      <c r="J292" s="8">
        <v>140.0</v>
      </c>
      <c r="K292" s="11">
        <v>6829439.46</v>
      </c>
      <c r="L292" s="8" t="str">
        <f>+VLOOKUP(A292,Hoja2!$A$2:$X$2596,19,FALSE)</f>
        <v>#N/A</v>
      </c>
      <c r="M292" s="9" t="str">
        <f>+VLOOKUP(A292,Hoja2!$A$2:$X$2596,15,FALSE)</f>
        <v>#N/A</v>
      </c>
      <c r="N292" s="9" t="str">
        <f>+VLOOKUP(A292,Hoja2!$A$2:$X$2596,17,FALSE)</f>
        <v>#N/A</v>
      </c>
      <c r="O292" s="9" t="str">
        <f>+VLOOKUP(A292,Hoja2!$A$2:$X$2596,22,FALSE)</f>
        <v>#N/A</v>
      </c>
      <c r="P292" s="9" t="str">
        <f>+VLOOKUP(A292,Hoja2!$A$2:$X$2596,23,FALSE)</f>
        <v>#N/A</v>
      </c>
      <c r="Q292" s="9" t="str">
        <f>+VLOOKUP(A292,Hoja2!$A$2:$X$2596,24,FALSE)</f>
        <v>#N/A</v>
      </c>
    </row>
    <row r="293" ht="15.75" hidden="1" customHeight="1">
      <c r="A293" s="8">
        <v>2347990.0</v>
      </c>
      <c r="B293" s="8">
        <v>2347990.0</v>
      </c>
      <c r="C293" s="9" t="s">
        <v>19</v>
      </c>
      <c r="D293" s="8">
        <v>2.0</v>
      </c>
      <c r="E293" s="8">
        <v>1.0</v>
      </c>
      <c r="F293" s="8">
        <v>0.0</v>
      </c>
      <c r="G293" s="9" t="s">
        <v>18</v>
      </c>
      <c r="H293" s="10">
        <v>45027.4666625</v>
      </c>
      <c r="I293" s="10">
        <v>45098.50353857639</v>
      </c>
      <c r="J293" s="8">
        <v>71.0</v>
      </c>
      <c r="K293" s="11">
        <v>2.972666962E7</v>
      </c>
      <c r="L293" s="8" t="str">
        <f>+VLOOKUP(A293,Hoja2!$A$2:$X$2596,19,FALSE)</f>
        <v>#N/A</v>
      </c>
      <c r="M293" s="9" t="str">
        <f>+VLOOKUP(A293,Hoja2!$A$2:$X$2596,15,FALSE)</f>
        <v>#N/A</v>
      </c>
      <c r="N293" s="9" t="str">
        <f>+VLOOKUP(A293,Hoja2!$A$2:$X$2596,17,FALSE)</f>
        <v>#N/A</v>
      </c>
      <c r="O293" s="9" t="str">
        <f>+VLOOKUP(A293,Hoja2!$A$2:$X$2596,22,FALSE)</f>
        <v>#N/A</v>
      </c>
      <c r="P293" s="9" t="str">
        <f>+VLOOKUP(A293,Hoja2!$A$2:$X$2596,23,FALSE)</f>
        <v>#N/A</v>
      </c>
      <c r="Q293" s="9" t="str">
        <f>+VLOOKUP(A293,Hoja2!$A$2:$X$2596,24,FALSE)</f>
        <v>#N/A</v>
      </c>
    </row>
    <row r="294" ht="15.75" hidden="1" customHeight="1">
      <c r="A294" s="8">
        <v>2347990.0</v>
      </c>
      <c r="B294" s="8">
        <v>2347990.0</v>
      </c>
      <c r="C294" s="9" t="s">
        <v>17</v>
      </c>
      <c r="D294" s="8">
        <v>2.0</v>
      </c>
      <c r="E294" s="8">
        <v>0.0</v>
      </c>
      <c r="F294" s="8">
        <v>0.0</v>
      </c>
      <c r="G294" s="9" t="s">
        <v>21</v>
      </c>
      <c r="H294" s="10">
        <v>45254.652327662036</v>
      </c>
      <c r="I294" s="10">
        <v>45254.661430127315</v>
      </c>
      <c r="J294" s="8">
        <v>0.0</v>
      </c>
      <c r="K294" s="11">
        <v>2.972666962E7</v>
      </c>
      <c r="L294" s="8" t="str">
        <f>+VLOOKUP(A294,Hoja2!$A$2:$X$2596,19,FALSE)</f>
        <v>#N/A</v>
      </c>
      <c r="M294" s="9" t="str">
        <f>+VLOOKUP(A294,Hoja2!$A$2:$X$2596,15,FALSE)</f>
        <v>#N/A</v>
      </c>
      <c r="N294" s="9" t="str">
        <f>+VLOOKUP(A294,Hoja2!$A$2:$X$2596,17,FALSE)</f>
        <v>#N/A</v>
      </c>
      <c r="O294" s="9" t="str">
        <f>+VLOOKUP(A294,Hoja2!$A$2:$X$2596,22,FALSE)</f>
        <v>#N/A</v>
      </c>
      <c r="P294" s="9" t="str">
        <f>+VLOOKUP(A294,Hoja2!$A$2:$X$2596,23,FALSE)</f>
        <v>#N/A</v>
      </c>
      <c r="Q294" s="9" t="str">
        <f>+VLOOKUP(A294,Hoja2!$A$2:$X$2596,24,FALSE)</f>
        <v>#N/A</v>
      </c>
    </row>
    <row r="295" ht="15.75" hidden="1" customHeight="1">
      <c r="A295" s="8">
        <v>2347990.0</v>
      </c>
      <c r="B295" s="8">
        <v>2347990.0</v>
      </c>
      <c r="C295" s="9" t="s">
        <v>19</v>
      </c>
      <c r="D295" s="8">
        <v>2.0</v>
      </c>
      <c r="E295" s="8">
        <v>1.0</v>
      </c>
      <c r="F295" s="8">
        <v>0.0</v>
      </c>
      <c r="G295" s="9" t="s">
        <v>18</v>
      </c>
      <c r="H295" s="10">
        <v>45546.72629204861</v>
      </c>
      <c r="I295" s="10">
        <v>45695.50974366898</v>
      </c>
      <c r="J295" s="8">
        <v>149.0</v>
      </c>
      <c r="K295" s="11">
        <v>2.972666962E7</v>
      </c>
      <c r="L295" s="8" t="str">
        <f>+VLOOKUP(A295,Hoja2!$A$2:$X$2596,19,FALSE)</f>
        <v>#N/A</v>
      </c>
      <c r="M295" s="9" t="str">
        <f>+VLOOKUP(A295,Hoja2!$A$2:$X$2596,15,FALSE)</f>
        <v>#N/A</v>
      </c>
      <c r="N295" s="9" t="str">
        <f>+VLOOKUP(A295,Hoja2!$A$2:$X$2596,17,FALSE)</f>
        <v>#N/A</v>
      </c>
      <c r="O295" s="9" t="str">
        <f>+VLOOKUP(A295,Hoja2!$A$2:$X$2596,22,FALSE)</f>
        <v>#N/A</v>
      </c>
      <c r="P295" s="9" t="str">
        <f>+VLOOKUP(A295,Hoja2!$A$2:$X$2596,23,FALSE)</f>
        <v>#N/A</v>
      </c>
      <c r="Q295" s="9" t="str">
        <f>+VLOOKUP(A295,Hoja2!$A$2:$X$2596,24,FALSE)</f>
        <v>#N/A</v>
      </c>
    </row>
    <row r="296" ht="15.75" hidden="1" customHeight="1">
      <c r="A296" s="8">
        <v>2347990.0</v>
      </c>
      <c r="B296" s="8">
        <v>2347990.0</v>
      </c>
      <c r="C296" s="9" t="s">
        <v>22</v>
      </c>
      <c r="D296" s="8">
        <v>1.0</v>
      </c>
      <c r="E296" s="8">
        <v>4.0</v>
      </c>
      <c r="F296" s="8">
        <v>0.0</v>
      </c>
      <c r="G296" s="9" t="s">
        <v>18</v>
      </c>
      <c r="H296" s="10">
        <v>45815.46101489583</v>
      </c>
      <c r="I296" s="10">
        <v>45933.38594332176</v>
      </c>
      <c r="J296" s="8">
        <v>118.0</v>
      </c>
      <c r="K296" s="11">
        <v>2.972666962E7</v>
      </c>
      <c r="L296" s="8" t="str">
        <f>+VLOOKUP(A296,Hoja2!$A$2:$X$2596,19,FALSE)</f>
        <v>#N/A</v>
      </c>
      <c r="M296" s="9" t="str">
        <f>+VLOOKUP(A296,Hoja2!$A$2:$X$2596,15,FALSE)</f>
        <v>#N/A</v>
      </c>
      <c r="N296" s="9" t="str">
        <f>+VLOOKUP(A296,Hoja2!$A$2:$X$2596,17,FALSE)</f>
        <v>#N/A</v>
      </c>
      <c r="O296" s="9" t="str">
        <f>+VLOOKUP(A296,Hoja2!$A$2:$X$2596,22,FALSE)</f>
        <v>#N/A</v>
      </c>
      <c r="P296" s="9" t="str">
        <f>+VLOOKUP(A296,Hoja2!$A$2:$X$2596,23,FALSE)</f>
        <v>#N/A</v>
      </c>
      <c r="Q296" s="9" t="str">
        <f>+VLOOKUP(A296,Hoja2!$A$2:$X$2596,24,FALSE)</f>
        <v>#N/A</v>
      </c>
    </row>
    <row r="297" ht="15.75" hidden="1" customHeight="1">
      <c r="A297" s="8">
        <v>2348150.0</v>
      </c>
      <c r="B297" s="8">
        <v>2348150.0</v>
      </c>
      <c r="C297" s="9" t="s">
        <v>17</v>
      </c>
      <c r="D297" s="8">
        <v>2.0</v>
      </c>
      <c r="E297" s="8">
        <v>0.0</v>
      </c>
      <c r="F297" s="8">
        <v>0.0</v>
      </c>
      <c r="G297" s="9" t="s">
        <v>21</v>
      </c>
      <c r="H297" s="10">
        <v>44319.764814201386</v>
      </c>
      <c r="I297" s="10">
        <v>44323.44618726852</v>
      </c>
      <c r="J297" s="8">
        <v>4.0</v>
      </c>
      <c r="K297" s="11">
        <v>1.740696386E7</v>
      </c>
      <c r="L297" s="8" t="str">
        <f>+VLOOKUP(A297,Hoja2!$A$2:$X$2596,19,FALSE)</f>
        <v>#N/A</v>
      </c>
      <c r="M297" s="9" t="str">
        <f>+VLOOKUP(A297,Hoja2!$A$2:$X$2596,15,FALSE)</f>
        <v>#N/A</v>
      </c>
      <c r="N297" s="9" t="str">
        <f>+VLOOKUP(A297,Hoja2!$A$2:$X$2596,17,FALSE)</f>
        <v>#N/A</v>
      </c>
      <c r="O297" s="9" t="str">
        <f>+VLOOKUP(A297,Hoja2!$A$2:$X$2596,22,FALSE)</f>
        <v>#N/A</v>
      </c>
      <c r="P297" s="9" t="str">
        <f>+VLOOKUP(A297,Hoja2!$A$2:$X$2596,23,FALSE)</f>
        <v>#N/A</v>
      </c>
      <c r="Q297" s="9" t="str">
        <f>+VLOOKUP(A297,Hoja2!$A$2:$X$2596,24,FALSE)</f>
        <v>#N/A</v>
      </c>
    </row>
    <row r="298" ht="15.75" hidden="1" customHeight="1">
      <c r="A298" s="8">
        <v>2348150.0</v>
      </c>
      <c r="B298" s="8">
        <v>2348150.0</v>
      </c>
      <c r="C298" s="9" t="s">
        <v>19</v>
      </c>
      <c r="D298" s="8">
        <v>4.0</v>
      </c>
      <c r="E298" s="8">
        <v>0.0</v>
      </c>
      <c r="F298" s="8">
        <v>0.0</v>
      </c>
      <c r="G298" s="9" t="s">
        <v>21</v>
      </c>
      <c r="H298" s="10">
        <v>44396.65064965278</v>
      </c>
      <c r="I298" s="10">
        <v>44470.70134270834</v>
      </c>
      <c r="J298" s="8">
        <v>74.0</v>
      </c>
      <c r="K298" s="11">
        <v>1.740696386E7</v>
      </c>
      <c r="L298" s="8" t="str">
        <f>+VLOOKUP(A298,Hoja2!$A$2:$X$2596,19,FALSE)</f>
        <v>#N/A</v>
      </c>
      <c r="M298" s="9" t="str">
        <f>+VLOOKUP(A298,Hoja2!$A$2:$X$2596,15,FALSE)</f>
        <v>#N/A</v>
      </c>
      <c r="N298" s="9" t="str">
        <f>+VLOOKUP(A298,Hoja2!$A$2:$X$2596,17,FALSE)</f>
        <v>#N/A</v>
      </c>
      <c r="O298" s="9" t="str">
        <f>+VLOOKUP(A298,Hoja2!$A$2:$X$2596,22,FALSE)</f>
        <v>#N/A</v>
      </c>
      <c r="P298" s="9" t="str">
        <f>+VLOOKUP(A298,Hoja2!$A$2:$X$2596,23,FALSE)</f>
        <v>#N/A</v>
      </c>
      <c r="Q298" s="9" t="str">
        <f>+VLOOKUP(A298,Hoja2!$A$2:$X$2596,24,FALSE)</f>
        <v>#N/A</v>
      </c>
    </row>
    <row r="299" ht="15.75" hidden="1" customHeight="1">
      <c r="A299" s="8">
        <v>2348150.0</v>
      </c>
      <c r="B299" s="8">
        <v>2348150.0</v>
      </c>
      <c r="C299" s="9" t="s">
        <v>19</v>
      </c>
      <c r="D299" s="8">
        <v>1.0</v>
      </c>
      <c r="E299" s="8">
        <v>2.0</v>
      </c>
      <c r="F299" s="8">
        <v>0.0</v>
      </c>
      <c r="G299" s="9" t="s">
        <v>18</v>
      </c>
      <c r="H299" s="10">
        <v>44728.47862523148</v>
      </c>
      <c r="I299" s="10">
        <v>44785.67483587963</v>
      </c>
      <c r="J299" s="8">
        <v>57.0</v>
      </c>
      <c r="K299" s="11">
        <v>1.740696386E7</v>
      </c>
      <c r="L299" s="8" t="str">
        <f>+VLOOKUP(A299,Hoja2!$A$2:$X$2596,19,FALSE)</f>
        <v>#N/A</v>
      </c>
      <c r="M299" s="9" t="str">
        <f>+VLOOKUP(A299,Hoja2!$A$2:$X$2596,15,FALSE)</f>
        <v>#N/A</v>
      </c>
      <c r="N299" s="9" t="str">
        <f>+VLOOKUP(A299,Hoja2!$A$2:$X$2596,17,FALSE)</f>
        <v>#N/A</v>
      </c>
      <c r="O299" s="9" t="str">
        <f>+VLOOKUP(A299,Hoja2!$A$2:$X$2596,22,FALSE)</f>
        <v>#N/A</v>
      </c>
      <c r="P299" s="9" t="str">
        <f>+VLOOKUP(A299,Hoja2!$A$2:$X$2596,23,FALSE)</f>
        <v>#N/A</v>
      </c>
      <c r="Q299" s="9" t="str">
        <f>+VLOOKUP(A299,Hoja2!$A$2:$X$2596,24,FALSE)</f>
        <v>#N/A</v>
      </c>
    </row>
    <row r="300" ht="15.75" hidden="1" customHeight="1">
      <c r="A300" s="8">
        <v>2348792.0</v>
      </c>
      <c r="B300" s="8">
        <v>2348792.0</v>
      </c>
      <c r="C300" s="9" t="s">
        <v>17</v>
      </c>
      <c r="D300" s="8">
        <v>2.0</v>
      </c>
      <c r="E300" s="8">
        <v>1.0</v>
      </c>
      <c r="F300" s="8">
        <v>0.0</v>
      </c>
      <c r="G300" s="9" t="s">
        <v>18</v>
      </c>
      <c r="H300" s="10">
        <v>44418.379383680556</v>
      </c>
      <c r="I300" s="10">
        <v>44456.706195983796</v>
      </c>
      <c r="J300" s="8">
        <v>38.0</v>
      </c>
      <c r="K300" s="11">
        <v>1.440465956E7</v>
      </c>
      <c r="L300" s="8" t="str">
        <f>+VLOOKUP(A300,Hoja2!$A$2:$X$2596,19,FALSE)</f>
        <v>Concluido</v>
      </c>
      <c r="M300" s="9">
        <f>+VLOOKUP(A300,Hoja2!$A$2:$X$2596,15,FALSE)</f>
        <v>17279814.02</v>
      </c>
      <c r="N300" s="9">
        <f>+VLOOKUP(A300,Hoja2!$A$2:$X$2596,17,FALSE)</f>
        <v>1025790</v>
      </c>
      <c r="O300" s="9" t="str">
        <f>+VLOOKUP(A300,Hoja2!$A$2:$X$2596,22,FALSE)</f>
        <v/>
      </c>
      <c r="P300" s="9" t="str">
        <f>+VLOOKUP(A300,Hoja2!$A$2:$X$2596,23,FALSE)</f>
        <v/>
      </c>
      <c r="Q300" s="9" t="str">
        <f>+VLOOKUP(A300,Hoja2!$A$2:$X$2596,24,FALSE)</f>
        <v/>
      </c>
    </row>
    <row r="301" ht="15.75" hidden="1" customHeight="1">
      <c r="A301" s="8">
        <v>2348792.0</v>
      </c>
      <c r="B301" s="8">
        <v>2348792.0</v>
      </c>
      <c r="C301" s="9" t="s">
        <v>19</v>
      </c>
      <c r="D301" s="8">
        <v>1.0</v>
      </c>
      <c r="E301" s="8">
        <v>3.0</v>
      </c>
      <c r="F301" s="8">
        <v>0.0</v>
      </c>
      <c r="G301" s="9" t="s">
        <v>18</v>
      </c>
      <c r="H301" s="10">
        <v>44526.65895744213</v>
      </c>
      <c r="I301" s="10">
        <v>44669.63845740741</v>
      </c>
      <c r="J301" s="8">
        <v>143.0</v>
      </c>
      <c r="K301" s="11">
        <v>1.440465956E7</v>
      </c>
      <c r="L301" s="8" t="str">
        <f>+VLOOKUP(A301,Hoja2!$A$2:$X$2596,19,FALSE)</f>
        <v>Concluido</v>
      </c>
      <c r="M301" s="9">
        <f>+VLOOKUP(A301,Hoja2!$A$2:$X$2596,15,FALSE)</f>
        <v>17279814.02</v>
      </c>
      <c r="N301" s="9">
        <f>+VLOOKUP(A301,Hoja2!$A$2:$X$2596,17,FALSE)</f>
        <v>1025790</v>
      </c>
      <c r="O301" s="9" t="str">
        <f>+VLOOKUP(A301,Hoja2!$A$2:$X$2596,22,FALSE)</f>
        <v/>
      </c>
      <c r="P301" s="9" t="str">
        <f>+VLOOKUP(A301,Hoja2!$A$2:$X$2596,23,FALSE)</f>
        <v/>
      </c>
      <c r="Q301" s="9" t="str">
        <f>+VLOOKUP(A301,Hoja2!$A$2:$X$2596,24,FALSE)</f>
        <v/>
      </c>
    </row>
    <row r="302" ht="15.75" customHeight="1">
      <c r="A302" s="8">
        <v>2348792.0</v>
      </c>
      <c r="B302" s="8">
        <v>2348792.0</v>
      </c>
      <c r="C302" s="9" t="s">
        <v>20</v>
      </c>
      <c r="D302" s="8">
        <v>1.0</v>
      </c>
      <c r="E302" s="8">
        <v>6.0</v>
      </c>
      <c r="F302" s="8">
        <v>0.0</v>
      </c>
      <c r="G302" s="9" t="s">
        <v>18</v>
      </c>
      <c r="H302" s="10">
        <v>44671.7277815625</v>
      </c>
      <c r="I302" s="10">
        <v>44778.667032523146</v>
      </c>
      <c r="J302" s="8">
        <v>107.0</v>
      </c>
      <c r="K302" s="11">
        <v>1.440465956E7</v>
      </c>
      <c r="L302" s="8" t="str">
        <f>+VLOOKUP(A302,Hoja2!$A$2:$X$2596,19,FALSE)</f>
        <v>Concluido</v>
      </c>
      <c r="M302" s="9">
        <f>+VLOOKUP(A302,Hoja2!$A$2:$X$2596,15,FALSE)</f>
        <v>17279814.02</v>
      </c>
      <c r="N302" s="9">
        <f>+VLOOKUP(A302,Hoja2!$A$2:$X$2596,17,FALSE)</f>
        <v>1025790</v>
      </c>
      <c r="O302" s="9" t="str">
        <f>+VLOOKUP(A302,Hoja2!$A$2:$X$2596,22,FALSE)</f>
        <v/>
      </c>
      <c r="P302" s="9" t="str">
        <f>+VLOOKUP(A302,Hoja2!$A$2:$X$2596,23,FALSE)</f>
        <v/>
      </c>
      <c r="Q302" s="9" t="str">
        <f>+VLOOKUP(A302,Hoja2!$A$2:$X$2596,24,FALSE)</f>
        <v/>
      </c>
    </row>
    <row r="303" ht="15.75" hidden="1" customHeight="1">
      <c r="A303" s="8">
        <v>2349174.0</v>
      </c>
      <c r="B303" s="8">
        <v>2349174.0</v>
      </c>
      <c r="C303" s="9" t="s">
        <v>17</v>
      </c>
      <c r="D303" s="8">
        <v>2.0</v>
      </c>
      <c r="E303" s="8">
        <v>0.0</v>
      </c>
      <c r="F303" s="8">
        <v>0.0</v>
      </c>
      <c r="G303" s="9" t="s">
        <v>21</v>
      </c>
      <c r="H303" s="10">
        <v>44340.719195983795</v>
      </c>
      <c r="I303" s="10">
        <v>44358.71040443287</v>
      </c>
      <c r="J303" s="8">
        <v>18.0</v>
      </c>
      <c r="K303" s="11">
        <v>3814116.57</v>
      </c>
      <c r="L303" s="8" t="str">
        <f>+VLOOKUP(A303,Hoja2!$A$2:$X$2596,19,FALSE)</f>
        <v>Concluido</v>
      </c>
      <c r="M303" s="9">
        <f>+VLOOKUP(A303,Hoja2!$A$2:$X$2596,15,FALSE)</f>
        <v>3358521.64</v>
      </c>
      <c r="N303" s="9">
        <f>+VLOOKUP(A303,Hoja2!$A$2:$X$2596,17,FALSE)</f>
        <v>152012.29</v>
      </c>
      <c r="O303" s="9" t="str">
        <f>+VLOOKUP(A303,Hoja2!$A$2:$X$2596,22,FALSE)</f>
        <v/>
      </c>
      <c r="P303" s="9" t="str">
        <f>+VLOOKUP(A303,Hoja2!$A$2:$X$2596,23,FALSE)</f>
        <v/>
      </c>
      <c r="Q303" s="9" t="str">
        <f>+VLOOKUP(A303,Hoja2!$A$2:$X$2596,24,FALSE)</f>
        <v/>
      </c>
    </row>
    <row r="304" ht="15.75" hidden="1" customHeight="1">
      <c r="A304" s="8">
        <v>2349174.0</v>
      </c>
      <c r="B304" s="8">
        <v>2349174.0</v>
      </c>
      <c r="C304" s="9" t="s">
        <v>17</v>
      </c>
      <c r="D304" s="8">
        <v>2.0</v>
      </c>
      <c r="E304" s="8">
        <v>1.0</v>
      </c>
      <c r="F304" s="8">
        <v>0.0</v>
      </c>
      <c r="G304" s="9" t="s">
        <v>18</v>
      </c>
      <c r="H304" s="10">
        <v>44446.64937638889</v>
      </c>
      <c r="I304" s="10">
        <v>44467.66584583333</v>
      </c>
      <c r="J304" s="8">
        <v>21.0</v>
      </c>
      <c r="K304" s="11">
        <v>3814116.57</v>
      </c>
      <c r="L304" s="8" t="str">
        <f>+VLOOKUP(A304,Hoja2!$A$2:$X$2596,19,FALSE)</f>
        <v>Concluido</v>
      </c>
      <c r="M304" s="9">
        <f>+VLOOKUP(A304,Hoja2!$A$2:$X$2596,15,FALSE)</f>
        <v>3358521.64</v>
      </c>
      <c r="N304" s="9">
        <f>+VLOOKUP(A304,Hoja2!$A$2:$X$2596,17,FALSE)</f>
        <v>152012.29</v>
      </c>
      <c r="O304" s="9" t="str">
        <f>+VLOOKUP(A304,Hoja2!$A$2:$X$2596,22,FALSE)</f>
        <v/>
      </c>
      <c r="P304" s="9" t="str">
        <f>+VLOOKUP(A304,Hoja2!$A$2:$X$2596,23,FALSE)</f>
        <v/>
      </c>
      <c r="Q304" s="9" t="str">
        <f>+VLOOKUP(A304,Hoja2!$A$2:$X$2596,24,FALSE)</f>
        <v/>
      </c>
    </row>
    <row r="305" ht="15.75" customHeight="1">
      <c r="A305" s="8">
        <v>2349174.0</v>
      </c>
      <c r="B305" s="8">
        <v>2349174.0</v>
      </c>
      <c r="C305" s="9" t="s">
        <v>20</v>
      </c>
      <c r="D305" s="8">
        <v>1.0</v>
      </c>
      <c r="E305" s="8">
        <v>3.0</v>
      </c>
      <c r="F305" s="8">
        <v>0.0</v>
      </c>
      <c r="G305" s="9" t="s">
        <v>18</v>
      </c>
      <c r="H305" s="10">
        <v>44509.796107870374</v>
      </c>
      <c r="I305" s="10">
        <v>44536.67374818287</v>
      </c>
      <c r="J305" s="8">
        <v>27.0</v>
      </c>
      <c r="K305" s="11">
        <v>3814116.57</v>
      </c>
      <c r="L305" s="8" t="str">
        <f>+VLOOKUP(A305,Hoja2!$A$2:$X$2596,19,FALSE)</f>
        <v>Concluido</v>
      </c>
      <c r="M305" s="9">
        <f>+VLOOKUP(A305,Hoja2!$A$2:$X$2596,15,FALSE)</f>
        <v>3358521.64</v>
      </c>
      <c r="N305" s="9">
        <f>+VLOOKUP(A305,Hoja2!$A$2:$X$2596,17,FALSE)</f>
        <v>152012.29</v>
      </c>
      <c r="O305" s="9" t="str">
        <f>+VLOOKUP(A305,Hoja2!$A$2:$X$2596,22,FALSE)</f>
        <v/>
      </c>
      <c r="P305" s="9" t="str">
        <f>+VLOOKUP(A305,Hoja2!$A$2:$X$2596,23,FALSE)</f>
        <v/>
      </c>
      <c r="Q305" s="9" t="str">
        <f>+VLOOKUP(A305,Hoja2!$A$2:$X$2596,24,FALSE)</f>
        <v/>
      </c>
    </row>
    <row r="306" ht="15.75" hidden="1" customHeight="1">
      <c r="A306" s="8">
        <v>2349852.0</v>
      </c>
      <c r="B306" s="8">
        <v>2349852.0</v>
      </c>
      <c r="C306" s="9" t="s">
        <v>19</v>
      </c>
      <c r="D306" s="8">
        <v>5.0</v>
      </c>
      <c r="E306" s="8">
        <v>0.0</v>
      </c>
      <c r="F306" s="8">
        <v>0.0</v>
      </c>
      <c r="G306" s="9" t="s">
        <v>21</v>
      </c>
      <c r="H306" s="10">
        <v>44617.944535497685</v>
      </c>
      <c r="I306" s="10">
        <v>44690.775313425926</v>
      </c>
      <c r="J306" s="8">
        <v>73.0</v>
      </c>
      <c r="K306" s="11">
        <v>1702815.42</v>
      </c>
      <c r="L306" s="8" t="str">
        <f>+VLOOKUP(A306,Hoja2!$A$2:$X$2596,19,FALSE)</f>
        <v>#N/A</v>
      </c>
      <c r="M306" s="9" t="str">
        <f>+VLOOKUP(A306,Hoja2!$A$2:$X$2596,15,FALSE)</f>
        <v>#N/A</v>
      </c>
      <c r="N306" s="9" t="str">
        <f>+VLOOKUP(A306,Hoja2!$A$2:$X$2596,17,FALSE)</f>
        <v>#N/A</v>
      </c>
      <c r="O306" s="9" t="str">
        <f>+VLOOKUP(A306,Hoja2!$A$2:$X$2596,22,FALSE)</f>
        <v>#N/A</v>
      </c>
      <c r="P306" s="9" t="str">
        <f>+VLOOKUP(A306,Hoja2!$A$2:$X$2596,23,FALSE)</f>
        <v>#N/A</v>
      </c>
      <c r="Q306" s="9" t="str">
        <f>+VLOOKUP(A306,Hoja2!$A$2:$X$2596,24,FALSE)</f>
        <v>#N/A</v>
      </c>
    </row>
    <row r="307" ht="15.75" hidden="1" customHeight="1">
      <c r="A307" s="8">
        <v>2349852.0</v>
      </c>
      <c r="B307" s="8">
        <v>2349852.0</v>
      </c>
      <c r="C307" s="9" t="s">
        <v>17</v>
      </c>
      <c r="D307" s="8">
        <v>2.0</v>
      </c>
      <c r="E307" s="8">
        <v>0.0</v>
      </c>
      <c r="F307" s="8">
        <v>0.0</v>
      </c>
      <c r="G307" s="9" t="s">
        <v>21</v>
      </c>
      <c r="H307" s="10">
        <v>45436.48910211805</v>
      </c>
      <c r="I307" s="10">
        <v>45442.7011503125</v>
      </c>
      <c r="J307" s="8">
        <v>6.0</v>
      </c>
      <c r="K307" s="11">
        <v>1702815.42</v>
      </c>
      <c r="L307" s="8" t="str">
        <f>+VLOOKUP(A307,Hoja2!$A$2:$X$2596,19,FALSE)</f>
        <v>#N/A</v>
      </c>
      <c r="M307" s="9" t="str">
        <f>+VLOOKUP(A307,Hoja2!$A$2:$X$2596,15,FALSE)</f>
        <v>#N/A</v>
      </c>
      <c r="N307" s="9" t="str">
        <f>+VLOOKUP(A307,Hoja2!$A$2:$X$2596,17,FALSE)</f>
        <v>#N/A</v>
      </c>
      <c r="O307" s="9" t="str">
        <f>+VLOOKUP(A307,Hoja2!$A$2:$X$2596,22,FALSE)</f>
        <v>#N/A</v>
      </c>
      <c r="P307" s="9" t="str">
        <f>+VLOOKUP(A307,Hoja2!$A$2:$X$2596,23,FALSE)</f>
        <v>#N/A</v>
      </c>
      <c r="Q307" s="9" t="str">
        <f>+VLOOKUP(A307,Hoja2!$A$2:$X$2596,24,FALSE)</f>
        <v>#N/A</v>
      </c>
    </row>
    <row r="308" ht="15.75" hidden="1" customHeight="1">
      <c r="A308" s="8">
        <v>2350297.0</v>
      </c>
      <c r="B308" s="8">
        <v>2350297.0</v>
      </c>
      <c r="C308" s="9" t="s">
        <v>19</v>
      </c>
      <c r="D308" s="8">
        <v>3.0</v>
      </c>
      <c r="E308" s="8">
        <v>0.0</v>
      </c>
      <c r="F308" s="8">
        <v>0.0</v>
      </c>
      <c r="G308" s="9" t="s">
        <v>21</v>
      </c>
      <c r="H308" s="10">
        <v>44265.38288839121</v>
      </c>
      <c r="I308" s="10">
        <v>44316.90996747685</v>
      </c>
      <c r="J308" s="8">
        <v>51.0</v>
      </c>
      <c r="K308" s="11">
        <v>516504.73</v>
      </c>
      <c r="L308" s="8" t="str">
        <f>+VLOOKUP(A308,Hoja2!$A$2:$X$2596,19,FALSE)</f>
        <v>#N/A</v>
      </c>
      <c r="M308" s="9" t="str">
        <f>+VLOOKUP(A308,Hoja2!$A$2:$X$2596,15,FALSE)</f>
        <v>#N/A</v>
      </c>
      <c r="N308" s="9" t="str">
        <f>+VLOOKUP(A308,Hoja2!$A$2:$X$2596,17,FALSE)</f>
        <v>#N/A</v>
      </c>
      <c r="O308" s="9" t="str">
        <f>+VLOOKUP(A308,Hoja2!$A$2:$X$2596,22,FALSE)</f>
        <v>#N/A</v>
      </c>
      <c r="P308" s="9" t="str">
        <f>+VLOOKUP(A308,Hoja2!$A$2:$X$2596,23,FALSE)</f>
        <v>#N/A</v>
      </c>
      <c r="Q308" s="9" t="str">
        <f>+VLOOKUP(A308,Hoja2!$A$2:$X$2596,24,FALSE)</f>
        <v>#N/A</v>
      </c>
    </row>
    <row r="309" ht="15.75" hidden="1" customHeight="1">
      <c r="A309" s="8">
        <v>2350297.0</v>
      </c>
      <c r="B309" s="8">
        <v>2350297.0</v>
      </c>
      <c r="C309" s="9" t="s">
        <v>19</v>
      </c>
      <c r="D309" s="8">
        <v>4.0</v>
      </c>
      <c r="E309" s="8">
        <v>0.0</v>
      </c>
      <c r="F309" s="8">
        <v>0.0</v>
      </c>
      <c r="G309" s="9" t="s">
        <v>21</v>
      </c>
      <c r="H309" s="10">
        <v>44417.72286396991</v>
      </c>
      <c r="I309" s="10">
        <v>44491.73694540509</v>
      </c>
      <c r="J309" s="8">
        <v>74.0</v>
      </c>
      <c r="K309" s="11">
        <v>516504.73</v>
      </c>
      <c r="L309" s="8" t="str">
        <f>+VLOOKUP(A309,Hoja2!$A$2:$X$2596,19,FALSE)</f>
        <v>#N/A</v>
      </c>
      <c r="M309" s="9" t="str">
        <f>+VLOOKUP(A309,Hoja2!$A$2:$X$2596,15,FALSE)</f>
        <v>#N/A</v>
      </c>
      <c r="N309" s="9" t="str">
        <f>+VLOOKUP(A309,Hoja2!$A$2:$X$2596,17,FALSE)</f>
        <v>#N/A</v>
      </c>
      <c r="O309" s="9" t="str">
        <f>+VLOOKUP(A309,Hoja2!$A$2:$X$2596,22,FALSE)</f>
        <v>#N/A</v>
      </c>
      <c r="P309" s="9" t="str">
        <f>+VLOOKUP(A309,Hoja2!$A$2:$X$2596,23,FALSE)</f>
        <v>#N/A</v>
      </c>
      <c r="Q309" s="9" t="str">
        <f>+VLOOKUP(A309,Hoja2!$A$2:$X$2596,24,FALSE)</f>
        <v>#N/A</v>
      </c>
    </row>
    <row r="310" ht="15.75" hidden="1" customHeight="1">
      <c r="A310" s="8">
        <v>2350297.0</v>
      </c>
      <c r="B310" s="8">
        <v>2350297.0</v>
      </c>
      <c r="C310" s="9" t="s">
        <v>19</v>
      </c>
      <c r="D310" s="8">
        <v>5.0</v>
      </c>
      <c r="E310" s="8">
        <v>1.0</v>
      </c>
      <c r="F310" s="8">
        <v>0.0</v>
      </c>
      <c r="G310" s="9" t="s">
        <v>18</v>
      </c>
      <c r="H310" s="10">
        <v>44730.37301261574</v>
      </c>
      <c r="I310" s="10">
        <v>44965.744746296295</v>
      </c>
      <c r="J310" s="8">
        <v>235.0</v>
      </c>
      <c r="K310" s="11">
        <v>516504.73</v>
      </c>
      <c r="L310" s="8" t="str">
        <f>+VLOOKUP(A310,Hoja2!$A$2:$X$2596,19,FALSE)</f>
        <v>#N/A</v>
      </c>
      <c r="M310" s="9" t="str">
        <f>+VLOOKUP(A310,Hoja2!$A$2:$X$2596,15,FALSE)</f>
        <v>#N/A</v>
      </c>
      <c r="N310" s="9" t="str">
        <f>+VLOOKUP(A310,Hoja2!$A$2:$X$2596,17,FALSE)</f>
        <v>#N/A</v>
      </c>
      <c r="O310" s="9" t="str">
        <f>+VLOOKUP(A310,Hoja2!$A$2:$X$2596,22,FALSE)</f>
        <v>#N/A</v>
      </c>
      <c r="P310" s="9" t="str">
        <f>+VLOOKUP(A310,Hoja2!$A$2:$X$2596,23,FALSE)</f>
        <v>#N/A</v>
      </c>
      <c r="Q310" s="9" t="str">
        <f>+VLOOKUP(A310,Hoja2!$A$2:$X$2596,24,FALSE)</f>
        <v>#N/A</v>
      </c>
    </row>
    <row r="311" ht="15.75" hidden="1" customHeight="1">
      <c r="A311" s="8">
        <v>2350297.0</v>
      </c>
      <c r="B311" s="8">
        <v>2350297.0</v>
      </c>
      <c r="C311" s="9" t="s">
        <v>19</v>
      </c>
      <c r="D311" s="8">
        <v>5.0</v>
      </c>
      <c r="E311" s="8">
        <v>3.0</v>
      </c>
      <c r="F311" s="8">
        <v>0.0</v>
      </c>
      <c r="G311" s="9" t="s">
        <v>18</v>
      </c>
      <c r="H311" s="10">
        <v>45058.75758668981</v>
      </c>
      <c r="I311" s="10">
        <v>45394.63079490741</v>
      </c>
      <c r="J311" s="8">
        <v>336.0</v>
      </c>
      <c r="K311" s="11">
        <v>516504.73</v>
      </c>
      <c r="L311" s="8" t="str">
        <f>+VLOOKUP(A311,Hoja2!$A$2:$X$2596,19,FALSE)</f>
        <v>#N/A</v>
      </c>
      <c r="M311" s="9" t="str">
        <f>+VLOOKUP(A311,Hoja2!$A$2:$X$2596,15,FALSE)</f>
        <v>#N/A</v>
      </c>
      <c r="N311" s="9" t="str">
        <f>+VLOOKUP(A311,Hoja2!$A$2:$X$2596,17,FALSE)</f>
        <v>#N/A</v>
      </c>
      <c r="O311" s="9" t="str">
        <f>+VLOOKUP(A311,Hoja2!$A$2:$X$2596,22,FALSE)</f>
        <v>#N/A</v>
      </c>
      <c r="P311" s="9" t="str">
        <f>+VLOOKUP(A311,Hoja2!$A$2:$X$2596,23,FALSE)</f>
        <v>#N/A</v>
      </c>
      <c r="Q311" s="9" t="str">
        <f>+VLOOKUP(A311,Hoja2!$A$2:$X$2596,24,FALSE)</f>
        <v>#N/A</v>
      </c>
    </row>
    <row r="312" ht="15.75" hidden="1" customHeight="1">
      <c r="A312" s="8">
        <v>2353631.0</v>
      </c>
      <c r="B312" s="8">
        <v>289225.0</v>
      </c>
      <c r="C312" s="9" t="s">
        <v>17</v>
      </c>
      <c r="D312" s="8">
        <v>4.0</v>
      </c>
      <c r="E312" s="8">
        <v>1.0</v>
      </c>
      <c r="F312" s="8">
        <v>0.0</v>
      </c>
      <c r="G312" s="9" t="s">
        <v>18</v>
      </c>
      <c r="H312" s="10">
        <v>44419.99628009259</v>
      </c>
      <c r="I312" s="10">
        <v>44515.66567152778</v>
      </c>
      <c r="J312" s="8">
        <v>96.0</v>
      </c>
      <c r="K312" s="11">
        <v>2.062133758E7</v>
      </c>
      <c r="L312" s="8" t="str">
        <f>+VLOOKUP(A312,Hoja2!$A$2:$X$2596,19,FALSE)</f>
        <v>En elaboración</v>
      </c>
      <c r="M312" s="9">
        <f>+VLOOKUP(A312,Hoja2!$A$2:$X$2596,15,FALSE)</f>
        <v>258638.15</v>
      </c>
      <c r="N312" s="9">
        <f>+VLOOKUP(A312,Hoja2!$A$2:$X$2596,17,FALSE)</f>
        <v>75582.54</v>
      </c>
      <c r="O312" s="9" t="str">
        <f>+VLOOKUP(A312,Hoja2!$A$2:$X$2596,22,FALSE)</f>
        <v/>
      </c>
      <c r="P312" s="9" t="str">
        <f>+VLOOKUP(A312,Hoja2!$A$2:$X$2596,23,FALSE)</f>
        <v/>
      </c>
      <c r="Q312" s="9" t="str">
        <f>+VLOOKUP(A312,Hoja2!$A$2:$X$2596,24,FALSE)</f>
        <v/>
      </c>
    </row>
    <row r="313" ht="15.75" hidden="1" customHeight="1">
      <c r="A313" s="8">
        <v>2353631.0</v>
      </c>
      <c r="B313" s="8">
        <v>289225.0</v>
      </c>
      <c r="C313" s="9" t="s">
        <v>17</v>
      </c>
      <c r="D313" s="8">
        <v>3.0</v>
      </c>
      <c r="E313" s="8">
        <v>0.0</v>
      </c>
      <c r="F313" s="8">
        <v>0.0</v>
      </c>
      <c r="G313" s="9" t="s">
        <v>21</v>
      </c>
      <c r="H313" s="10">
        <v>44819.73270795139</v>
      </c>
      <c r="I313" s="10">
        <v>44823.49006096065</v>
      </c>
      <c r="J313" s="8">
        <v>4.0</v>
      </c>
      <c r="K313" s="11">
        <v>2.062133758E7</v>
      </c>
      <c r="L313" s="8" t="str">
        <f>+VLOOKUP(A313,Hoja2!$A$2:$X$2596,19,FALSE)</f>
        <v>En elaboración</v>
      </c>
      <c r="M313" s="9">
        <f>+VLOOKUP(A313,Hoja2!$A$2:$X$2596,15,FALSE)</f>
        <v>258638.15</v>
      </c>
      <c r="N313" s="9">
        <f>+VLOOKUP(A313,Hoja2!$A$2:$X$2596,17,FALSE)</f>
        <v>75582.54</v>
      </c>
      <c r="O313" s="9" t="str">
        <f>+VLOOKUP(A313,Hoja2!$A$2:$X$2596,22,FALSE)</f>
        <v/>
      </c>
      <c r="P313" s="9" t="str">
        <f>+VLOOKUP(A313,Hoja2!$A$2:$X$2596,23,FALSE)</f>
        <v/>
      </c>
      <c r="Q313" s="9" t="str">
        <f>+VLOOKUP(A313,Hoja2!$A$2:$X$2596,24,FALSE)</f>
        <v/>
      </c>
    </row>
    <row r="314" ht="15.75" hidden="1" customHeight="1">
      <c r="A314" s="8">
        <v>2353631.0</v>
      </c>
      <c r="B314" s="8">
        <v>289225.0</v>
      </c>
      <c r="C314" s="9" t="s">
        <v>19</v>
      </c>
      <c r="D314" s="8">
        <v>2.0</v>
      </c>
      <c r="E314" s="8">
        <v>1.0</v>
      </c>
      <c r="F314" s="8">
        <v>0.0</v>
      </c>
      <c r="G314" s="9" t="s">
        <v>18</v>
      </c>
      <c r="H314" s="10">
        <v>45015.94190239583</v>
      </c>
      <c r="I314" s="10">
        <v>45089.697128900465</v>
      </c>
      <c r="J314" s="8">
        <v>74.0</v>
      </c>
      <c r="K314" s="11">
        <v>2.062133758E7</v>
      </c>
      <c r="L314" s="8" t="str">
        <f>+VLOOKUP(A314,Hoja2!$A$2:$X$2596,19,FALSE)</f>
        <v>En elaboración</v>
      </c>
      <c r="M314" s="9">
        <f>+VLOOKUP(A314,Hoja2!$A$2:$X$2596,15,FALSE)</f>
        <v>258638.15</v>
      </c>
      <c r="N314" s="9">
        <f>+VLOOKUP(A314,Hoja2!$A$2:$X$2596,17,FALSE)</f>
        <v>75582.54</v>
      </c>
      <c r="O314" s="9" t="str">
        <f>+VLOOKUP(A314,Hoja2!$A$2:$X$2596,22,FALSE)</f>
        <v/>
      </c>
      <c r="P314" s="9" t="str">
        <f>+VLOOKUP(A314,Hoja2!$A$2:$X$2596,23,FALSE)</f>
        <v/>
      </c>
      <c r="Q314" s="9" t="str">
        <f>+VLOOKUP(A314,Hoja2!$A$2:$X$2596,24,FALSE)</f>
        <v/>
      </c>
    </row>
    <row r="315" ht="15.75" hidden="1" customHeight="1">
      <c r="A315" s="8">
        <v>2354710.0</v>
      </c>
      <c r="B315" s="8">
        <v>2354710.0</v>
      </c>
      <c r="C315" s="9" t="s">
        <v>17</v>
      </c>
      <c r="D315" s="8">
        <v>3.0</v>
      </c>
      <c r="E315" s="8">
        <v>0.0</v>
      </c>
      <c r="F315" s="8">
        <v>0.0</v>
      </c>
      <c r="G315" s="9" t="s">
        <v>21</v>
      </c>
      <c r="H315" s="10">
        <v>44418.66748827546</v>
      </c>
      <c r="I315" s="10">
        <v>44424.47711446759</v>
      </c>
      <c r="J315" s="8">
        <v>6.0</v>
      </c>
      <c r="K315" s="11">
        <v>3.092246214E7</v>
      </c>
      <c r="L315" s="8" t="str">
        <f>+VLOOKUP(A315,Hoja2!$A$2:$X$2596,19,FALSE)</f>
        <v>#N/A</v>
      </c>
      <c r="M315" s="9" t="str">
        <f>+VLOOKUP(A315,Hoja2!$A$2:$X$2596,15,FALSE)</f>
        <v>#N/A</v>
      </c>
      <c r="N315" s="9" t="str">
        <f>+VLOOKUP(A315,Hoja2!$A$2:$X$2596,17,FALSE)</f>
        <v>#N/A</v>
      </c>
      <c r="O315" s="9" t="str">
        <f>+VLOOKUP(A315,Hoja2!$A$2:$X$2596,22,FALSE)</f>
        <v>#N/A</v>
      </c>
      <c r="P315" s="9" t="str">
        <f>+VLOOKUP(A315,Hoja2!$A$2:$X$2596,23,FALSE)</f>
        <v>#N/A</v>
      </c>
      <c r="Q315" s="9" t="str">
        <f>+VLOOKUP(A315,Hoja2!$A$2:$X$2596,24,FALSE)</f>
        <v>#N/A</v>
      </c>
    </row>
    <row r="316" ht="15.75" hidden="1" customHeight="1">
      <c r="A316" s="8">
        <v>2354710.0</v>
      </c>
      <c r="B316" s="8">
        <v>2354710.0</v>
      </c>
      <c r="C316" s="9" t="s">
        <v>19</v>
      </c>
      <c r="D316" s="8">
        <v>5.0</v>
      </c>
      <c r="E316" s="8">
        <v>0.0</v>
      </c>
      <c r="F316" s="8">
        <v>0.0</v>
      </c>
      <c r="G316" s="9" t="s">
        <v>21</v>
      </c>
      <c r="H316" s="10">
        <v>44560.452571875</v>
      </c>
      <c r="I316" s="10">
        <v>44636.35826709491</v>
      </c>
      <c r="J316" s="8">
        <v>76.0</v>
      </c>
      <c r="K316" s="11">
        <v>3.092246214E7</v>
      </c>
      <c r="L316" s="8" t="str">
        <f>+VLOOKUP(A316,Hoja2!$A$2:$X$2596,19,FALSE)</f>
        <v>#N/A</v>
      </c>
      <c r="M316" s="9" t="str">
        <f>+VLOOKUP(A316,Hoja2!$A$2:$X$2596,15,FALSE)</f>
        <v>#N/A</v>
      </c>
      <c r="N316" s="9" t="str">
        <f>+VLOOKUP(A316,Hoja2!$A$2:$X$2596,17,FALSE)</f>
        <v>#N/A</v>
      </c>
      <c r="O316" s="9" t="str">
        <f>+VLOOKUP(A316,Hoja2!$A$2:$X$2596,22,FALSE)</f>
        <v>#N/A</v>
      </c>
      <c r="P316" s="9" t="str">
        <f>+VLOOKUP(A316,Hoja2!$A$2:$X$2596,23,FALSE)</f>
        <v>#N/A</v>
      </c>
      <c r="Q316" s="9" t="str">
        <f>+VLOOKUP(A316,Hoja2!$A$2:$X$2596,24,FALSE)</f>
        <v>#N/A</v>
      </c>
    </row>
    <row r="317" ht="15.75" hidden="1" customHeight="1">
      <c r="A317" s="8">
        <v>2354710.0</v>
      </c>
      <c r="B317" s="8">
        <v>2354710.0</v>
      </c>
      <c r="C317" s="9" t="s">
        <v>17</v>
      </c>
      <c r="D317" s="8">
        <v>3.0</v>
      </c>
      <c r="E317" s="8">
        <v>0.0</v>
      </c>
      <c r="F317" s="8">
        <v>0.0</v>
      </c>
      <c r="G317" s="9" t="s">
        <v>21</v>
      </c>
      <c r="H317" s="10">
        <v>44652.44285709491</v>
      </c>
      <c r="I317" s="10">
        <v>44664.35252951389</v>
      </c>
      <c r="J317" s="8">
        <v>12.0</v>
      </c>
      <c r="K317" s="11">
        <v>3.092246214E7</v>
      </c>
      <c r="L317" s="8" t="str">
        <f>+VLOOKUP(A317,Hoja2!$A$2:$X$2596,19,FALSE)</f>
        <v>#N/A</v>
      </c>
      <c r="M317" s="9" t="str">
        <f>+VLOOKUP(A317,Hoja2!$A$2:$X$2596,15,FALSE)</f>
        <v>#N/A</v>
      </c>
      <c r="N317" s="9" t="str">
        <f>+VLOOKUP(A317,Hoja2!$A$2:$X$2596,17,FALSE)</f>
        <v>#N/A</v>
      </c>
      <c r="O317" s="9" t="str">
        <f>+VLOOKUP(A317,Hoja2!$A$2:$X$2596,22,FALSE)</f>
        <v>#N/A</v>
      </c>
      <c r="P317" s="9" t="str">
        <f>+VLOOKUP(A317,Hoja2!$A$2:$X$2596,23,FALSE)</f>
        <v>#N/A</v>
      </c>
      <c r="Q317" s="9" t="str">
        <f>+VLOOKUP(A317,Hoja2!$A$2:$X$2596,24,FALSE)</f>
        <v>#N/A</v>
      </c>
    </row>
    <row r="318" ht="15.75" hidden="1" customHeight="1">
      <c r="A318" s="8">
        <v>2374761.0</v>
      </c>
      <c r="B318" s="8">
        <v>2374761.0</v>
      </c>
      <c r="C318" s="9" t="s">
        <v>17</v>
      </c>
      <c r="D318" s="8">
        <v>4.0</v>
      </c>
      <c r="E318" s="8">
        <v>2.0</v>
      </c>
      <c r="F318" s="8">
        <v>0.0</v>
      </c>
      <c r="G318" s="9" t="s">
        <v>18</v>
      </c>
      <c r="H318" s="10">
        <v>44445.80640609954</v>
      </c>
      <c r="I318" s="10">
        <v>44571.912765127316</v>
      </c>
      <c r="J318" s="8">
        <v>126.0</v>
      </c>
      <c r="K318" s="11">
        <v>5.642709E7</v>
      </c>
      <c r="L318" s="8" t="str">
        <f>+VLOOKUP(A318,Hoja2!$A$2:$X$2596,19,FALSE)</f>
        <v>#N/A</v>
      </c>
      <c r="M318" s="9" t="str">
        <f>+VLOOKUP(A318,Hoja2!$A$2:$X$2596,15,FALSE)</f>
        <v>#N/A</v>
      </c>
      <c r="N318" s="9" t="str">
        <f>+VLOOKUP(A318,Hoja2!$A$2:$X$2596,17,FALSE)</f>
        <v>#N/A</v>
      </c>
      <c r="O318" s="9" t="str">
        <f>+VLOOKUP(A318,Hoja2!$A$2:$X$2596,22,FALSE)</f>
        <v>#N/A</v>
      </c>
      <c r="P318" s="9" t="str">
        <f>+VLOOKUP(A318,Hoja2!$A$2:$X$2596,23,FALSE)</f>
        <v>#N/A</v>
      </c>
      <c r="Q318" s="9" t="str">
        <f>+VLOOKUP(A318,Hoja2!$A$2:$X$2596,24,FALSE)</f>
        <v>#N/A</v>
      </c>
    </row>
    <row r="319" ht="15.75" hidden="1" customHeight="1">
      <c r="A319" s="8">
        <v>2374761.0</v>
      </c>
      <c r="B319" s="8">
        <v>2374761.0</v>
      </c>
      <c r="C319" s="9" t="s">
        <v>17</v>
      </c>
      <c r="D319" s="8">
        <v>4.0</v>
      </c>
      <c r="E319" s="8">
        <v>0.0</v>
      </c>
      <c r="F319" s="8">
        <v>0.0</v>
      </c>
      <c r="G319" s="9" t="s">
        <v>21</v>
      </c>
      <c r="H319" s="10">
        <v>44610.3085440625</v>
      </c>
      <c r="I319" s="10">
        <v>44628.67185821759</v>
      </c>
      <c r="J319" s="8">
        <v>18.0</v>
      </c>
      <c r="K319" s="11">
        <v>5.642709E7</v>
      </c>
      <c r="L319" s="8" t="str">
        <f>+VLOOKUP(A319,Hoja2!$A$2:$X$2596,19,FALSE)</f>
        <v>#N/A</v>
      </c>
      <c r="M319" s="9" t="str">
        <f>+VLOOKUP(A319,Hoja2!$A$2:$X$2596,15,FALSE)</f>
        <v>#N/A</v>
      </c>
      <c r="N319" s="9" t="str">
        <f>+VLOOKUP(A319,Hoja2!$A$2:$X$2596,17,FALSE)</f>
        <v>#N/A</v>
      </c>
      <c r="O319" s="9" t="str">
        <f>+VLOOKUP(A319,Hoja2!$A$2:$X$2596,22,FALSE)</f>
        <v>#N/A</v>
      </c>
      <c r="P319" s="9" t="str">
        <f>+VLOOKUP(A319,Hoja2!$A$2:$X$2596,23,FALSE)</f>
        <v>#N/A</v>
      </c>
      <c r="Q319" s="9" t="str">
        <f>+VLOOKUP(A319,Hoja2!$A$2:$X$2596,24,FALSE)</f>
        <v>#N/A</v>
      </c>
    </row>
    <row r="320" ht="15.75" hidden="1" customHeight="1">
      <c r="A320" s="8">
        <v>2374761.0</v>
      </c>
      <c r="B320" s="8">
        <v>2374761.0</v>
      </c>
      <c r="C320" s="9" t="s">
        <v>17</v>
      </c>
      <c r="D320" s="8">
        <v>3.0</v>
      </c>
      <c r="E320" s="8">
        <v>0.0</v>
      </c>
      <c r="F320" s="8">
        <v>0.0</v>
      </c>
      <c r="G320" s="9" t="s">
        <v>21</v>
      </c>
      <c r="H320" s="10">
        <v>44717.47753275463</v>
      </c>
      <c r="I320" s="10">
        <v>44726.72500486111</v>
      </c>
      <c r="J320" s="8">
        <v>9.0</v>
      </c>
      <c r="K320" s="11">
        <v>5.642709E7</v>
      </c>
      <c r="L320" s="8" t="str">
        <f>+VLOOKUP(A320,Hoja2!$A$2:$X$2596,19,FALSE)</f>
        <v>#N/A</v>
      </c>
      <c r="M320" s="9" t="str">
        <f>+VLOOKUP(A320,Hoja2!$A$2:$X$2596,15,FALSE)</f>
        <v>#N/A</v>
      </c>
      <c r="N320" s="9" t="str">
        <f>+VLOOKUP(A320,Hoja2!$A$2:$X$2596,17,FALSE)</f>
        <v>#N/A</v>
      </c>
      <c r="O320" s="9" t="str">
        <f>+VLOOKUP(A320,Hoja2!$A$2:$X$2596,22,FALSE)</f>
        <v>#N/A</v>
      </c>
      <c r="P320" s="9" t="str">
        <f>+VLOOKUP(A320,Hoja2!$A$2:$X$2596,23,FALSE)</f>
        <v>#N/A</v>
      </c>
      <c r="Q320" s="9" t="str">
        <f>+VLOOKUP(A320,Hoja2!$A$2:$X$2596,24,FALSE)</f>
        <v>#N/A</v>
      </c>
    </row>
    <row r="321" ht="15.75" hidden="1" customHeight="1">
      <c r="A321" s="8">
        <v>2374761.0</v>
      </c>
      <c r="B321" s="8">
        <v>2374761.0</v>
      </c>
      <c r="C321" s="9" t="s">
        <v>17</v>
      </c>
      <c r="D321" s="8">
        <v>3.0</v>
      </c>
      <c r="E321" s="8">
        <v>0.0</v>
      </c>
      <c r="F321" s="8">
        <v>0.0</v>
      </c>
      <c r="G321" s="9" t="s">
        <v>21</v>
      </c>
      <c r="H321" s="10">
        <v>44792.70796940972</v>
      </c>
      <c r="I321" s="10">
        <v>44804.684826006946</v>
      </c>
      <c r="J321" s="8">
        <v>12.0</v>
      </c>
      <c r="K321" s="11">
        <v>5.642709E7</v>
      </c>
      <c r="L321" s="8" t="str">
        <f>+VLOOKUP(A321,Hoja2!$A$2:$X$2596,19,FALSE)</f>
        <v>#N/A</v>
      </c>
      <c r="M321" s="9" t="str">
        <f>+VLOOKUP(A321,Hoja2!$A$2:$X$2596,15,FALSE)</f>
        <v>#N/A</v>
      </c>
      <c r="N321" s="9" t="str">
        <f>+VLOOKUP(A321,Hoja2!$A$2:$X$2596,17,FALSE)</f>
        <v>#N/A</v>
      </c>
      <c r="O321" s="9" t="str">
        <f>+VLOOKUP(A321,Hoja2!$A$2:$X$2596,22,FALSE)</f>
        <v>#N/A</v>
      </c>
      <c r="P321" s="9" t="str">
        <f>+VLOOKUP(A321,Hoja2!$A$2:$X$2596,23,FALSE)</f>
        <v>#N/A</v>
      </c>
      <c r="Q321" s="9" t="str">
        <f>+VLOOKUP(A321,Hoja2!$A$2:$X$2596,24,FALSE)</f>
        <v>#N/A</v>
      </c>
    </row>
    <row r="322" ht="15.75" hidden="1" customHeight="1">
      <c r="A322" s="8">
        <v>2374761.0</v>
      </c>
      <c r="B322" s="8">
        <v>2374761.0</v>
      </c>
      <c r="C322" s="9" t="s">
        <v>17</v>
      </c>
      <c r="D322" s="8">
        <v>3.0</v>
      </c>
      <c r="E322" s="8">
        <v>0.0</v>
      </c>
      <c r="F322" s="8">
        <v>0.0</v>
      </c>
      <c r="G322" s="9" t="s">
        <v>21</v>
      </c>
      <c r="H322" s="10">
        <v>44899.46514255787</v>
      </c>
      <c r="I322" s="10">
        <v>44901.416265196756</v>
      </c>
      <c r="J322" s="8">
        <v>2.0</v>
      </c>
      <c r="K322" s="11">
        <v>5.642709E7</v>
      </c>
      <c r="L322" s="8" t="str">
        <f>+VLOOKUP(A322,Hoja2!$A$2:$X$2596,19,FALSE)</f>
        <v>#N/A</v>
      </c>
      <c r="M322" s="9" t="str">
        <f>+VLOOKUP(A322,Hoja2!$A$2:$X$2596,15,FALSE)</f>
        <v>#N/A</v>
      </c>
      <c r="N322" s="9" t="str">
        <f>+VLOOKUP(A322,Hoja2!$A$2:$X$2596,17,FALSE)</f>
        <v>#N/A</v>
      </c>
      <c r="O322" s="9" t="str">
        <f>+VLOOKUP(A322,Hoja2!$A$2:$X$2596,22,FALSE)</f>
        <v>#N/A</v>
      </c>
      <c r="P322" s="9" t="str">
        <f>+VLOOKUP(A322,Hoja2!$A$2:$X$2596,23,FALSE)</f>
        <v>#N/A</v>
      </c>
      <c r="Q322" s="9" t="str">
        <f>+VLOOKUP(A322,Hoja2!$A$2:$X$2596,24,FALSE)</f>
        <v>#N/A</v>
      </c>
    </row>
    <row r="323" ht="15.75" hidden="1" customHeight="1">
      <c r="A323" s="8">
        <v>2380882.0</v>
      </c>
      <c r="B323" s="8">
        <v>2380882.0</v>
      </c>
      <c r="C323" s="9" t="s">
        <v>19</v>
      </c>
      <c r="D323" s="8">
        <v>3.0</v>
      </c>
      <c r="E323" s="8">
        <v>0.0</v>
      </c>
      <c r="F323" s="8">
        <v>0.0</v>
      </c>
      <c r="G323" s="9" t="s">
        <v>21</v>
      </c>
      <c r="H323" s="10">
        <v>44203.36843209491</v>
      </c>
      <c r="I323" s="10">
        <v>44216.65257665509</v>
      </c>
      <c r="J323" s="8">
        <v>13.0</v>
      </c>
      <c r="K323" s="11">
        <v>5.563187556E7</v>
      </c>
      <c r="L323" s="8" t="str">
        <f>+VLOOKUP(A323,Hoja2!$A$2:$X$2596,19,FALSE)</f>
        <v>En elaboración</v>
      </c>
      <c r="M323" s="9">
        <f>+VLOOKUP(A323,Hoja2!$A$2:$X$2596,15,FALSE)</f>
        <v>449000</v>
      </c>
      <c r="N323" s="9">
        <f>+VLOOKUP(A323,Hoja2!$A$2:$X$2596,17,FALSE)</f>
        <v>110417</v>
      </c>
      <c r="O323" s="9" t="str">
        <f>+VLOOKUP(A323,Hoja2!$A$2:$X$2596,22,FALSE)</f>
        <v/>
      </c>
      <c r="P323" s="9" t="str">
        <f>+VLOOKUP(A323,Hoja2!$A$2:$X$2596,23,FALSE)</f>
        <v/>
      </c>
      <c r="Q323" s="9" t="str">
        <f>+VLOOKUP(A323,Hoja2!$A$2:$X$2596,24,FALSE)</f>
        <v/>
      </c>
    </row>
    <row r="324" ht="15.75" hidden="1" customHeight="1">
      <c r="A324" s="8">
        <v>2380882.0</v>
      </c>
      <c r="B324" s="8">
        <v>2380882.0</v>
      </c>
      <c r="C324" s="9" t="s">
        <v>17</v>
      </c>
      <c r="D324" s="8">
        <v>3.0</v>
      </c>
      <c r="E324" s="8">
        <v>0.0</v>
      </c>
      <c r="F324" s="8">
        <v>0.0</v>
      </c>
      <c r="G324" s="9" t="s">
        <v>21</v>
      </c>
      <c r="H324" s="10">
        <v>45005.514750925926</v>
      </c>
      <c r="I324" s="10">
        <v>45005.592209525465</v>
      </c>
      <c r="J324" s="8">
        <v>0.0</v>
      </c>
      <c r="K324" s="11">
        <v>5.563187556E7</v>
      </c>
      <c r="L324" s="8" t="str">
        <f>+VLOOKUP(A324,Hoja2!$A$2:$X$2596,19,FALSE)</f>
        <v>En elaboración</v>
      </c>
      <c r="M324" s="9">
        <f>+VLOOKUP(A324,Hoja2!$A$2:$X$2596,15,FALSE)</f>
        <v>449000</v>
      </c>
      <c r="N324" s="9">
        <f>+VLOOKUP(A324,Hoja2!$A$2:$X$2596,17,FALSE)</f>
        <v>110417</v>
      </c>
      <c r="O324" s="9" t="str">
        <f>+VLOOKUP(A324,Hoja2!$A$2:$X$2596,22,FALSE)</f>
        <v/>
      </c>
      <c r="P324" s="9" t="str">
        <f>+VLOOKUP(A324,Hoja2!$A$2:$X$2596,23,FALSE)</f>
        <v/>
      </c>
      <c r="Q324" s="9" t="str">
        <f>+VLOOKUP(A324,Hoja2!$A$2:$X$2596,24,FALSE)</f>
        <v/>
      </c>
    </row>
    <row r="325" ht="15.75" hidden="1" customHeight="1">
      <c r="A325" s="8">
        <v>2380882.0</v>
      </c>
      <c r="B325" s="8">
        <v>2380882.0</v>
      </c>
      <c r="C325" s="9" t="s">
        <v>19</v>
      </c>
      <c r="D325" s="8">
        <v>5.0</v>
      </c>
      <c r="E325" s="8">
        <v>2.0</v>
      </c>
      <c r="F325" s="8">
        <v>0.0</v>
      </c>
      <c r="G325" s="9" t="s">
        <v>18</v>
      </c>
      <c r="H325" s="10">
        <v>45083.38357615741</v>
      </c>
      <c r="I325" s="10">
        <v>45238.6911559838</v>
      </c>
      <c r="J325" s="8">
        <v>155.0</v>
      </c>
      <c r="K325" s="11">
        <v>5.563187556E7</v>
      </c>
      <c r="L325" s="8" t="str">
        <f>+VLOOKUP(A325,Hoja2!$A$2:$X$2596,19,FALSE)</f>
        <v>En elaboración</v>
      </c>
      <c r="M325" s="9">
        <f>+VLOOKUP(A325,Hoja2!$A$2:$X$2596,15,FALSE)</f>
        <v>449000</v>
      </c>
      <c r="N325" s="9">
        <f>+VLOOKUP(A325,Hoja2!$A$2:$X$2596,17,FALSE)</f>
        <v>110417</v>
      </c>
      <c r="O325" s="9" t="str">
        <f>+VLOOKUP(A325,Hoja2!$A$2:$X$2596,22,FALSE)</f>
        <v/>
      </c>
      <c r="P325" s="9" t="str">
        <f>+VLOOKUP(A325,Hoja2!$A$2:$X$2596,23,FALSE)</f>
        <v/>
      </c>
      <c r="Q325" s="9" t="str">
        <f>+VLOOKUP(A325,Hoja2!$A$2:$X$2596,24,FALSE)</f>
        <v/>
      </c>
    </row>
    <row r="326" ht="15.75" hidden="1" customHeight="1">
      <c r="A326" s="8">
        <v>2380882.0</v>
      </c>
      <c r="B326" s="8">
        <v>2380882.0</v>
      </c>
      <c r="C326" s="9" t="s">
        <v>17</v>
      </c>
      <c r="D326" s="8">
        <v>2.0</v>
      </c>
      <c r="E326" s="8">
        <v>0.0</v>
      </c>
      <c r="F326" s="8">
        <v>0.0</v>
      </c>
      <c r="G326" s="9" t="s">
        <v>21</v>
      </c>
      <c r="H326" s="10">
        <v>45254.68692395833</v>
      </c>
      <c r="I326" s="10">
        <v>45254.69146693287</v>
      </c>
      <c r="J326" s="8">
        <v>0.0</v>
      </c>
      <c r="K326" s="11">
        <v>5.563187556E7</v>
      </c>
      <c r="L326" s="8" t="str">
        <f>+VLOOKUP(A326,Hoja2!$A$2:$X$2596,19,FALSE)</f>
        <v>En elaboración</v>
      </c>
      <c r="M326" s="9">
        <f>+VLOOKUP(A326,Hoja2!$A$2:$X$2596,15,FALSE)</f>
        <v>449000</v>
      </c>
      <c r="N326" s="9">
        <f>+VLOOKUP(A326,Hoja2!$A$2:$X$2596,17,FALSE)</f>
        <v>110417</v>
      </c>
      <c r="O326" s="9" t="str">
        <f>+VLOOKUP(A326,Hoja2!$A$2:$X$2596,22,FALSE)</f>
        <v/>
      </c>
      <c r="P326" s="9" t="str">
        <f>+VLOOKUP(A326,Hoja2!$A$2:$X$2596,23,FALSE)</f>
        <v/>
      </c>
      <c r="Q326" s="9" t="str">
        <f>+VLOOKUP(A326,Hoja2!$A$2:$X$2596,24,FALSE)</f>
        <v/>
      </c>
    </row>
    <row r="327" ht="15.75" hidden="1" customHeight="1">
      <c r="A327" s="8">
        <v>2382182.0</v>
      </c>
      <c r="B327" s="8">
        <v>2382182.0</v>
      </c>
      <c r="C327" s="9" t="s">
        <v>19</v>
      </c>
      <c r="D327" s="8">
        <v>5.0</v>
      </c>
      <c r="E327" s="8">
        <v>0.0</v>
      </c>
      <c r="F327" s="8">
        <v>0.0</v>
      </c>
      <c r="G327" s="9" t="s">
        <v>21</v>
      </c>
      <c r="H327" s="10">
        <v>45152.71124556713</v>
      </c>
      <c r="I327" s="10">
        <v>45243.67881226852</v>
      </c>
      <c r="J327" s="8">
        <v>91.0</v>
      </c>
      <c r="K327" s="11">
        <v>1.42511795E7</v>
      </c>
      <c r="L327" s="8" t="str">
        <f>+VLOOKUP(A327,Hoja2!$A$2:$X$2596,19,FALSE)</f>
        <v>#N/A</v>
      </c>
      <c r="M327" s="9" t="str">
        <f>+VLOOKUP(A327,Hoja2!$A$2:$X$2596,15,FALSE)</f>
        <v>#N/A</v>
      </c>
      <c r="N327" s="9" t="str">
        <f>+VLOOKUP(A327,Hoja2!$A$2:$X$2596,17,FALSE)</f>
        <v>#N/A</v>
      </c>
      <c r="O327" s="9" t="str">
        <f>+VLOOKUP(A327,Hoja2!$A$2:$X$2596,22,FALSE)</f>
        <v>#N/A</v>
      </c>
      <c r="P327" s="9" t="str">
        <f>+VLOOKUP(A327,Hoja2!$A$2:$X$2596,23,FALSE)</f>
        <v>#N/A</v>
      </c>
      <c r="Q327" s="9" t="str">
        <f>+VLOOKUP(A327,Hoja2!$A$2:$X$2596,24,FALSE)</f>
        <v>#N/A</v>
      </c>
    </row>
    <row r="328" ht="15.75" hidden="1" customHeight="1">
      <c r="A328" s="8">
        <v>2382627.0</v>
      </c>
      <c r="B328" s="8">
        <v>2382627.0</v>
      </c>
      <c r="C328" s="9" t="s">
        <v>17</v>
      </c>
      <c r="D328" s="8">
        <v>3.0</v>
      </c>
      <c r="E328" s="8">
        <v>0.0</v>
      </c>
      <c r="F328" s="8">
        <v>0.0</v>
      </c>
      <c r="G328" s="9" t="s">
        <v>21</v>
      </c>
      <c r="H328" s="10">
        <v>44517.20668645833</v>
      </c>
      <c r="I328" s="10">
        <v>44523.69465416667</v>
      </c>
      <c r="J328" s="8">
        <v>6.0</v>
      </c>
      <c r="K328" s="11">
        <v>1.170139828E7</v>
      </c>
      <c r="L328" s="8" t="str">
        <f>+VLOOKUP(A328,Hoja2!$A$2:$X$2596,19,FALSE)</f>
        <v>#N/A</v>
      </c>
      <c r="M328" s="9" t="str">
        <f>+VLOOKUP(A328,Hoja2!$A$2:$X$2596,15,FALSE)</f>
        <v>#N/A</v>
      </c>
      <c r="N328" s="9" t="str">
        <f>+VLOOKUP(A328,Hoja2!$A$2:$X$2596,17,FALSE)</f>
        <v>#N/A</v>
      </c>
      <c r="O328" s="9" t="str">
        <f>+VLOOKUP(A328,Hoja2!$A$2:$X$2596,22,FALSE)</f>
        <v>#N/A</v>
      </c>
      <c r="P328" s="9" t="str">
        <f>+VLOOKUP(A328,Hoja2!$A$2:$X$2596,23,FALSE)</f>
        <v>#N/A</v>
      </c>
      <c r="Q328" s="9" t="str">
        <f>+VLOOKUP(A328,Hoja2!$A$2:$X$2596,24,FALSE)</f>
        <v>#N/A</v>
      </c>
    </row>
    <row r="329" ht="15.75" hidden="1" customHeight="1">
      <c r="A329" s="8">
        <v>2382627.0</v>
      </c>
      <c r="B329" s="8">
        <v>2382627.0</v>
      </c>
      <c r="C329" s="9" t="s">
        <v>17</v>
      </c>
      <c r="D329" s="8">
        <v>2.0</v>
      </c>
      <c r="E329" s="8">
        <v>0.0</v>
      </c>
      <c r="F329" s="8">
        <v>0.0</v>
      </c>
      <c r="G329" s="9" t="s">
        <v>21</v>
      </c>
      <c r="H329" s="10">
        <v>44895.433877662035</v>
      </c>
      <c r="I329" s="10">
        <v>44901.664819178244</v>
      </c>
      <c r="J329" s="8">
        <v>6.0</v>
      </c>
      <c r="K329" s="11">
        <v>1.170139828E7</v>
      </c>
      <c r="L329" s="8" t="str">
        <f>+VLOOKUP(A329,Hoja2!$A$2:$X$2596,19,FALSE)</f>
        <v>#N/A</v>
      </c>
      <c r="M329" s="9" t="str">
        <f>+VLOOKUP(A329,Hoja2!$A$2:$X$2596,15,FALSE)</f>
        <v>#N/A</v>
      </c>
      <c r="N329" s="9" t="str">
        <f>+VLOOKUP(A329,Hoja2!$A$2:$X$2596,17,FALSE)</f>
        <v>#N/A</v>
      </c>
      <c r="O329" s="9" t="str">
        <f>+VLOOKUP(A329,Hoja2!$A$2:$X$2596,22,FALSE)</f>
        <v>#N/A</v>
      </c>
      <c r="P329" s="9" t="str">
        <f>+VLOOKUP(A329,Hoja2!$A$2:$X$2596,23,FALSE)</f>
        <v>#N/A</v>
      </c>
      <c r="Q329" s="9" t="str">
        <f>+VLOOKUP(A329,Hoja2!$A$2:$X$2596,24,FALSE)</f>
        <v>#N/A</v>
      </c>
    </row>
    <row r="330" ht="15.75" hidden="1" customHeight="1">
      <c r="A330" s="8">
        <v>2382627.0</v>
      </c>
      <c r="B330" s="8">
        <v>2382627.0</v>
      </c>
      <c r="C330" s="9" t="s">
        <v>17</v>
      </c>
      <c r="D330" s="8">
        <v>3.0</v>
      </c>
      <c r="E330" s="8">
        <v>0.0</v>
      </c>
      <c r="F330" s="8">
        <v>0.0</v>
      </c>
      <c r="G330" s="9" t="s">
        <v>21</v>
      </c>
      <c r="H330" s="10">
        <v>44992.45012832176</v>
      </c>
      <c r="I330" s="10">
        <v>44999.38869591435</v>
      </c>
      <c r="J330" s="8">
        <v>7.0</v>
      </c>
      <c r="K330" s="11">
        <v>1.170139828E7</v>
      </c>
      <c r="L330" s="8" t="str">
        <f>+VLOOKUP(A330,Hoja2!$A$2:$X$2596,19,FALSE)</f>
        <v>#N/A</v>
      </c>
      <c r="M330" s="9" t="str">
        <f>+VLOOKUP(A330,Hoja2!$A$2:$X$2596,15,FALSE)</f>
        <v>#N/A</v>
      </c>
      <c r="N330" s="9" t="str">
        <f>+VLOOKUP(A330,Hoja2!$A$2:$X$2596,17,FALSE)</f>
        <v>#N/A</v>
      </c>
      <c r="O330" s="9" t="str">
        <f>+VLOOKUP(A330,Hoja2!$A$2:$X$2596,22,FALSE)</f>
        <v>#N/A</v>
      </c>
      <c r="P330" s="9" t="str">
        <f>+VLOOKUP(A330,Hoja2!$A$2:$X$2596,23,FALSE)</f>
        <v>#N/A</v>
      </c>
      <c r="Q330" s="9" t="str">
        <f>+VLOOKUP(A330,Hoja2!$A$2:$X$2596,24,FALSE)</f>
        <v>#N/A</v>
      </c>
    </row>
    <row r="331" ht="15.75" hidden="1" customHeight="1">
      <c r="A331" s="8">
        <v>2382627.0</v>
      </c>
      <c r="B331" s="8">
        <v>2382627.0</v>
      </c>
      <c r="C331" s="9" t="s">
        <v>17</v>
      </c>
      <c r="D331" s="8">
        <v>5.0</v>
      </c>
      <c r="E331" s="8">
        <v>0.0</v>
      </c>
      <c r="F331" s="8">
        <v>0.0</v>
      </c>
      <c r="G331" s="9" t="s">
        <v>21</v>
      </c>
      <c r="H331" s="10">
        <v>45043.611374803244</v>
      </c>
      <c r="I331" s="10">
        <v>45091.519742094904</v>
      </c>
      <c r="J331" s="8">
        <v>48.0</v>
      </c>
      <c r="K331" s="11">
        <v>1.170139828E7</v>
      </c>
      <c r="L331" s="8" t="str">
        <f>+VLOOKUP(A331,Hoja2!$A$2:$X$2596,19,FALSE)</f>
        <v>#N/A</v>
      </c>
      <c r="M331" s="9" t="str">
        <f>+VLOOKUP(A331,Hoja2!$A$2:$X$2596,15,FALSE)</f>
        <v>#N/A</v>
      </c>
      <c r="N331" s="9" t="str">
        <f>+VLOOKUP(A331,Hoja2!$A$2:$X$2596,17,FALSE)</f>
        <v>#N/A</v>
      </c>
      <c r="O331" s="9" t="str">
        <f>+VLOOKUP(A331,Hoja2!$A$2:$X$2596,22,FALSE)</f>
        <v>#N/A</v>
      </c>
      <c r="P331" s="9" t="str">
        <f>+VLOOKUP(A331,Hoja2!$A$2:$X$2596,23,FALSE)</f>
        <v>#N/A</v>
      </c>
      <c r="Q331" s="9" t="str">
        <f>+VLOOKUP(A331,Hoja2!$A$2:$X$2596,24,FALSE)</f>
        <v>#N/A</v>
      </c>
    </row>
    <row r="332" ht="15.75" hidden="1" customHeight="1">
      <c r="A332" s="8">
        <v>2382627.0</v>
      </c>
      <c r="B332" s="8">
        <v>2382627.0</v>
      </c>
      <c r="C332" s="9" t="s">
        <v>19</v>
      </c>
      <c r="D332" s="8">
        <v>4.0</v>
      </c>
      <c r="E332" s="8">
        <v>1.0</v>
      </c>
      <c r="F332" s="8">
        <v>0.0</v>
      </c>
      <c r="G332" s="9" t="s">
        <v>18</v>
      </c>
      <c r="H332" s="10">
        <v>45191.71757476852</v>
      </c>
      <c r="I332" s="10">
        <v>45244.53350755787</v>
      </c>
      <c r="J332" s="8">
        <v>53.0</v>
      </c>
      <c r="K332" s="11">
        <v>1.170139828E7</v>
      </c>
      <c r="L332" s="8" t="str">
        <f>+VLOOKUP(A332,Hoja2!$A$2:$X$2596,19,FALSE)</f>
        <v>#N/A</v>
      </c>
      <c r="M332" s="9" t="str">
        <f>+VLOOKUP(A332,Hoja2!$A$2:$X$2596,15,FALSE)</f>
        <v>#N/A</v>
      </c>
      <c r="N332" s="9" t="str">
        <f>+VLOOKUP(A332,Hoja2!$A$2:$X$2596,17,FALSE)</f>
        <v>#N/A</v>
      </c>
      <c r="O332" s="9" t="str">
        <f>+VLOOKUP(A332,Hoja2!$A$2:$X$2596,22,FALSE)</f>
        <v>#N/A</v>
      </c>
      <c r="P332" s="9" t="str">
        <f>+VLOOKUP(A332,Hoja2!$A$2:$X$2596,23,FALSE)</f>
        <v>#N/A</v>
      </c>
      <c r="Q332" s="9" t="str">
        <f>+VLOOKUP(A332,Hoja2!$A$2:$X$2596,24,FALSE)</f>
        <v>#N/A</v>
      </c>
    </row>
    <row r="333" ht="15.75" hidden="1" customHeight="1">
      <c r="A333" s="8">
        <v>2382627.0</v>
      </c>
      <c r="B333" s="8">
        <v>2382627.0</v>
      </c>
      <c r="C333" s="9" t="s">
        <v>19</v>
      </c>
      <c r="D333" s="8">
        <v>1.0</v>
      </c>
      <c r="E333" s="8">
        <v>1.0</v>
      </c>
      <c r="F333" s="8">
        <v>0.0</v>
      </c>
      <c r="G333" s="9" t="s">
        <v>18</v>
      </c>
      <c r="H333" s="10">
        <v>45345.64568738426</v>
      </c>
      <c r="I333" s="10">
        <v>45377.4098496875</v>
      </c>
      <c r="J333" s="8">
        <v>32.0</v>
      </c>
      <c r="K333" s="11">
        <v>1.170139828E7</v>
      </c>
      <c r="L333" s="8" t="str">
        <f>+VLOOKUP(A333,Hoja2!$A$2:$X$2596,19,FALSE)</f>
        <v>#N/A</v>
      </c>
      <c r="M333" s="9" t="str">
        <f>+VLOOKUP(A333,Hoja2!$A$2:$X$2596,15,FALSE)</f>
        <v>#N/A</v>
      </c>
      <c r="N333" s="9" t="str">
        <f>+VLOOKUP(A333,Hoja2!$A$2:$X$2596,17,FALSE)</f>
        <v>#N/A</v>
      </c>
      <c r="O333" s="9" t="str">
        <f>+VLOOKUP(A333,Hoja2!$A$2:$X$2596,22,FALSE)</f>
        <v>#N/A</v>
      </c>
      <c r="P333" s="9" t="str">
        <f>+VLOOKUP(A333,Hoja2!$A$2:$X$2596,23,FALSE)</f>
        <v>#N/A</v>
      </c>
      <c r="Q333" s="9" t="str">
        <f>+VLOOKUP(A333,Hoja2!$A$2:$X$2596,24,FALSE)</f>
        <v>#N/A</v>
      </c>
    </row>
    <row r="334" ht="15.75" hidden="1" customHeight="1">
      <c r="A334" s="8">
        <v>2382627.0</v>
      </c>
      <c r="B334" s="8">
        <v>2382627.0</v>
      </c>
      <c r="C334" s="9" t="s">
        <v>19</v>
      </c>
      <c r="D334" s="8">
        <v>2.0</v>
      </c>
      <c r="E334" s="8">
        <v>0.0</v>
      </c>
      <c r="F334" s="8">
        <v>0.0</v>
      </c>
      <c r="G334" s="9" t="s">
        <v>21</v>
      </c>
      <c r="H334" s="10">
        <v>45672.95366165509</v>
      </c>
      <c r="I334" s="10">
        <v>45680.48181388889</v>
      </c>
      <c r="J334" s="8">
        <v>8.0</v>
      </c>
      <c r="K334" s="11">
        <v>1.170139828E7</v>
      </c>
      <c r="L334" s="8" t="str">
        <f>+VLOOKUP(A334,Hoja2!$A$2:$X$2596,19,FALSE)</f>
        <v>#N/A</v>
      </c>
      <c r="M334" s="9" t="str">
        <f>+VLOOKUP(A334,Hoja2!$A$2:$X$2596,15,FALSE)</f>
        <v>#N/A</v>
      </c>
      <c r="N334" s="9" t="str">
        <f>+VLOOKUP(A334,Hoja2!$A$2:$X$2596,17,FALSE)</f>
        <v>#N/A</v>
      </c>
      <c r="O334" s="9" t="str">
        <f>+VLOOKUP(A334,Hoja2!$A$2:$X$2596,22,FALSE)</f>
        <v>#N/A</v>
      </c>
      <c r="P334" s="9" t="str">
        <f>+VLOOKUP(A334,Hoja2!$A$2:$X$2596,23,FALSE)</f>
        <v>#N/A</v>
      </c>
      <c r="Q334" s="9" t="str">
        <f>+VLOOKUP(A334,Hoja2!$A$2:$X$2596,24,FALSE)</f>
        <v>#N/A</v>
      </c>
    </row>
    <row r="335" ht="15.75" hidden="1" customHeight="1">
      <c r="A335" s="8">
        <v>2382627.0</v>
      </c>
      <c r="B335" s="8">
        <v>2382627.0</v>
      </c>
      <c r="C335" s="9" t="s">
        <v>19</v>
      </c>
      <c r="D335" s="8">
        <v>3.0</v>
      </c>
      <c r="E335" s="8">
        <v>0.0</v>
      </c>
      <c r="F335" s="8">
        <v>0.0</v>
      </c>
      <c r="G335" s="9" t="s">
        <v>21</v>
      </c>
      <c r="H335" s="10">
        <v>45784.65563159722</v>
      </c>
      <c r="I335" s="10">
        <v>45877.529619444445</v>
      </c>
      <c r="J335" s="8">
        <v>93.0</v>
      </c>
      <c r="K335" s="11">
        <v>1.170139828E7</v>
      </c>
      <c r="L335" s="8" t="str">
        <f>+VLOOKUP(A335,Hoja2!$A$2:$X$2596,19,FALSE)</f>
        <v>#N/A</v>
      </c>
      <c r="M335" s="9" t="str">
        <f>+VLOOKUP(A335,Hoja2!$A$2:$X$2596,15,FALSE)</f>
        <v>#N/A</v>
      </c>
      <c r="N335" s="9" t="str">
        <f>+VLOOKUP(A335,Hoja2!$A$2:$X$2596,17,FALSE)</f>
        <v>#N/A</v>
      </c>
      <c r="O335" s="9" t="str">
        <f>+VLOOKUP(A335,Hoja2!$A$2:$X$2596,22,FALSE)</f>
        <v>#N/A</v>
      </c>
      <c r="P335" s="9" t="str">
        <f>+VLOOKUP(A335,Hoja2!$A$2:$X$2596,23,FALSE)</f>
        <v>#N/A</v>
      </c>
      <c r="Q335" s="9" t="str">
        <f>+VLOOKUP(A335,Hoja2!$A$2:$X$2596,24,FALSE)</f>
        <v>#N/A</v>
      </c>
    </row>
    <row r="336" ht="15.75" hidden="1" customHeight="1">
      <c r="A336" s="8">
        <v>2382627.0</v>
      </c>
      <c r="B336" s="8">
        <v>2382627.0</v>
      </c>
      <c r="C336" s="9" t="s">
        <v>19</v>
      </c>
      <c r="D336" s="8">
        <v>2.0</v>
      </c>
      <c r="E336" s="8">
        <v>0.0</v>
      </c>
      <c r="F336" s="8">
        <v>0.0</v>
      </c>
      <c r="G336" s="9" t="s">
        <v>21</v>
      </c>
      <c r="H336" s="10">
        <v>45882.3571065162</v>
      </c>
      <c r="I336" s="10">
        <v>45882.41803190972</v>
      </c>
      <c r="J336" s="8">
        <v>0.0</v>
      </c>
      <c r="K336" s="11">
        <v>1.170139828E7</v>
      </c>
      <c r="L336" s="8" t="str">
        <f>+VLOOKUP(A336,Hoja2!$A$2:$X$2596,19,FALSE)</f>
        <v>#N/A</v>
      </c>
      <c r="M336" s="9" t="str">
        <f>+VLOOKUP(A336,Hoja2!$A$2:$X$2596,15,FALSE)</f>
        <v>#N/A</v>
      </c>
      <c r="N336" s="9" t="str">
        <f>+VLOOKUP(A336,Hoja2!$A$2:$X$2596,17,FALSE)</f>
        <v>#N/A</v>
      </c>
      <c r="O336" s="9" t="str">
        <f>+VLOOKUP(A336,Hoja2!$A$2:$X$2596,22,FALSE)</f>
        <v>#N/A</v>
      </c>
      <c r="P336" s="9" t="str">
        <f>+VLOOKUP(A336,Hoja2!$A$2:$X$2596,23,FALSE)</f>
        <v>#N/A</v>
      </c>
      <c r="Q336" s="9" t="str">
        <f>+VLOOKUP(A336,Hoja2!$A$2:$X$2596,24,FALSE)</f>
        <v>#N/A</v>
      </c>
    </row>
    <row r="337" ht="15.75" hidden="1" customHeight="1">
      <c r="A337" s="8">
        <v>2382924.0</v>
      </c>
      <c r="B337" s="8">
        <v>2382924.0</v>
      </c>
      <c r="C337" s="9" t="s">
        <v>19</v>
      </c>
      <c r="D337" s="8">
        <v>5.0</v>
      </c>
      <c r="E337" s="8">
        <v>3.0</v>
      </c>
      <c r="F337" s="8">
        <v>0.0</v>
      </c>
      <c r="G337" s="9" t="s">
        <v>18</v>
      </c>
      <c r="H337" s="10">
        <v>44382.5433997338</v>
      </c>
      <c r="I337" s="10">
        <v>44592.68135752315</v>
      </c>
      <c r="J337" s="8">
        <v>210.0</v>
      </c>
      <c r="K337" s="11">
        <v>1.268378348E7</v>
      </c>
      <c r="L337" s="8" t="str">
        <f>+VLOOKUP(A337,Hoja2!$A$2:$X$2596,19,FALSE)</f>
        <v>#N/A</v>
      </c>
      <c r="M337" s="9" t="str">
        <f>+VLOOKUP(A337,Hoja2!$A$2:$X$2596,15,FALSE)</f>
        <v>#N/A</v>
      </c>
      <c r="N337" s="9" t="str">
        <f>+VLOOKUP(A337,Hoja2!$A$2:$X$2596,17,FALSE)</f>
        <v>#N/A</v>
      </c>
      <c r="O337" s="9" t="str">
        <f>+VLOOKUP(A337,Hoja2!$A$2:$X$2596,22,FALSE)</f>
        <v>#N/A</v>
      </c>
      <c r="P337" s="9" t="str">
        <f>+VLOOKUP(A337,Hoja2!$A$2:$X$2596,23,FALSE)</f>
        <v>#N/A</v>
      </c>
      <c r="Q337" s="9" t="str">
        <f>+VLOOKUP(A337,Hoja2!$A$2:$X$2596,24,FALSE)</f>
        <v>#N/A</v>
      </c>
    </row>
    <row r="338" ht="15.75" hidden="1" customHeight="1">
      <c r="A338" s="8">
        <v>2387553.0</v>
      </c>
      <c r="B338" s="8">
        <v>2387553.0</v>
      </c>
      <c r="C338" s="9" t="s">
        <v>17</v>
      </c>
      <c r="D338" s="8">
        <v>2.0</v>
      </c>
      <c r="E338" s="8">
        <v>0.0</v>
      </c>
      <c r="F338" s="8">
        <v>0.0</v>
      </c>
      <c r="G338" s="9" t="s">
        <v>21</v>
      </c>
      <c r="H338" s="10">
        <v>44342.83996883102</v>
      </c>
      <c r="I338" s="10">
        <v>44355.55328753472</v>
      </c>
      <c r="J338" s="8">
        <v>13.0</v>
      </c>
      <c r="K338" s="11">
        <v>2400915.73</v>
      </c>
      <c r="L338" s="8" t="str">
        <f>+VLOOKUP(A338,Hoja2!$A$2:$X$2596,19,FALSE)</f>
        <v>#N/A</v>
      </c>
      <c r="M338" s="9" t="str">
        <f>+VLOOKUP(A338,Hoja2!$A$2:$X$2596,15,FALSE)</f>
        <v>#N/A</v>
      </c>
      <c r="N338" s="9" t="str">
        <f>+VLOOKUP(A338,Hoja2!$A$2:$X$2596,17,FALSE)</f>
        <v>#N/A</v>
      </c>
      <c r="O338" s="9" t="str">
        <f>+VLOOKUP(A338,Hoja2!$A$2:$X$2596,22,FALSE)</f>
        <v>#N/A</v>
      </c>
      <c r="P338" s="9" t="str">
        <f>+VLOOKUP(A338,Hoja2!$A$2:$X$2596,23,FALSE)</f>
        <v>#N/A</v>
      </c>
      <c r="Q338" s="9" t="str">
        <f>+VLOOKUP(A338,Hoja2!$A$2:$X$2596,24,FALSE)</f>
        <v>#N/A</v>
      </c>
    </row>
    <row r="339" ht="15.75" hidden="1" customHeight="1">
      <c r="A339" s="8">
        <v>2387553.0</v>
      </c>
      <c r="B339" s="8">
        <v>2387553.0</v>
      </c>
      <c r="C339" s="9" t="s">
        <v>19</v>
      </c>
      <c r="D339" s="8">
        <v>5.0</v>
      </c>
      <c r="E339" s="8">
        <v>0.0</v>
      </c>
      <c r="F339" s="8">
        <v>0.0</v>
      </c>
      <c r="G339" s="9" t="s">
        <v>21</v>
      </c>
      <c r="H339" s="10">
        <v>44701.80679699074</v>
      </c>
      <c r="I339" s="10">
        <v>44823.724551886575</v>
      </c>
      <c r="J339" s="8">
        <v>122.0</v>
      </c>
      <c r="K339" s="11">
        <v>2400915.73</v>
      </c>
      <c r="L339" s="8" t="str">
        <f>+VLOOKUP(A339,Hoja2!$A$2:$X$2596,19,FALSE)</f>
        <v>#N/A</v>
      </c>
      <c r="M339" s="9" t="str">
        <f>+VLOOKUP(A339,Hoja2!$A$2:$X$2596,15,FALSE)</f>
        <v>#N/A</v>
      </c>
      <c r="N339" s="9" t="str">
        <f>+VLOOKUP(A339,Hoja2!$A$2:$X$2596,17,FALSE)</f>
        <v>#N/A</v>
      </c>
      <c r="O339" s="9" t="str">
        <f>+VLOOKUP(A339,Hoja2!$A$2:$X$2596,22,FALSE)</f>
        <v>#N/A</v>
      </c>
      <c r="P339" s="9" t="str">
        <f>+VLOOKUP(A339,Hoja2!$A$2:$X$2596,23,FALSE)</f>
        <v>#N/A</v>
      </c>
      <c r="Q339" s="9" t="str">
        <f>+VLOOKUP(A339,Hoja2!$A$2:$X$2596,24,FALSE)</f>
        <v>#N/A</v>
      </c>
    </row>
    <row r="340" ht="15.75" hidden="1" customHeight="1">
      <c r="A340" s="8">
        <v>2387553.0</v>
      </c>
      <c r="B340" s="8">
        <v>2387553.0</v>
      </c>
      <c r="C340" s="9" t="s">
        <v>19</v>
      </c>
      <c r="D340" s="8">
        <v>1.0</v>
      </c>
      <c r="E340" s="8">
        <v>1.0</v>
      </c>
      <c r="F340" s="8">
        <v>0.0</v>
      </c>
      <c r="G340" s="9" t="s">
        <v>18</v>
      </c>
      <c r="H340" s="10">
        <v>45192.15061979167</v>
      </c>
      <c r="I340" s="10">
        <v>45250.673930868055</v>
      </c>
      <c r="J340" s="8">
        <v>58.0</v>
      </c>
      <c r="K340" s="11">
        <v>2400915.73</v>
      </c>
      <c r="L340" s="8" t="str">
        <f>+VLOOKUP(A340,Hoja2!$A$2:$X$2596,19,FALSE)</f>
        <v>#N/A</v>
      </c>
      <c r="M340" s="9" t="str">
        <f>+VLOOKUP(A340,Hoja2!$A$2:$X$2596,15,FALSE)</f>
        <v>#N/A</v>
      </c>
      <c r="N340" s="9" t="str">
        <f>+VLOOKUP(A340,Hoja2!$A$2:$X$2596,17,FALSE)</f>
        <v>#N/A</v>
      </c>
      <c r="O340" s="9" t="str">
        <f>+VLOOKUP(A340,Hoja2!$A$2:$X$2596,22,FALSE)</f>
        <v>#N/A</v>
      </c>
      <c r="P340" s="9" t="str">
        <f>+VLOOKUP(A340,Hoja2!$A$2:$X$2596,23,FALSE)</f>
        <v>#N/A</v>
      </c>
      <c r="Q340" s="9" t="str">
        <f>+VLOOKUP(A340,Hoja2!$A$2:$X$2596,24,FALSE)</f>
        <v>#N/A</v>
      </c>
    </row>
    <row r="341" ht="15.75" hidden="1" customHeight="1">
      <c r="A341" s="8">
        <v>2387553.0</v>
      </c>
      <c r="B341" s="8">
        <v>2387553.0</v>
      </c>
      <c r="C341" s="9" t="s">
        <v>19</v>
      </c>
      <c r="D341" s="8">
        <v>1.0</v>
      </c>
      <c r="E341" s="8">
        <v>5.0</v>
      </c>
      <c r="F341" s="8">
        <v>0.0</v>
      </c>
      <c r="G341" s="9" t="s">
        <v>18</v>
      </c>
      <c r="H341" s="10">
        <v>45379.77397314815</v>
      </c>
      <c r="I341" s="10">
        <v>45568.77527322917</v>
      </c>
      <c r="J341" s="8">
        <v>189.0</v>
      </c>
      <c r="K341" s="11">
        <v>2400915.73</v>
      </c>
      <c r="L341" s="8" t="str">
        <f>+VLOOKUP(A341,Hoja2!$A$2:$X$2596,19,FALSE)</f>
        <v>#N/A</v>
      </c>
      <c r="M341" s="9" t="str">
        <f>+VLOOKUP(A341,Hoja2!$A$2:$X$2596,15,FALSE)</f>
        <v>#N/A</v>
      </c>
      <c r="N341" s="9" t="str">
        <f>+VLOOKUP(A341,Hoja2!$A$2:$X$2596,17,FALSE)</f>
        <v>#N/A</v>
      </c>
      <c r="O341" s="9" t="str">
        <f>+VLOOKUP(A341,Hoja2!$A$2:$X$2596,22,FALSE)</f>
        <v>#N/A</v>
      </c>
      <c r="P341" s="9" t="str">
        <f>+VLOOKUP(A341,Hoja2!$A$2:$X$2596,23,FALSE)</f>
        <v>#N/A</v>
      </c>
      <c r="Q341" s="9" t="str">
        <f>+VLOOKUP(A341,Hoja2!$A$2:$X$2596,24,FALSE)</f>
        <v>#N/A</v>
      </c>
    </row>
    <row r="342" ht="15.75" hidden="1" customHeight="1">
      <c r="A342" s="8">
        <v>2387553.0</v>
      </c>
      <c r="B342" s="8">
        <v>2387553.0</v>
      </c>
      <c r="C342" s="9" t="s">
        <v>19</v>
      </c>
      <c r="D342" s="8">
        <v>2.0</v>
      </c>
      <c r="E342" s="8">
        <v>2.0</v>
      </c>
      <c r="F342" s="8">
        <v>0.0</v>
      </c>
      <c r="G342" s="9" t="s">
        <v>18</v>
      </c>
      <c r="H342" s="10">
        <v>45646.739044444446</v>
      </c>
      <c r="I342" s="10">
        <v>45687.65267847222</v>
      </c>
      <c r="J342" s="8">
        <v>41.0</v>
      </c>
      <c r="K342" s="11">
        <v>2400915.73</v>
      </c>
      <c r="L342" s="8" t="str">
        <f>+VLOOKUP(A342,Hoja2!$A$2:$X$2596,19,FALSE)</f>
        <v>#N/A</v>
      </c>
      <c r="M342" s="9" t="str">
        <f>+VLOOKUP(A342,Hoja2!$A$2:$X$2596,15,FALSE)</f>
        <v>#N/A</v>
      </c>
      <c r="N342" s="9" t="str">
        <f>+VLOOKUP(A342,Hoja2!$A$2:$X$2596,17,FALSE)</f>
        <v>#N/A</v>
      </c>
      <c r="O342" s="9" t="str">
        <f>+VLOOKUP(A342,Hoja2!$A$2:$X$2596,22,FALSE)</f>
        <v>#N/A</v>
      </c>
      <c r="P342" s="9" t="str">
        <f>+VLOOKUP(A342,Hoja2!$A$2:$X$2596,23,FALSE)</f>
        <v>#N/A</v>
      </c>
      <c r="Q342" s="9" t="str">
        <f>+VLOOKUP(A342,Hoja2!$A$2:$X$2596,24,FALSE)</f>
        <v>#N/A</v>
      </c>
    </row>
    <row r="343" ht="15.75" hidden="1" customHeight="1">
      <c r="A343" s="8">
        <v>2391645.0</v>
      </c>
      <c r="B343" s="8">
        <v>2391645.0</v>
      </c>
      <c r="C343" s="9" t="s">
        <v>19</v>
      </c>
      <c r="D343" s="8">
        <v>4.0</v>
      </c>
      <c r="E343" s="8">
        <v>0.0</v>
      </c>
      <c r="F343" s="8">
        <v>0.0</v>
      </c>
      <c r="G343" s="9" t="s">
        <v>21</v>
      </c>
      <c r="H343" s="10">
        <v>44473.64343842593</v>
      </c>
      <c r="I343" s="10">
        <v>44526.63719042824</v>
      </c>
      <c r="J343" s="8">
        <v>53.0</v>
      </c>
      <c r="K343" s="11">
        <v>1.468549131E7</v>
      </c>
      <c r="L343" s="8" t="str">
        <f>+VLOOKUP(A343,Hoja2!$A$2:$X$2596,19,FALSE)</f>
        <v>#N/A</v>
      </c>
      <c r="M343" s="9" t="str">
        <f>+VLOOKUP(A343,Hoja2!$A$2:$X$2596,15,FALSE)</f>
        <v>#N/A</v>
      </c>
      <c r="N343" s="9" t="str">
        <f>+VLOOKUP(A343,Hoja2!$A$2:$X$2596,17,FALSE)</f>
        <v>#N/A</v>
      </c>
      <c r="O343" s="9" t="str">
        <f>+VLOOKUP(A343,Hoja2!$A$2:$X$2596,22,FALSE)</f>
        <v>#N/A</v>
      </c>
      <c r="P343" s="9" t="str">
        <f>+VLOOKUP(A343,Hoja2!$A$2:$X$2596,23,FALSE)</f>
        <v>#N/A</v>
      </c>
      <c r="Q343" s="9" t="str">
        <f>+VLOOKUP(A343,Hoja2!$A$2:$X$2596,24,FALSE)</f>
        <v>#N/A</v>
      </c>
    </row>
    <row r="344" ht="15.75" hidden="1" customHeight="1">
      <c r="A344" s="8">
        <v>2391645.0</v>
      </c>
      <c r="B344" s="8">
        <v>2391645.0</v>
      </c>
      <c r="C344" s="9" t="s">
        <v>19</v>
      </c>
      <c r="D344" s="8">
        <v>6.0</v>
      </c>
      <c r="E344" s="8">
        <v>0.0</v>
      </c>
      <c r="F344" s="8">
        <v>0.0</v>
      </c>
      <c r="G344" s="9" t="s">
        <v>21</v>
      </c>
      <c r="H344" s="10">
        <v>44551.49173799768</v>
      </c>
      <c r="I344" s="10">
        <v>44627.54202619213</v>
      </c>
      <c r="J344" s="8">
        <v>76.0</v>
      </c>
      <c r="K344" s="11">
        <v>1.468549131E7</v>
      </c>
      <c r="L344" s="8" t="str">
        <f>+VLOOKUP(A344,Hoja2!$A$2:$X$2596,19,FALSE)</f>
        <v>#N/A</v>
      </c>
      <c r="M344" s="9" t="str">
        <f>+VLOOKUP(A344,Hoja2!$A$2:$X$2596,15,FALSE)</f>
        <v>#N/A</v>
      </c>
      <c r="N344" s="9" t="str">
        <f>+VLOOKUP(A344,Hoja2!$A$2:$X$2596,17,FALSE)</f>
        <v>#N/A</v>
      </c>
      <c r="O344" s="9" t="str">
        <f>+VLOOKUP(A344,Hoja2!$A$2:$X$2596,22,FALSE)</f>
        <v>#N/A</v>
      </c>
      <c r="P344" s="9" t="str">
        <f>+VLOOKUP(A344,Hoja2!$A$2:$X$2596,23,FALSE)</f>
        <v>#N/A</v>
      </c>
      <c r="Q344" s="9" t="str">
        <f>+VLOOKUP(A344,Hoja2!$A$2:$X$2596,24,FALSE)</f>
        <v>#N/A</v>
      </c>
    </row>
    <row r="345" ht="15.75" hidden="1" customHeight="1">
      <c r="A345" s="8">
        <v>2391645.0</v>
      </c>
      <c r="B345" s="8">
        <v>2391645.0</v>
      </c>
      <c r="C345" s="9" t="s">
        <v>19</v>
      </c>
      <c r="D345" s="8">
        <v>2.0</v>
      </c>
      <c r="E345" s="8">
        <v>1.0</v>
      </c>
      <c r="F345" s="8">
        <v>0.0</v>
      </c>
      <c r="G345" s="9" t="s">
        <v>18</v>
      </c>
      <c r="H345" s="10">
        <v>44628.616296493055</v>
      </c>
      <c r="I345" s="10">
        <v>44680.44188943287</v>
      </c>
      <c r="J345" s="8">
        <v>52.0</v>
      </c>
      <c r="K345" s="11">
        <v>1.468549131E7</v>
      </c>
      <c r="L345" s="8" t="str">
        <f>+VLOOKUP(A345,Hoja2!$A$2:$X$2596,19,FALSE)</f>
        <v>#N/A</v>
      </c>
      <c r="M345" s="9" t="str">
        <f>+VLOOKUP(A345,Hoja2!$A$2:$X$2596,15,FALSE)</f>
        <v>#N/A</v>
      </c>
      <c r="N345" s="9" t="str">
        <f>+VLOOKUP(A345,Hoja2!$A$2:$X$2596,17,FALSE)</f>
        <v>#N/A</v>
      </c>
      <c r="O345" s="9" t="str">
        <f>+VLOOKUP(A345,Hoja2!$A$2:$X$2596,22,FALSE)</f>
        <v>#N/A</v>
      </c>
      <c r="P345" s="9" t="str">
        <f>+VLOOKUP(A345,Hoja2!$A$2:$X$2596,23,FALSE)</f>
        <v>#N/A</v>
      </c>
      <c r="Q345" s="9" t="str">
        <f>+VLOOKUP(A345,Hoja2!$A$2:$X$2596,24,FALSE)</f>
        <v>#N/A</v>
      </c>
    </row>
    <row r="346" ht="15.75" hidden="1" customHeight="1">
      <c r="A346" s="8">
        <v>2391645.0</v>
      </c>
      <c r="B346" s="8">
        <v>2391645.0</v>
      </c>
      <c r="C346" s="9" t="s">
        <v>19</v>
      </c>
      <c r="D346" s="8">
        <v>2.0</v>
      </c>
      <c r="E346" s="8">
        <v>1.0</v>
      </c>
      <c r="F346" s="8">
        <v>0.0</v>
      </c>
      <c r="G346" s="9" t="s">
        <v>18</v>
      </c>
      <c r="H346" s="10">
        <v>44792.71453900463</v>
      </c>
      <c r="I346" s="10">
        <v>44810.43896392361</v>
      </c>
      <c r="J346" s="8">
        <v>18.0</v>
      </c>
      <c r="K346" s="11">
        <v>1.468549131E7</v>
      </c>
      <c r="L346" s="8" t="str">
        <f>+VLOOKUP(A346,Hoja2!$A$2:$X$2596,19,FALSE)</f>
        <v>#N/A</v>
      </c>
      <c r="M346" s="9" t="str">
        <f>+VLOOKUP(A346,Hoja2!$A$2:$X$2596,15,FALSE)</f>
        <v>#N/A</v>
      </c>
      <c r="N346" s="9" t="str">
        <f>+VLOOKUP(A346,Hoja2!$A$2:$X$2596,17,FALSE)</f>
        <v>#N/A</v>
      </c>
      <c r="O346" s="9" t="str">
        <f>+VLOOKUP(A346,Hoja2!$A$2:$X$2596,22,FALSE)</f>
        <v>#N/A</v>
      </c>
      <c r="P346" s="9" t="str">
        <f>+VLOOKUP(A346,Hoja2!$A$2:$X$2596,23,FALSE)</f>
        <v>#N/A</v>
      </c>
      <c r="Q346" s="9" t="str">
        <f>+VLOOKUP(A346,Hoja2!$A$2:$X$2596,24,FALSE)</f>
        <v>#N/A</v>
      </c>
    </row>
    <row r="347" ht="15.75" hidden="1" customHeight="1">
      <c r="A347" s="8">
        <v>2392212.0</v>
      </c>
      <c r="B347" s="8">
        <v>2392212.0</v>
      </c>
      <c r="C347" s="9" t="s">
        <v>17</v>
      </c>
      <c r="D347" s="8">
        <v>2.0</v>
      </c>
      <c r="E347" s="8">
        <v>0.0</v>
      </c>
      <c r="F347" s="8">
        <v>0.0</v>
      </c>
      <c r="G347" s="9" t="s">
        <v>21</v>
      </c>
      <c r="H347" s="10">
        <v>44887.541011574074</v>
      </c>
      <c r="I347" s="10">
        <v>44895.64221975694</v>
      </c>
      <c r="J347" s="8">
        <v>8.0</v>
      </c>
      <c r="K347" s="11">
        <v>3.235487169E7</v>
      </c>
      <c r="L347" s="8" t="str">
        <f>+VLOOKUP(A347,Hoja2!$A$2:$X$2596,19,FALSE)</f>
        <v>#N/A</v>
      </c>
      <c r="M347" s="9" t="str">
        <f>+VLOOKUP(A347,Hoja2!$A$2:$X$2596,15,FALSE)</f>
        <v>#N/A</v>
      </c>
      <c r="N347" s="9" t="str">
        <f>+VLOOKUP(A347,Hoja2!$A$2:$X$2596,17,FALSE)</f>
        <v>#N/A</v>
      </c>
      <c r="O347" s="9" t="str">
        <f>+VLOOKUP(A347,Hoja2!$A$2:$X$2596,22,FALSE)</f>
        <v>#N/A</v>
      </c>
      <c r="P347" s="9" t="str">
        <f>+VLOOKUP(A347,Hoja2!$A$2:$X$2596,23,FALSE)</f>
        <v>#N/A</v>
      </c>
      <c r="Q347" s="9" t="str">
        <f>+VLOOKUP(A347,Hoja2!$A$2:$X$2596,24,FALSE)</f>
        <v>#N/A</v>
      </c>
    </row>
    <row r="348" ht="15.75" hidden="1" customHeight="1">
      <c r="A348" s="8">
        <v>2394369.0</v>
      </c>
      <c r="B348" s="8">
        <v>2394369.0</v>
      </c>
      <c r="C348" s="9" t="s">
        <v>19</v>
      </c>
      <c r="D348" s="8">
        <v>3.0</v>
      </c>
      <c r="E348" s="8">
        <v>3.0</v>
      </c>
      <c r="F348" s="8">
        <v>0.0</v>
      </c>
      <c r="G348" s="9" t="s">
        <v>18</v>
      </c>
      <c r="H348" s="10">
        <v>44425.33594398148</v>
      </c>
      <c r="I348" s="10">
        <v>44592.333933449074</v>
      </c>
      <c r="J348" s="8">
        <v>167.0</v>
      </c>
      <c r="K348" s="11">
        <v>2.100659189E7</v>
      </c>
      <c r="L348" s="8" t="str">
        <f>+VLOOKUP(A348,Hoja2!$A$2:$X$2596,19,FALSE)</f>
        <v>En Ejecución</v>
      </c>
      <c r="M348" s="9">
        <f>+VLOOKUP(A348,Hoja2!$A$2:$X$2596,15,FALSE)</f>
        <v>20952048.87</v>
      </c>
      <c r="N348" s="9">
        <f>+VLOOKUP(A348,Hoja2!$A$2:$X$2596,17,FALSE)</f>
        <v>908000</v>
      </c>
      <c r="O348" s="9" t="str">
        <f>+VLOOKUP(A348,Hoja2!$A$2:$X$2596,22,FALSE)</f>
        <v/>
      </c>
      <c r="P348" s="9" t="str">
        <f>+VLOOKUP(A348,Hoja2!$A$2:$X$2596,23,FALSE)</f>
        <v/>
      </c>
      <c r="Q348" s="9" t="str">
        <f>+VLOOKUP(A348,Hoja2!$A$2:$X$2596,24,FALSE)</f>
        <v/>
      </c>
    </row>
    <row r="349" ht="15.75" customHeight="1">
      <c r="A349" s="8">
        <v>2394369.0</v>
      </c>
      <c r="B349" s="8">
        <v>2394369.0</v>
      </c>
      <c r="C349" s="9" t="s">
        <v>20</v>
      </c>
      <c r="D349" s="8">
        <v>1.0</v>
      </c>
      <c r="E349" s="8">
        <v>2.0</v>
      </c>
      <c r="F349" s="8">
        <v>0.0</v>
      </c>
      <c r="G349" s="9" t="s">
        <v>18</v>
      </c>
      <c r="H349" s="10">
        <v>44603.72752615741</v>
      </c>
      <c r="I349" s="10">
        <v>44641.55539664352</v>
      </c>
      <c r="J349" s="8">
        <v>38.0</v>
      </c>
      <c r="K349" s="11">
        <v>2.100659189E7</v>
      </c>
      <c r="L349" s="8" t="str">
        <f>+VLOOKUP(A349,Hoja2!$A$2:$X$2596,19,FALSE)</f>
        <v>En Ejecución</v>
      </c>
      <c r="M349" s="9">
        <f>+VLOOKUP(A349,Hoja2!$A$2:$X$2596,15,FALSE)</f>
        <v>20952048.87</v>
      </c>
      <c r="N349" s="9">
        <f>+VLOOKUP(A349,Hoja2!$A$2:$X$2596,17,FALSE)</f>
        <v>908000</v>
      </c>
      <c r="O349" s="9" t="str">
        <f>+VLOOKUP(A349,Hoja2!$A$2:$X$2596,22,FALSE)</f>
        <v/>
      </c>
      <c r="P349" s="9" t="str">
        <f>+VLOOKUP(A349,Hoja2!$A$2:$X$2596,23,FALSE)</f>
        <v/>
      </c>
      <c r="Q349" s="9" t="str">
        <f>+VLOOKUP(A349,Hoja2!$A$2:$X$2596,24,FALSE)</f>
        <v/>
      </c>
    </row>
    <row r="350" ht="15.75" hidden="1" customHeight="1">
      <c r="A350" s="8">
        <v>2396861.0</v>
      </c>
      <c r="B350" s="8">
        <v>2396861.0</v>
      </c>
      <c r="C350" s="9" t="s">
        <v>17</v>
      </c>
      <c r="D350" s="8">
        <v>2.0</v>
      </c>
      <c r="E350" s="8">
        <v>0.0</v>
      </c>
      <c r="F350" s="8">
        <v>0.0</v>
      </c>
      <c r="G350" s="9" t="s">
        <v>21</v>
      </c>
      <c r="H350" s="10">
        <v>44973.84816388889</v>
      </c>
      <c r="I350" s="10">
        <v>44978.44985228009</v>
      </c>
      <c r="J350" s="8">
        <v>5.0</v>
      </c>
      <c r="K350" s="11">
        <v>4087399.55</v>
      </c>
      <c r="L350" s="8" t="str">
        <f>+VLOOKUP(A350,Hoja2!$A$2:$X$2596,19,FALSE)</f>
        <v>#N/A</v>
      </c>
      <c r="M350" s="9" t="str">
        <f>+VLOOKUP(A350,Hoja2!$A$2:$X$2596,15,FALSE)</f>
        <v>#N/A</v>
      </c>
      <c r="N350" s="9" t="str">
        <f>+VLOOKUP(A350,Hoja2!$A$2:$X$2596,17,FALSE)</f>
        <v>#N/A</v>
      </c>
      <c r="O350" s="9" t="str">
        <f>+VLOOKUP(A350,Hoja2!$A$2:$X$2596,22,FALSE)</f>
        <v>#N/A</v>
      </c>
      <c r="P350" s="9" t="str">
        <f>+VLOOKUP(A350,Hoja2!$A$2:$X$2596,23,FALSE)</f>
        <v>#N/A</v>
      </c>
      <c r="Q350" s="9" t="str">
        <f>+VLOOKUP(A350,Hoja2!$A$2:$X$2596,24,FALSE)</f>
        <v>#N/A</v>
      </c>
    </row>
    <row r="351" ht="15.75" hidden="1" customHeight="1">
      <c r="A351" s="8">
        <v>2397630.0</v>
      </c>
      <c r="B351" s="8">
        <v>2397630.0</v>
      </c>
      <c r="C351" s="9" t="s">
        <v>19</v>
      </c>
      <c r="D351" s="8">
        <v>6.0</v>
      </c>
      <c r="E351" s="8">
        <v>0.0</v>
      </c>
      <c r="F351" s="8">
        <v>0.0</v>
      </c>
      <c r="G351" s="9" t="s">
        <v>21</v>
      </c>
      <c r="H351" s="10">
        <v>44398.68723506945</v>
      </c>
      <c r="I351" s="10">
        <v>44488.761038923614</v>
      </c>
      <c r="J351" s="8">
        <v>90.0</v>
      </c>
      <c r="K351" s="11">
        <v>8.898685117E7</v>
      </c>
      <c r="L351" s="8" t="str">
        <f>+VLOOKUP(A351,Hoja2!$A$2:$X$2596,19,FALSE)</f>
        <v>#N/A</v>
      </c>
      <c r="M351" s="9" t="str">
        <f>+VLOOKUP(A351,Hoja2!$A$2:$X$2596,15,FALSE)</f>
        <v>#N/A</v>
      </c>
      <c r="N351" s="9" t="str">
        <f>+VLOOKUP(A351,Hoja2!$A$2:$X$2596,17,FALSE)</f>
        <v>#N/A</v>
      </c>
      <c r="O351" s="9" t="str">
        <f>+VLOOKUP(A351,Hoja2!$A$2:$X$2596,22,FALSE)</f>
        <v>#N/A</v>
      </c>
      <c r="P351" s="9" t="str">
        <f>+VLOOKUP(A351,Hoja2!$A$2:$X$2596,23,FALSE)</f>
        <v>#N/A</v>
      </c>
      <c r="Q351" s="9" t="str">
        <f>+VLOOKUP(A351,Hoja2!$A$2:$X$2596,24,FALSE)</f>
        <v>#N/A</v>
      </c>
    </row>
    <row r="352" ht="15.75" hidden="1" customHeight="1">
      <c r="A352" s="8">
        <v>2398070.0</v>
      </c>
      <c r="B352" s="8">
        <v>2398070.0</v>
      </c>
      <c r="C352" s="9" t="s">
        <v>25</v>
      </c>
      <c r="D352" s="8">
        <v>0.0</v>
      </c>
      <c r="E352" s="8">
        <v>0.0</v>
      </c>
      <c r="F352" s="8">
        <v>0.0</v>
      </c>
      <c r="G352" s="9" t="s">
        <v>26</v>
      </c>
      <c r="H352" s="10">
        <v>45562.83478271991</v>
      </c>
      <c r="I352" s="10">
        <v>45562.83478271991</v>
      </c>
      <c r="J352" s="8">
        <v>0.0</v>
      </c>
      <c r="K352" s="11">
        <v>3.338559978E7</v>
      </c>
      <c r="L352" s="8" t="str">
        <f>+VLOOKUP(A352,Hoja2!$A$2:$X$2596,19,FALSE)</f>
        <v>#N/A</v>
      </c>
      <c r="M352" s="9" t="str">
        <f>+VLOOKUP(A352,Hoja2!$A$2:$X$2596,15,FALSE)</f>
        <v>#N/A</v>
      </c>
      <c r="N352" s="9" t="str">
        <f>+VLOOKUP(A352,Hoja2!$A$2:$X$2596,17,FALSE)</f>
        <v>#N/A</v>
      </c>
      <c r="O352" s="9" t="str">
        <f>+VLOOKUP(A352,Hoja2!$A$2:$X$2596,22,FALSE)</f>
        <v>#N/A</v>
      </c>
      <c r="P352" s="9" t="str">
        <f>+VLOOKUP(A352,Hoja2!$A$2:$X$2596,23,FALSE)</f>
        <v>#N/A</v>
      </c>
      <c r="Q352" s="9" t="str">
        <f>+VLOOKUP(A352,Hoja2!$A$2:$X$2596,24,FALSE)</f>
        <v>#N/A</v>
      </c>
    </row>
    <row r="353" ht="15.75" hidden="1" customHeight="1">
      <c r="A353" s="8">
        <v>2398325.0</v>
      </c>
      <c r="B353" s="8">
        <v>2398325.0</v>
      </c>
      <c r="C353" s="9" t="s">
        <v>19</v>
      </c>
      <c r="D353" s="8">
        <v>3.0</v>
      </c>
      <c r="E353" s="8">
        <v>0.0</v>
      </c>
      <c r="F353" s="8">
        <v>0.0</v>
      </c>
      <c r="G353" s="9" t="s">
        <v>21</v>
      </c>
      <c r="H353" s="10">
        <v>44246.66706396991</v>
      </c>
      <c r="I353" s="10">
        <v>44364.88315613426</v>
      </c>
      <c r="J353" s="8">
        <v>118.0</v>
      </c>
      <c r="K353" s="11">
        <v>1.4069290469E8</v>
      </c>
      <c r="L353" s="8" t="str">
        <f>+VLOOKUP(A353,Hoja2!$A$2:$X$2596,19,FALSE)</f>
        <v>#N/A</v>
      </c>
      <c r="M353" s="9" t="str">
        <f>+VLOOKUP(A353,Hoja2!$A$2:$X$2596,15,FALSE)</f>
        <v>#N/A</v>
      </c>
      <c r="N353" s="9" t="str">
        <f>+VLOOKUP(A353,Hoja2!$A$2:$X$2596,17,FALSE)</f>
        <v>#N/A</v>
      </c>
      <c r="O353" s="9" t="str">
        <f>+VLOOKUP(A353,Hoja2!$A$2:$X$2596,22,FALSE)</f>
        <v>#N/A</v>
      </c>
      <c r="P353" s="9" t="str">
        <f>+VLOOKUP(A353,Hoja2!$A$2:$X$2596,23,FALSE)</f>
        <v>#N/A</v>
      </c>
      <c r="Q353" s="9" t="str">
        <f>+VLOOKUP(A353,Hoja2!$A$2:$X$2596,24,FALSE)</f>
        <v>#N/A</v>
      </c>
    </row>
    <row r="354" ht="15.75" hidden="1" customHeight="1">
      <c r="A354" s="8">
        <v>2398325.0</v>
      </c>
      <c r="B354" s="8">
        <v>2398325.0</v>
      </c>
      <c r="C354" s="9" t="s">
        <v>17</v>
      </c>
      <c r="D354" s="8">
        <v>2.0</v>
      </c>
      <c r="E354" s="8">
        <v>1.0</v>
      </c>
      <c r="F354" s="8">
        <v>0.0</v>
      </c>
      <c r="G354" s="9" t="s">
        <v>18</v>
      </c>
      <c r="H354" s="10">
        <v>44463.3772221875</v>
      </c>
      <c r="I354" s="10">
        <v>44526.68498506944</v>
      </c>
      <c r="J354" s="8">
        <v>63.0</v>
      </c>
      <c r="K354" s="11">
        <v>1.4069290469E8</v>
      </c>
      <c r="L354" s="8" t="str">
        <f>+VLOOKUP(A354,Hoja2!$A$2:$X$2596,19,FALSE)</f>
        <v>#N/A</v>
      </c>
      <c r="M354" s="9" t="str">
        <f>+VLOOKUP(A354,Hoja2!$A$2:$X$2596,15,FALSE)</f>
        <v>#N/A</v>
      </c>
      <c r="N354" s="9" t="str">
        <f>+VLOOKUP(A354,Hoja2!$A$2:$X$2596,17,FALSE)</f>
        <v>#N/A</v>
      </c>
      <c r="O354" s="9" t="str">
        <f>+VLOOKUP(A354,Hoja2!$A$2:$X$2596,22,FALSE)</f>
        <v>#N/A</v>
      </c>
      <c r="P354" s="9" t="str">
        <f>+VLOOKUP(A354,Hoja2!$A$2:$X$2596,23,FALSE)</f>
        <v>#N/A</v>
      </c>
      <c r="Q354" s="9" t="str">
        <f>+VLOOKUP(A354,Hoja2!$A$2:$X$2596,24,FALSE)</f>
        <v>#N/A</v>
      </c>
    </row>
    <row r="355" ht="15.75" hidden="1" customHeight="1">
      <c r="A355" s="8">
        <v>2398325.0</v>
      </c>
      <c r="B355" s="8">
        <v>2398325.0</v>
      </c>
      <c r="C355" s="9" t="s">
        <v>19</v>
      </c>
      <c r="D355" s="8">
        <v>2.0</v>
      </c>
      <c r="E355" s="8">
        <v>1.0</v>
      </c>
      <c r="F355" s="8">
        <v>0.0</v>
      </c>
      <c r="G355" s="9" t="s">
        <v>18</v>
      </c>
      <c r="H355" s="10">
        <v>45071.50459123842</v>
      </c>
      <c r="I355" s="10">
        <v>45112.48847800926</v>
      </c>
      <c r="J355" s="8">
        <v>41.0</v>
      </c>
      <c r="K355" s="11">
        <v>1.4069290469E8</v>
      </c>
      <c r="L355" s="8" t="str">
        <f>+VLOOKUP(A355,Hoja2!$A$2:$X$2596,19,FALSE)</f>
        <v>#N/A</v>
      </c>
      <c r="M355" s="9" t="str">
        <f>+VLOOKUP(A355,Hoja2!$A$2:$X$2596,15,FALSE)</f>
        <v>#N/A</v>
      </c>
      <c r="N355" s="9" t="str">
        <f>+VLOOKUP(A355,Hoja2!$A$2:$X$2596,17,FALSE)</f>
        <v>#N/A</v>
      </c>
      <c r="O355" s="9" t="str">
        <f>+VLOOKUP(A355,Hoja2!$A$2:$X$2596,22,FALSE)</f>
        <v>#N/A</v>
      </c>
      <c r="P355" s="9" t="str">
        <f>+VLOOKUP(A355,Hoja2!$A$2:$X$2596,23,FALSE)</f>
        <v>#N/A</v>
      </c>
      <c r="Q355" s="9" t="str">
        <f>+VLOOKUP(A355,Hoja2!$A$2:$X$2596,24,FALSE)</f>
        <v>#N/A</v>
      </c>
    </row>
    <row r="356" ht="15.75" hidden="1" customHeight="1">
      <c r="A356" s="8">
        <v>2398325.0</v>
      </c>
      <c r="B356" s="8">
        <v>2398325.0</v>
      </c>
      <c r="C356" s="9" t="s">
        <v>19</v>
      </c>
      <c r="D356" s="8">
        <v>1.0</v>
      </c>
      <c r="E356" s="8">
        <v>2.0</v>
      </c>
      <c r="F356" s="8">
        <v>0.0</v>
      </c>
      <c r="G356" s="9" t="s">
        <v>18</v>
      </c>
      <c r="H356" s="10">
        <v>45281.47100972222</v>
      </c>
      <c r="I356" s="10">
        <v>45434.36172337963</v>
      </c>
      <c r="J356" s="8">
        <v>153.0</v>
      </c>
      <c r="K356" s="11">
        <v>1.4069290469E8</v>
      </c>
      <c r="L356" s="8" t="str">
        <f>+VLOOKUP(A356,Hoja2!$A$2:$X$2596,19,FALSE)</f>
        <v>#N/A</v>
      </c>
      <c r="M356" s="9" t="str">
        <f>+VLOOKUP(A356,Hoja2!$A$2:$X$2596,15,FALSE)</f>
        <v>#N/A</v>
      </c>
      <c r="N356" s="9" t="str">
        <f>+VLOOKUP(A356,Hoja2!$A$2:$X$2596,17,FALSE)</f>
        <v>#N/A</v>
      </c>
      <c r="O356" s="9" t="str">
        <f>+VLOOKUP(A356,Hoja2!$A$2:$X$2596,22,FALSE)</f>
        <v>#N/A</v>
      </c>
      <c r="P356" s="9" t="str">
        <f>+VLOOKUP(A356,Hoja2!$A$2:$X$2596,23,FALSE)</f>
        <v>#N/A</v>
      </c>
      <c r="Q356" s="9" t="str">
        <f>+VLOOKUP(A356,Hoja2!$A$2:$X$2596,24,FALSE)</f>
        <v>#N/A</v>
      </c>
    </row>
    <row r="357" ht="15.75" hidden="1" customHeight="1">
      <c r="A357" s="8">
        <v>2398325.0</v>
      </c>
      <c r="B357" s="8">
        <v>2398325.0</v>
      </c>
      <c r="C357" s="9" t="s">
        <v>19</v>
      </c>
      <c r="D357" s="8">
        <v>2.0</v>
      </c>
      <c r="E357" s="8">
        <v>2.0</v>
      </c>
      <c r="F357" s="8">
        <v>0.0</v>
      </c>
      <c r="G357" s="9" t="s">
        <v>18</v>
      </c>
      <c r="H357" s="10">
        <v>45456.80806704861</v>
      </c>
      <c r="I357" s="10">
        <v>45623.69666519676</v>
      </c>
      <c r="J357" s="8">
        <v>167.0</v>
      </c>
      <c r="K357" s="11">
        <v>1.4069290469E8</v>
      </c>
      <c r="L357" s="8" t="str">
        <f>+VLOOKUP(A357,Hoja2!$A$2:$X$2596,19,FALSE)</f>
        <v>#N/A</v>
      </c>
      <c r="M357" s="9" t="str">
        <f>+VLOOKUP(A357,Hoja2!$A$2:$X$2596,15,FALSE)</f>
        <v>#N/A</v>
      </c>
      <c r="N357" s="9" t="str">
        <f>+VLOOKUP(A357,Hoja2!$A$2:$X$2596,17,FALSE)</f>
        <v>#N/A</v>
      </c>
      <c r="O357" s="9" t="str">
        <f>+VLOOKUP(A357,Hoja2!$A$2:$X$2596,22,FALSE)</f>
        <v>#N/A</v>
      </c>
      <c r="P357" s="9" t="str">
        <f>+VLOOKUP(A357,Hoja2!$A$2:$X$2596,23,FALSE)</f>
        <v>#N/A</v>
      </c>
      <c r="Q357" s="9" t="str">
        <f>+VLOOKUP(A357,Hoja2!$A$2:$X$2596,24,FALSE)</f>
        <v>#N/A</v>
      </c>
    </row>
    <row r="358" ht="15.75" hidden="1" customHeight="1">
      <c r="A358" s="8">
        <v>2398325.0</v>
      </c>
      <c r="B358" s="8">
        <v>2398325.0</v>
      </c>
      <c r="C358" s="9" t="s">
        <v>19</v>
      </c>
      <c r="D358" s="8">
        <v>2.0</v>
      </c>
      <c r="E358" s="8">
        <v>1.0</v>
      </c>
      <c r="F358" s="8">
        <v>0.0</v>
      </c>
      <c r="G358" s="9" t="s">
        <v>18</v>
      </c>
      <c r="H358" s="10">
        <v>45709.506933599536</v>
      </c>
      <c r="I358" s="10">
        <v>45740.33346747685</v>
      </c>
      <c r="J358" s="8">
        <v>31.0</v>
      </c>
      <c r="K358" s="11">
        <v>1.4069290469E8</v>
      </c>
      <c r="L358" s="8" t="str">
        <f>+VLOOKUP(A358,Hoja2!$A$2:$X$2596,19,FALSE)</f>
        <v>#N/A</v>
      </c>
      <c r="M358" s="9" t="str">
        <f>+VLOOKUP(A358,Hoja2!$A$2:$X$2596,15,FALSE)</f>
        <v>#N/A</v>
      </c>
      <c r="N358" s="9" t="str">
        <f>+VLOOKUP(A358,Hoja2!$A$2:$X$2596,17,FALSE)</f>
        <v>#N/A</v>
      </c>
      <c r="O358" s="9" t="str">
        <f>+VLOOKUP(A358,Hoja2!$A$2:$X$2596,22,FALSE)</f>
        <v>#N/A</v>
      </c>
      <c r="P358" s="9" t="str">
        <f>+VLOOKUP(A358,Hoja2!$A$2:$X$2596,23,FALSE)</f>
        <v>#N/A</v>
      </c>
      <c r="Q358" s="9" t="str">
        <f>+VLOOKUP(A358,Hoja2!$A$2:$X$2596,24,FALSE)</f>
        <v>#N/A</v>
      </c>
    </row>
    <row r="359" ht="15.75" hidden="1" customHeight="1">
      <c r="A359" s="8">
        <v>2398325.0</v>
      </c>
      <c r="B359" s="8">
        <v>2398325.0</v>
      </c>
      <c r="C359" s="9" t="s">
        <v>22</v>
      </c>
      <c r="D359" s="8">
        <v>2.0</v>
      </c>
      <c r="E359" s="8">
        <v>1.0</v>
      </c>
      <c r="F359" s="8">
        <v>0.0</v>
      </c>
      <c r="G359" s="9" t="s">
        <v>18</v>
      </c>
      <c r="H359" s="10">
        <v>45845.86733619213</v>
      </c>
      <c r="I359" s="10">
        <v>45888.719272835646</v>
      </c>
      <c r="J359" s="8">
        <v>43.0</v>
      </c>
      <c r="K359" s="11">
        <v>1.4069290469E8</v>
      </c>
      <c r="L359" s="8" t="str">
        <f>+VLOOKUP(A359,Hoja2!$A$2:$X$2596,19,FALSE)</f>
        <v>#N/A</v>
      </c>
      <c r="M359" s="9" t="str">
        <f>+VLOOKUP(A359,Hoja2!$A$2:$X$2596,15,FALSE)</f>
        <v>#N/A</v>
      </c>
      <c r="N359" s="9" t="str">
        <f>+VLOOKUP(A359,Hoja2!$A$2:$X$2596,17,FALSE)</f>
        <v>#N/A</v>
      </c>
      <c r="O359" s="9" t="str">
        <f>+VLOOKUP(A359,Hoja2!$A$2:$X$2596,22,FALSE)</f>
        <v>#N/A</v>
      </c>
      <c r="P359" s="9" t="str">
        <f>+VLOOKUP(A359,Hoja2!$A$2:$X$2596,23,FALSE)</f>
        <v>#N/A</v>
      </c>
      <c r="Q359" s="9" t="str">
        <f>+VLOOKUP(A359,Hoja2!$A$2:$X$2596,24,FALSE)</f>
        <v>#N/A</v>
      </c>
    </row>
    <row r="360" ht="15.75" hidden="1" customHeight="1">
      <c r="A360" s="8">
        <v>2398477.0</v>
      </c>
      <c r="B360" s="8">
        <v>2398477.0</v>
      </c>
      <c r="C360" s="9" t="s">
        <v>19</v>
      </c>
      <c r="D360" s="8">
        <v>5.0</v>
      </c>
      <c r="E360" s="8">
        <v>0.0</v>
      </c>
      <c r="F360" s="8">
        <v>0.0</v>
      </c>
      <c r="G360" s="9" t="s">
        <v>21</v>
      </c>
      <c r="H360" s="10">
        <v>45126.942560497686</v>
      </c>
      <c r="I360" s="10">
        <v>45197.5015721875</v>
      </c>
      <c r="J360" s="8">
        <v>71.0</v>
      </c>
      <c r="K360" s="11">
        <v>4.615533205E7</v>
      </c>
      <c r="L360" s="8" t="str">
        <f>+VLOOKUP(A360,Hoja2!$A$2:$X$2596,19,FALSE)</f>
        <v>#N/A</v>
      </c>
      <c r="M360" s="9" t="str">
        <f>+VLOOKUP(A360,Hoja2!$A$2:$X$2596,15,FALSE)</f>
        <v>#N/A</v>
      </c>
      <c r="N360" s="9" t="str">
        <f>+VLOOKUP(A360,Hoja2!$A$2:$X$2596,17,FALSE)</f>
        <v>#N/A</v>
      </c>
      <c r="O360" s="9" t="str">
        <f>+VLOOKUP(A360,Hoja2!$A$2:$X$2596,22,FALSE)</f>
        <v>#N/A</v>
      </c>
      <c r="P360" s="9" t="str">
        <f>+VLOOKUP(A360,Hoja2!$A$2:$X$2596,23,FALSE)</f>
        <v>#N/A</v>
      </c>
      <c r="Q360" s="9" t="str">
        <f>+VLOOKUP(A360,Hoja2!$A$2:$X$2596,24,FALSE)</f>
        <v>#N/A</v>
      </c>
    </row>
    <row r="361" ht="15.75" hidden="1" customHeight="1">
      <c r="A361" s="8">
        <v>2402309.0</v>
      </c>
      <c r="B361" s="8">
        <v>2402309.0</v>
      </c>
      <c r="C361" s="9" t="s">
        <v>19</v>
      </c>
      <c r="D361" s="8">
        <v>4.0</v>
      </c>
      <c r="E361" s="8">
        <v>0.0</v>
      </c>
      <c r="F361" s="8">
        <v>0.0</v>
      </c>
      <c r="G361" s="9" t="s">
        <v>21</v>
      </c>
      <c r="H361" s="10">
        <v>44382.84337195602</v>
      </c>
      <c r="I361" s="10">
        <v>44467.653803506946</v>
      </c>
      <c r="J361" s="8">
        <v>85.0</v>
      </c>
      <c r="K361" s="11">
        <v>4.138745889E7</v>
      </c>
      <c r="L361" s="8" t="str">
        <f>+VLOOKUP(A361,Hoja2!$A$2:$X$2596,19,FALSE)</f>
        <v>#N/A</v>
      </c>
      <c r="M361" s="9" t="str">
        <f>+VLOOKUP(A361,Hoja2!$A$2:$X$2596,15,FALSE)</f>
        <v>#N/A</v>
      </c>
      <c r="N361" s="9" t="str">
        <f>+VLOOKUP(A361,Hoja2!$A$2:$X$2596,17,FALSE)</f>
        <v>#N/A</v>
      </c>
      <c r="O361" s="9" t="str">
        <f>+VLOOKUP(A361,Hoja2!$A$2:$X$2596,22,FALSE)</f>
        <v>#N/A</v>
      </c>
      <c r="P361" s="9" t="str">
        <f>+VLOOKUP(A361,Hoja2!$A$2:$X$2596,23,FALSE)</f>
        <v>#N/A</v>
      </c>
      <c r="Q361" s="9" t="str">
        <f>+VLOOKUP(A361,Hoja2!$A$2:$X$2596,24,FALSE)</f>
        <v>#N/A</v>
      </c>
    </row>
    <row r="362" ht="15.75" hidden="1" customHeight="1">
      <c r="A362" s="8">
        <v>2402309.0</v>
      </c>
      <c r="B362" s="8">
        <v>2402309.0</v>
      </c>
      <c r="C362" s="9" t="s">
        <v>19</v>
      </c>
      <c r="D362" s="8">
        <v>6.0</v>
      </c>
      <c r="E362" s="8">
        <v>0.0</v>
      </c>
      <c r="F362" s="8">
        <v>0.0</v>
      </c>
      <c r="G362" s="9" t="s">
        <v>21</v>
      </c>
      <c r="H362" s="10">
        <v>44511.851462349536</v>
      </c>
      <c r="I362" s="10">
        <v>44593.52943538194</v>
      </c>
      <c r="J362" s="8">
        <v>82.0</v>
      </c>
      <c r="K362" s="11">
        <v>4.138745889E7</v>
      </c>
      <c r="L362" s="8" t="str">
        <f>+VLOOKUP(A362,Hoja2!$A$2:$X$2596,19,FALSE)</f>
        <v>#N/A</v>
      </c>
      <c r="M362" s="9" t="str">
        <f>+VLOOKUP(A362,Hoja2!$A$2:$X$2596,15,FALSE)</f>
        <v>#N/A</v>
      </c>
      <c r="N362" s="9" t="str">
        <f>+VLOOKUP(A362,Hoja2!$A$2:$X$2596,17,FALSE)</f>
        <v>#N/A</v>
      </c>
      <c r="O362" s="9" t="str">
        <f>+VLOOKUP(A362,Hoja2!$A$2:$X$2596,22,FALSE)</f>
        <v>#N/A</v>
      </c>
      <c r="P362" s="9" t="str">
        <f>+VLOOKUP(A362,Hoja2!$A$2:$X$2596,23,FALSE)</f>
        <v>#N/A</v>
      </c>
      <c r="Q362" s="9" t="str">
        <f>+VLOOKUP(A362,Hoja2!$A$2:$X$2596,24,FALSE)</f>
        <v>#N/A</v>
      </c>
    </row>
    <row r="363" ht="15.75" hidden="1" customHeight="1">
      <c r="A363" s="8">
        <v>2402309.0</v>
      </c>
      <c r="B363" s="8">
        <v>2402309.0</v>
      </c>
      <c r="C363" s="9" t="s">
        <v>17</v>
      </c>
      <c r="D363" s="8">
        <v>2.0</v>
      </c>
      <c r="E363" s="8">
        <v>0.0</v>
      </c>
      <c r="F363" s="8">
        <v>0.0</v>
      </c>
      <c r="G363" s="9" t="s">
        <v>21</v>
      </c>
      <c r="H363" s="10">
        <v>44987.43431744213</v>
      </c>
      <c r="I363" s="10">
        <v>45001.513301770836</v>
      </c>
      <c r="J363" s="8">
        <v>14.0</v>
      </c>
      <c r="K363" s="11">
        <v>4.138745889E7</v>
      </c>
      <c r="L363" s="8" t="str">
        <f>+VLOOKUP(A363,Hoja2!$A$2:$X$2596,19,FALSE)</f>
        <v>#N/A</v>
      </c>
      <c r="M363" s="9" t="str">
        <f>+VLOOKUP(A363,Hoja2!$A$2:$X$2596,15,FALSE)</f>
        <v>#N/A</v>
      </c>
      <c r="N363" s="9" t="str">
        <f>+VLOOKUP(A363,Hoja2!$A$2:$X$2596,17,FALSE)</f>
        <v>#N/A</v>
      </c>
      <c r="O363" s="9" t="str">
        <f>+VLOOKUP(A363,Hoja2!$A$2:$X$2596,22,FALSE)</f>
        <v>#N/A</v>
      </c>
      <c r="P363" s="9" t="str">
        <f>+VLOOKUP(A363,Hoja2!$A$2:$X$2596,23,FALSE)</f>
        <v>#N/A</v>
      </c>
      <c r="Q363" s="9" t="str">
        <f>+VLOOKUP(A363,Hoja2!$A$2:$X$2596,24,FALSE)</f>
        <v>#N/A</v>
      </c>
    </row>
    <row r="364" ht="15.75" hidden="1" customHeight="1">
      <c r="A364" s="8">
        <v>2403574.0</v>
      </c>
      <c r="B364" s="8">
        <v>2403574.0</v>
      </c>
      <c r="C364" s="9" t="s">
        <v>17</v>
      </c>
      <c r="D364" s="8">
        <v>2.0</v>
      </c>
      <c r="E364" s="8">
        <v>0.0</v>
      </c>
      <c r="F364" s="8">
        <v>0.0</v>
      </c>
      <c r="G364" s="9" t="s">
        <v>21</v>
      </c>
      <c r="H364" s="10">
        <v>44455.53113402778</v>
      </c>
      <c r="I364" s="10">
        <v>44463.86881670139</v>
      </c>
      <c r="J364" s="8">
        <v>8.0</v>
      </c>
      <c r="K364" s="11">
        <v>4.194331101E7</v>
      </c>
      <c r="L364" s="8" t="str">
        <f>+VLOOKUP(A364,Hoja2!$A$2:$X$2596,19,FALSE)</f>
        <v>#N/A</v>
      </c>
      <c r="M364" s="9" t="str">
        <f>+VLOOKUP(A364,Hoja2!$A$2:$X$2596,15,FALSE)</f>
        <v>#N/A</v>
      </c>
      <c r="N364" s="9" t="str">
        <f>+VLOOKUP(A364,Hoja2!$A$2:$X$2596,17,FALSE)</f>
        <v>#N/A</v>
      </c>
      <c r="O364" s="9" t="str">
        <f>+VLOOKUP(A364,Hoja2!$A$2:$X$2596,22,FALSE)</f>
        <v>#N/A</v>
      </c>
      <c r="P364" s="9" t="str">
        <f>+VLOOKUP(A364,Hoja2!$A$2:$X$2596,23,FALSE)</f>
        <v>#N/A</v>
      </c>
      <c r="Q364" s="9" t="str">
        <f>+VLOOKUP(A364,Hoja2!$A$2:$X$2596,24,FALSE)</f>
        <v>#N/A</v>
      </c>
    </row>
    <row r="365" ht="15.75" hidden="1" customHeight="1">
      <c r="A365" s="8">
        <v>2408767.0</v>
      </c>
      <c r="B365" s="8">
        <v>2408767.0</v>
      </c>
      <c r="C365" s="9" t="s">
        <v>17</v>
      </c>
      <c r="D365" s="8">
        <v>2.0</v>
      </c>
      <c r="E365" s="8">
        <v>0.0</v>
      </c>
      <c r="F365" s="8">
        <v>0.0</v>
      </c>
      <c r="G365" s="9" t="s">
        <v>21</v>
      </c>
      <c r="H365" s="10">
        <v>44750.62995825231</v>
      </c>
      <c r="I365" s="10">
        <v>44755.71888402778</v>
      </c>
      <c r="J365" s="8">
        <v>5.0</v>
      </c>
      <c r="K365" s="11">
        <v>7906107.57</v>
      </c>
      <c r="L365" s="8" t="str">
        <f>+VLOOKUP(A365,Hoja2!$A$2:$X$2596,19,FALSE)</f>
        <v>#N/A</v>
      </c>
      <c r="M365" s="9" t="str">
        <f>+VLOOKUP(A365,Hoja2!$A$2:$X$2596,15,FALSE)</f>
        <v>#N/A</v>
      </c>
      <c r="N365" s="9" t="str">
        <f>+VLOOKUP(A365,Hoja2!$A$2:$X$2596,17,FALSE)</f>
        <v>#N/A</v>
      </c>
      <c r="O365" s="9" t="str">
        <f>+VLOOKUP(A365,Hoja2!$A$2:$X$2596,22,FALSE)</f>
        <v>#N/A</v>
      </c>
      <c r="P365" s="9" t="str">
        <f>+VLOOKUP(A365,Hoja2!$A$2:$X$2596,23,FALSE)</f>
        <v>#N/A</v>
      </c>
      <c r="Q365" s="9" t="str">
        <f>+VLOOKUP(A365,Hoja2!$A$2:$X$2596,24,FALSE)</f>
        <v>#N/A</v>
      </c>
    </row>
    <row r="366" ht="15.75" hidden="1" customHeight="1">
      <c r="A366" s="8">
        <v>2408767.0</v>
      </c>
      <c r="B366" s="8">
        <v>2408767.0</v>
      </c>
      <c r="C366" s="9" t="s">
        <v>19</v>
      </c>
      <c r="D366" s="8">
        <v>1.0</v>
      </c>
      <c r="E366" s="8">
        <v>2.0</v>
      </c>
      <c r="F366" s="8">
        <v>0.0</v>
      </c>
      <c r="G366" s="9" t="s">
        <v>18</v>
      </c>
      <c r="H366" s="10">
        <v>44833.71180489584</v>
      </c>
      <c r="I366" s="10">
        <v>44965.71183626157</v>
      </c>
      <c r="J366" s="8">
        <v>132.0</v>
      </c>
      <c r="K366" s="11">
        <v>7906107.57</v>
      </c>
      <c r="L366" s="8" t="str">
        <f>+VLOOKUP(A366,Hoja2!$A$2:$X$2596,19,FALSE)</f>
        <v>#N/A</v>
      </c>
      <c r="M366" s="9" t="str">
        <f>+VLOOKUP(A366,Hoja2!$A$2:$X$2596,15,FALSE)</f>
        <v>#N/A</v>
      </c>
      <c r="N366" s="9" t="str">
        <f>+VLOOKUP(A366,Hoja2!$A$2:$X$2596,17,FALSE)</f>
        <v>#N/A</v>
      </c>
      <c r="O366" s="9" t="str">
        <f>+VLOOKUP(A366,Hoja2!$A$2:$X$2596,22,FALSE)</f>
        <v>#N/A</v>
      </c>
      <c r="P366" s="9" t="str">
        <f>+VLOOKUP(A366,Hoja2!$A$2:$X$2596,23,FALSE)</f>
        <v>#N/A</v>
      </c>
      <c r="Q366" s="9" t="str">
        <f>+VLOOKUP(A366,Hoja2!$A$2:$X$2596,24,FALSE)</f>
        <v>#N/A</v>
      </c>
    </row>
    <row r="367" ht="15.75" hidden="1" customHeight="1">
      <c r="A367" s="8">
        <v>2410708.0</v>
      </c>
      <c r="B367" s="8">
        <v>2410708.0</v>
      </c>
      <c r="C367" s="9" t="s">
        <v>17</v>
      </c>
      <c r="D367" s="8">
        <v>2.0</v>
      </c>
      <c r="E367" s="8">
        <v>0.0</v>
      </c>
      <c r="F367" s="8">
        <v>0.0</v>
      </c>
      <c r="G367" s="9" t="s">
        <v>21</v>
      </c>
      <c r="H367" s="10">
        <v>44664.46452337963</v>
      </c>
      <c r="I367" s="10">
        <v>44672.48962133102</v>
      </c>
      <c r="J367" s="8">
        <v>8.0</v>
      </c>
      <c r="K367" s="11">
        <v>1656548.89</v>
      </c>
      <c r="L367" s="8" t="str">
        <f>+VLOOKUP(A367,Hoja2!$A$2:$X$2596,19,FALSE)</f>
        <v>#N/A</v>
      </c>
      <c r="M367" s="9" t="str">
        <f>+VLOOKUP(A367,Hoja2!$A$2:$X$2596,15,FALSE)</f>
        <v>#N/A</v>
      </c>
      <c r="N367" s="9" t="str">
        <f>+VLOOKUP(A367,Hoja2!$A$2:$X$2596,17,FALSE)</f>
        <v>#N/A</v>
      </c>
      <c r="O367" s="9" t="str">
        <f>+VLOOKUP(A367,Hoja2!$A$2:$X$2596,22,FALSE)</f>
        <v>#N/A</v>
      </c>
      <c r="P367" s="9" t="str">
        <f>+VLOOKUP(A367,Hoja2!$A$2:$X$2596,23,FALSE)</f>
        <v>#N/A</v>
      </c>
      <c r="Q367" s="9" t="str">
        <f>+VLOOKUP(A367,Hoja2!$A$2:$X$2596,24,FALSE)</f>
        <v>#N/A</v>
      </c>
    </row>
    <row r="368" ht="15.75" hidden="1" customHeight="1">
      <c r="A368" s="8">
        <v>2410708.0</v>
      </c>
      <c r="B368" s="8">
        <v>2410708.0</v>
      </c>
      <c r="C368" s="9" t="s">
        <v>17</v>
      </c>
      <c r="D368" s="8">
        <v>2.0</v>
      </c>
      <c r="E368" s="8">
        <v>0.0</v>
      </c>
      <c r="F368" s="8">
        <v>0.0</v>
      </c>
      <c r="G368" s="9" t="s">
        <v>21</v>
      </c>
      <c r="H368" s="10">
        <v>44711.76235517361</v>
      </c>
      <c r="I368" s="10">
        <v>44712.713375150466</v>
      </c>
      <c r="J368" s="8">
        <v>1.0</v>
      </c>
      <c r="K368" s="11">
        <v>1656548.89</v>
      </c>
      <c r="L368" s="8" t="str">
        <f>+VLOOKUP(A368,Hoja2!$A$2:$X$2596,19,FALSE)</f>
        <v>#N/A</v>
      </c>
      <c r="M368" s="9" t="str">
        <f>+VLOOKUP(A368,Hoja2!$A$2:$X$2596,15,FALSE)</f>
        <v>#N/A</v>
      </c>
      <c r="N368" s="9" t="str">
        <f>+VLOOKUP(A368,Hoja2!$A$2:$X$2596,17,FALSE)</f>
        <v>#N/A</v>
      </c>
      <c r="O368" s="9" t="str">
        <f>+VLOOKUP(A368,Hoja2!$A$2:$X$2596,22,FALSE)</f>
        <v>#N/A</v>
      </c>
      <c r="P368" s="9" t="str">
        <f>+VLOOKUP(A368,Hoja2!$A$2:$X$2596,23,FALSE)</f>
        <v>#N/A</v>
      </c>
      <c r="Q368" s="9" t="str">
        <f>+VLOOKUP(A368,Hoja2!$A$2:$X$2596,24,FALSE)</f>
        <v>#N/A</v>
      </c>
    </row>
    <row r="369" ht="15.75" hidden="1" customHeight="1">
      <c r="A369" s="8">
        <v>2410708.0</v>
      </c>
      <c r="B369" s="8">
        <v>2410708.0</v>
      </c>
      <c r="C369" s="9" t="s">
        <v>19</v>
      </c>
      <c r="D369" s="8">
        <v>4.0</v>
      </c>
      <c r="E369" s="8">
        <v>1.0</v>
      </c>
      <c r="F369" s="8">
        <v>0.0</v>
      </c>
      <c r="G369" s="9" t="s">
        <v>18</v>
      </c>
      <c r="H369" s="10">
        <v>44760.51230795139</v>
      </c>
      <c r="I369" s="10">
        <v>44881.359339849536</v>
      </c>
      <c r="J369" s="8">
        <v>121.0</v>
      </c>
      <c r="K369" s="11">
        <v>1656548.89</v>
      </c>
      <c r="L369" s="8" t="str">
        <f>+VLOOKUP(A369,Hoja2!$A$2:$X$2596,19,FALSE)</f>
        <v>#N/A</v>
      </c>
      <c r="M369" s="9" t="str">
        <f>+VLOOKUP(A369,Hoja2!$A$2:$X$2596,15,FALSE)</f>
        <v>#N/A</v>
      </c>
      <c r="N369" s="9" t="str">
        <f>+VLOOKUP(A369,Hoja2!$A$2:$X$2596,17,FALSE)</f>
        <v>#N/A</v>
      </c>
      <c r="O369" s="9" t="str">
        <f>+VLOOKUP(A369,Hoja2!$A$2:$X$2596,22,FALSE)</f>
        <v>#N/A</v>
      </c>
      <c r="P369" s="9" t="str">
        <f>+VLOOKUP(A369,Hoja2!$A$2:$X$2596,23,FALSE)</f>
        <v>#N/A</v>
      </c>
      <c r="Q369" s="9" t="str">
        <f>+VLOOKUP(A369,Hoja2!$A$2:$X$2596,24,FALSE)</f>
        <v>#N/A</v>
      </c>
    </row>
    <row r="370" ht="15.75" hidden="1" customHeight="1">
      <c r="A370" s="8">
        <v>2410708.0</v>
      </c>
      <c r="B370" s="8">
        <v>2410708.0</v>
      </c>
      <c r="C370" s="9" t="s">
        <v>17</v>
      </c>
      <c r="D370" s="8">
        <v>2.0</v>
      </c>
      <c r="E370" s="8">
        <v>0.0</v>
      </c>
      <c r="F370" s="8">
        <v>0.0</v>
      </c>
      <c r="G370" s="9" t="s">
        <v>21</v>
      </c>
      <c r="H370" s="10">
        <v>45350.41434899306</v>
      </c>
      <c r="I370" s="10">
        <v>45359.7255996875</v>
      </c>
      <c r="J370" s="8">
        <v>9.0</v>
      </c>
      <c r="K370" s="11">
        <v>1656548.89</v>
      </c>
      <c r="L370" s="8" t="str">
        <f>+VLOOKUP(A370,Hoja2!$A$2:$X$2596,19,FALSE)</f>
        <v>#N/A</v>
      </c>
      <c r="M370" s="9" t="str">
        <f>+VLOOKUP(A370,Hoja2!$A$2:$X$2596,15,FALSE)</f>
        <v>#N/A</v>
      </c>
      <c r="N370" s="9" t="str">
        <f>+VLOOKUP(A370,Hoja2!$A$2:$X$2596,17,FALSE)</f>
        <v>#N/A</v>
      </c>
      <c r="O370" s="9" t="str">
        <f>+VLOOKUP(A370,Hoja2!$A$2:$X$2596,22,FALSE)</f>
        <v>#N/A</v>
      </c>
      <c r="P370" s="9" t="str">
        <f>+VLOOKUP(A370,Hoja2!$A$2:$X$2596,23,FALSE)</f>
        <v>#N/A</v>
      </c>
      <c r="Q370" s="9" t="str">
        <f>+VLOOKUP(A370,Hoja2!$A$2:$X$2596,24,FALSE)</f>
        <v>#N/A</v>
      </c>
    </row>
    <row r="371" ht="15.75" hidden="1" customHeight="1">
      <c r="A371" s="8">
        <v>2411557.0</v>
      </c>
      <c r="B371" s="8">
        <v>2411557.0</v>
      </c>
      <c r="C371" s="9" t="s">
        <v>17</v>
      </c>
      <c r="D371" s="8">
        <v>3.0</v>
      </c>
      <c r="E371" s="8">
        <v>0.0</v>
      </c>
      <c r="F371" s="8">
        <v>0.0</v>
      </c>
      <c r="G371" s="9" t="s">
        <v>21</v>
      </c>
      <c r="H371" s="10">
        <v>45142.68497195602</v>
      </c>
      <c r="I371" s="10">
        <v>45210.71110547454</v>
      </c>
      <c r="J371" s="8">
        <v>68.0</v>
      </c>
      <c r="K371" s="11">
        <v>1229593.54</v>
      </c>
      <c r="L371" s="8" t="str">
        <f>+VLOOKUP(A371,Hoja2!$A$2:$X$2596,19,FALSE)</f>
        <v>#N/A</v>
      </c>
      <c r="M371" s="9" t="str">
        <f>+VLOOKUP(A371,Hoja2!$A$2:$X$2596,15,FALSE)</f>
        <v>#N/A</v>
      </c>
      <c r="N371" s="9" t="str">
        <f>+VLOOKUP(A371,Hoja2!$A$2:$X$2596,17,FALSE)</f>
        <v>#N/A</v>
      </c>
      <c r="O371" s="9" t="str">
        <f>+VLOOKUP(A371,Hoja2!$A$2:$X$2596,22,FALSE)</f>
        <v>#N/A</v>
      </c>
      <c r="P371" s="9" t="str">
        <f>+VLOOKUP(A371,Hoja2!$A$2:$X$2596,23,FALSE)</f>
        <v>#N/A</v>
      </c>
      <c r="Q371" s="9" t="str">
        <f>+VLOOKUP(A371,Hoja2!$A$2:$X$2596,24,FALSE)</f>
        <v>#N/A</v>
      </c>
    </row>
    <row r="372" ht="15.75" hidden="1" customHeight="1">
      <c r="A372" s="8">
        <v>2415568.0</v>
      </c>
      <c r="B372" s="8">
        <v>2415568.0</v>
      </c>
      <c r="C372" s="9" t="s">
        <v>17</v>
      </c>
      <c r="D372" s="8">
        <v>2.0</v>
      </c>
      <c r="E372" s="8">
        <v>0.0</v>
      </c>
      <c r="F372" s="8">
        <v>0.0</v>
      </c>
      <c r="G372" s="9" t="s">
        <v>21</v>
      </c>
      <c r="H372" s="10">
        <v>44264.65582086806</v>
      </c>
      <c r="I372" s="10">
        <v>44270.69006851852</v>
      </c>
      <c r="J372" s="8">
        <v>6.0</v>
      </c>
      <c r="K372" s="11">
        <v>1.172004618E7</v>
      </c>
      <c r="L372" s="8" t="str">
        <f>+VLOOKUP(A372,Hoja2!$A$2:$X$2596,19,FALSE)</f>
        <v>#N/A</v>
      </c>
      <c r="M372" s="9" t="str">
        <f>+VLOOKUP(A372,Hoja2!$A$2:$X$2596,15,FALSE)</f>
        <v>#N/A</v>
      </c>
      <c r="N372" s="9" t="str">
        <f>+VLOOKUP(A372,Hoja2!$A$2:$X$2596,17,FALSE)</f>
        <v>#N/A</v>
      </c>
      <c r="O372" s="9" t="str">
        <f>+VLOOKUP(A372,Hoja2!$A$2:$X$2596,22,FALSE)</f>
        <v>#N/A</v>
      </c>
      <c r="P372" s="9" t="str">
        <f>+VLOOKUP(A372,Hoja2!$A$2:$X$2596,23,FALSE)</f>
        <v>#N/A</v>
      </c>
      <c r="Q372" s="9" t="str">
        <f>+VLOOKUP(A372,Hoja2!$A$2:$X$2596,24,FALSE)</f>
        <v>#N/A</v>
      </c>
    </row>
    <row r="373" ht="15.75" hidden="1" customHeight="1">
      <c r="A373" s="8">
        <v>2418814.0</v>
      </c>
      <c r="B373" s="8">
        <v>2418814.0</v>
      </c>
      <c r="C373" s="9" t="s">
        <v>19</v>
      </c>
      <c r="D373" s="8">
        <v>7.0</v>
      </c>
      <c r="E373" s="8">
        <v>0.0</v>
      </c>
      <c r="F373" s="8">
        <v>0.0</v>
      </c>
      <c r="G373" s="9" t="s">
        <v>21</v>
      </c>
      <c r="H373" s="10">
        <v>44385.66033082176</v>
      </c>
      <c r="I373" s="10">
        <v>44452.45402673611</v>
      </c>
      <c r="J373" s="8">
        <v>67.0</v>
      </c>
      <c r="K373" s="11">
        <v>3.558740896E7</v>
      </c>
      <c r="L373" s="8" t="str">
        <f>+VLOOKUP(A373,Hoja2!$A$2:$X$2596,19,FALSE)</f>
        <v>#N/A</v>
      </c>
      <c r="M373" s="9" t="str">
        <f>+VLOOKUP(A373,Hoja2!$A$2:$X$2596,15,FALSE)</f>
        <v>#N/A</v>
      </c>
      <c r="N373" s="9" t="str">
        <f>+VLOOKUP(A373,Hoja2!$A$2:$X$2596,17,FALSE)</f>
        <v>#N/A</v>
      </c>
      <c r="O373" s="9" t="str">
        <f>+VLOOKUP(A373,Hoja2!$A$2:$X$2596,22,FALSE)</f>
        <v>#N/A</v>
      </c>
      <c r="P373" s="9" t="str">
        <f>+VLOOKUP(A373,Hoja2!$A$2:$X$2596,23,FALSE)</f>
        <v>#N/A</v>
      </c>
      <c r="Q373" s="9" t="str">
        <f>+VLOOKUP(A373,Hoja2!$A$2:$X$2596,24,FALSE)</f>
        <v>#N/A</v>
      </c>
    </row>
    <row r="374" ht="15.75" hidden="1" customHeight="1">
      <c r="A374" s="8">
        <v>2418814.0</v>
      </c>
      <c r="B374" s="8">
        <v>2418814.0</v>
      </c>
      <c r="C374" s="9" t="s">
        <v>17</v>
      </c>
      <c r="D374" s="8">
        <v>1.0</v>
      </c>
      <c r="E374" s="8">
        <v>2.0</v>
      </c>
      <c r="F374" s="8">
        <v>0.0</v>
      </c>
      <c r="G374" s="9" t="s">
        <v>18</v>
      </c>
      <c r="H374" s="10">
        <v>44455.37350292824</v>
      </c>
      <c r="I374" s="10">
        <v>44511.52205802083</v>
      </c>
      <c r="J374" s="8">
        <v>56.0</v>
      </c>
      <c r="K374" s="11">
        <v>3.558740896E7</v>
      </c>
      <c r="L374" s="8" t="str">
        <f>+VLOOKUP(A374,Hoja2!$A$2:$X$2596,19,FALSE)</f>
        <v>#N/A</v>
      </c>
      <c r="M374" s="9" t="str">
        <f>+VLOOKUP(A374,Hoja2!$A$2:$X$2596,15,FALSE)</f>
        <v>#N/A</v>
      </c>
      <c r="N374" s="9" t="str">
        <f>+VLOOKUP(A374,Hoja2!$A$2:$X$2596,17,FALSE)</f>
        <v>#N/A</v>
      </c>
      <c r="O374" s="9" t="str">
        <f>+VLOOKUP(A374,Hoja2!$A$2:$X$2596,22,FALSE)</f>
        <v>#N/A</v>
      </c>
      <c r="P374" s="9" t="str">
        <f>+VLOOKUP(A374,Hoja2!$A$2:$X$2596,23,FALSE)</f>
        <v>#N/A</v>
      </c>
      <c r="Q374" s="9" t="str">
        <f>+VLOOKUP(A374,Hoja2!$A$2:$X$2596,24,FALSE)</f>
        <v>#N/A</v>
      </c>
    </row>
    <row r="375" ht="15.75" hidden="1" customHeight="1">
      <c r="A375" s="8">
        <v>2418814.0</v>
      </c>
      <c r="B375" s="8">
        <v>2418814.0</v>
      </c>
      <c r="C375" s="9" t="s">
        <v>19</v>
      </c>
      <c r="D375" s="8">
        <v>5.0</v>
      </c>
      <c r="E375" s="8">
        <v>2.0</v>
      </c>
      <c r="F375" s="8">
        <v>0.0</v>
      </c>
      <c r="G375" s="9" t="s">
        <v>18</v>
      </c>
      <c r="H375" s="10">
        <v>44554.77691311343</v>
      </c>
      <c r="I375" s="10">
        <v>44673.623093483795</v>
      </c>
      <c r="J375" s="8">
        <v>119.0</v>
      </c>
      <c r="K375" s="11">
        <v>3.558740896E7</v>
      </c>
      <c r="L375" s="8" t="str">
        <f>+VLOOKUP(A375,Hoja2!$A$2:$X$2596,19,FALSE)</f>
        <v>#N/A</v>
      </c>
      <c r="M375" s="9" t="str">
        <f>+VLOOKUP(A375,Hoja2!$A$2:$X$2596,15,FALSE)</f>
        <v>#N/A</v>
      </c>
      <c r="N375" s="9" t="str">
        <f>+VLOOKUP(A375,Hoja2!$A$2:$X$2596,17,FALSE)</f>
        <v>#N/A</v>
      </c>
      <c r="O375" s="9" t="str">
        <f>+VLOOKUP(A375,Hoja2!$A$2:$X$2596,22,FALSE)</f>
        <v>#N/A</v>
      </c>
      <c r="P375" s="9" t="str">
        <f>+VLOOKUP(A375,Hoja2!$A$2:$X$2596,23,FALSE)</f>
        <v>#N/A</v>
      </c>
      <c r="Q375" s="9" t="str">
        <f>+VLOOKUP(A375,Hoja2!$A$2:$X$2596,24,FALSE)</f>
        <v>#N/A</v>
      </c>
    </row>
    <row r="376" ht="15.75" hidden="1" customHeight="1">
      <c r="A376" s="8">
        <v>2421285.0</v>
      </c>
      <c r="B376" s="8">
        <v>157271.0</v>
      </c>
      <c r="C376" s="9" t="s">
        <v>19</v>
      </c>
      <c r="D376" s="8">
        <v>3.0</v>
      </c>
      <c r="E376" s="8">
        <v>0.0</v>
      </c>
      <c r="F376" s="8">
        <v>0.0</v>
      </c>
      <c r="G376" s="9" t="s">
        <v>21</v>
      </c>
      <c r="H376" s="10">
        <v>44245.573635532404</v>
      </c>
      <c r="I376" s="10">
        <v>44256.69303070602</v>
      </c>
      <c r="J376" s="8">
        <v>11.0</v>
      </c>
      <c r="K376" s="11">
        <v>1.620307575E7</v>
      </c>
      <c r="L376" s="8" t="str">
        <f>+VLOOKUP(A376,Hoja2!$A$2:$X$2596,19,FALSE)</f>
        <v>Actos Previos</v>
      </c>
      <c r="M376" s="9">
        <f>+VLOOKUP(A376,Hoja2!$A$2:$X$2596,15,FALSE)</f>
        <v>0</v>
      </c>
      <c r="N376" s="9" t="str">
        <f>+VLOOKUP(A376,Hoja2!$A$2:$X$2596,17,FALSE)</f>
        <v/>
      </c>
      <c r="O376" s="9" t="str">
        <f>+VLOOKUP(A376,Hoja2!$A$2:$X$2596,22,FALSE)</f>
        <v/>
      </c>
      <c r="P376" s="9" t="str">
        <f>+VLOOKUP(A376,Hoja2!$A$2:$X$2596,23,FALSE)</f>
        <v/>
      </c>
      <c r="Q376" s="9" t="str">
        <f>+VLOOKUP(A376,Hoja2!$A$2:$X$2596,24,FALSE)</f>
        <v/>
      </c>
    </row>
    <row r="377" ht="15.75" hidden="1" customHeight="1">
      <c r="A377" s="8">
        <v>2421285.0</v>
      </c>
      <c r="B377" s="8">
        <v>157271.0</v>
      </c>
      <c r="C377" s="9" t="s">
        <v>17</v>
      </c>
      <c r="D377" s="8">
        <v>2.0</v>
      </c>
      <c r="E377" s="8">
        <v>0.0</v>
      </c>
      <c r="F377" s="8">
        <v>0.0</v>
      </c>
      <c r="G377" s="9" t="s">
        <v>21</v>
      </c>
      <c r="H377" s="10">
        <v>44669.67002835648</v>
      </c>
      <c r="I377" s="10">
        <v>44673.62254077546</v>
      </c>
      <c r="J377" s="8">
        <v>4.0</v>
      </c>
      <c r="K377" s="11">
        <v>1.620307575E7</v>
      </c>
      <c r="L377" s="8" t="str">
        <f>+VLOOKUP(A377,Hoja2!$A$2:$X$2596,19,FALSE)</f>
        <v>Actos Previos</v>
      </c>
      <c r="M377" s="9">
        <f>+VLOOKUP(A377,Hoja2!$A$2:$X$2596,15,FALSE)</f>
        <v>0</v>
      </c>
      <c r="N377" s="9" t="str">
        <f>+VLOOKUP(A377,Hoja2!$A$2:$X$2596,17,FALSE)</f>
        <v/>
      </c>
      <c r="O377" s="9" t="str">
        <f>+VLOOKUP(A377,Hoja2!$A$2:$X$2596,22,FALSE)</f>
        <v/>
      </c>
      <c r="P377" s="9" t="str">
        <f>+VLOOKUP(A377,Hoja2!$A$2:$X$2596,23,FALSE)</f>
        <v/>
      </c>
      <c r="Q377" s="9" t="str">
        <f>+VLOOKUP(A377,Hoja2!$A$2:$X$2596,24,FALSE)</f>
        <v/>
      </c>
    </row>
    <row r="378" ht="15.75" hidden="1" customHeight="1">
      <c r="A378" s="8">
        <v>2421285.0</v>
      </c>
      <c r="B378" s="8">
        <v>157271.0</v>
      </c>
      <c r="C378" s="9" t="s">
        <v>17</v>
      </c>
      <c r="D378" s="8">
        <v>2.0</v>
      </c>
      <c r="E378" s="8">
        <v>0.0</v>
      </c>
      <c r="F378" s="8">
        <v>0.0</v>
      </c>
      <c r="G378" s="9" t="s">
        <v>21</v>
      </c>
      <c r="H378" s="10">
        <v>44808.97175443287</v>
      </c>
      <c r="I378" s="10">
        <v>44823.69564413194</v>
      </c>
      <c r="J378" s="8">
        <v>15.0</v>
      </c>
      <c r="K378" s="11">
        <v>1.620307575E7</v>
      </c>
      <c r="L378" s="8" t="str">
        <f>+VLOOKUP(A378,Hoja2!$A$2:$X$2596,19,FALSE)</f>
        <v>Actos Previos</v>
      </c>
      <c r="M378" s="9">
        <f>+VLOOKUP(A378,Hoja2!$A$2:$X$2596,15,FALSE)</f>
        <v>0</v>
      </c>
      <c r="N378" s="9" t="str">
        <f>+VLOOKUP(A378,Hoja2!$A$2:$X$2596,17,FALSE)</f>
        <v/>
      </c>
      <c r="O378" s="9" t="str">
        <f>+VLOOKUP(A378,Hoja2!$A$2:$X$2596,22,FALSE)</f>
        <v/>
      </c>
      <c r="P378" s="9" t="str">
        <f>+VLOOKUP(A378,Hoja2!$A$2:$X$2596,23,FALSE)</f>
        <v/>
      </c>
      <c r="Q378" s="9" t="str">
        <f>+VLOOKUP(A378,Hoja2!$A$2:$X$2596,24,FALSE)</f>
        <v/>
      </c>
    </row>
    <row r="379" ht="15.75" hidden="1" customHeight="1">
      <c r="A379" s="8">
        <v>2421285.0</v>
      </c>
      <c r="B379" s="8">
        <v>157271.0</v>
      </c>
      <c r="C379" s="9" t="s">
        <v>19</v>
      </c>
      <c r="D379" s="8">
        <v>4.0</v>
      </c>
      <c r="E379" s="8">
        <v>3.0</v>
      </c>
      <c r="F379" s="8">
        <v>0.0</v>
      </c>
      <c r="G379" s="9" t="s">
        <v>18</v>
      </c>
      <c r="H379" s="10">
        <v>45070.2836028588</v>
      </c>
      <c r="I379" s="10">
        <v>45251.77042581019</v>
      </c>
      <c r="J379" s="8">
        <v>181.0</v>
      </c>
      <c r="K379" s="11">
        <v>1.620307575E7</v>
      </c>
      <c r="L379" s="8" t="str">
        <f>+VLOOKUP(A379,Hoja2!$A$2:$X$2596,19,FALSE)</f>
        <v>Actos Previos</v>
      </c>
      <c r="M379" s="9">
        <f>+VLOOKUP(A379,Hoja2!$A$2:$X$2596,15,FALSE)</f>
        <v>0</v>
      </c>
      <c r="N379" s="9" t="str">
        <f>+VLOOKUP(A379,Hoja2!$A$2:$X$2596,17,FALSE)</f>
        <v/>
      </c>
      <c r="O379" s="9" t="str">
        <f>+VLOOKUP(A379,Hoja2!$A$2:$X$2596,22,FALSE)</f>
        <v/>
      </c>
      <c r="P379" s="9" t="str">
        <f>+VLOOKUP(A379,Hoja2!$A$2:$X$2596,23,FALSE)</f>
        <v/>
      </c>
      <c r="Q379" s="9" t="str">
        <f>+VLOOKUP(A379,Hoja2!$A$2:$X$2596,24,FALSE)</f>
        <v/>
      </c>
    </row>
    <row r="380" ht="15.75" customHeight="1">
      <c r="A380" s="8">
        <v>2421285.0</v>
      </c>
      <c r="B380" s="8">
        <v>157271.0</v>
      </c>
      <c r="C380" s="9" t="s">
        <v>20</v>
      </c>
      <c r="D380" s="8">
        <v>1.0</v>
      </c>
      <c r="E380" s="8">
        <v>1.0</v>
      </c>
      <c r="F380" s="8">
        <v>0.0</v>
      </c>
      <c r="G380" s="9" t="s">
        <v>18</v>
      </c>
      <c r="H380" s="10">
        <v>45254.80554872685</v>
      </c>
      <c r="I380" s="10">
        <v>45259.53582557871</v>
      </c>
      <c r="J380" s="8">
        <v>5.0</v>
      </c>
      <c r="K380" s="11">
        <v>1.620307575E7</v>
      </c>
      <c r="L380" s="8" t="str">
        <f>+VLOOKUP(A380,Hoja2!$A$2:$X$2596,19,FALSE)</f>
        <v>Actos Previos</v>
      </c>
      <c r="M380" s="9">
        <f>+VLOOKUP(A380,Hoja2!$A$2:$X$2596,15,FALSE)</f>
        <v>0</v>
      </c>
      <c r="N380" s="9" t="str">
        <f>+VLOOKUP(A380,Hoja2!$A$2:$X$2596,17,FALSE)</f>
        <v/>
      </c>
      <c r="O380" s="9" t="str">
        <f>+VLOOKUP(A380,Hoja2!$A$2:$X$2596,22,FALSE)</f>
        <v/>
      </c>
      <c r="P380" s="9" t="str">
        <f>+VLOOKUP(A380,Hoja2!$A$2:$X$2596,23,FALSE)</f>
        <v/>
      </c>
      <c r="Q380" s="9" t="str">
        <f>+VLOOKUP(A380,Hoja2!$A$2:$X$2596,24,FALSE)</f>
        <v/>
      </c>
    </row>
    <row r="381" ht="15.75" hidden="1" customHeight="1">
      <c r="A381" s="8">
        <v>2421412.0</v>
      </c>
      <c r="B381" s="8">
        <v>2421412.0</v>
      </c>
      <c r="C381" s="9" t="s">
        <v>19</v>
      </c>
      <c r="D381" s="8">
        <v>4.0</v>
      </c>
      <c r="E381" s="8">
        <v>0.0</v>
      </c>
      <c r="F381" s="8">
        <v>0.0</v>
      </c>
      <c r="G381" s="9" t="s">
        <v>21</v>
      </c>
      <c r="H381" s="10">
        <v>44602.6857090625</v>
      </c>
      <c r="I381" s="10">
        <v>44684.70885</v>
      </c>
      <c r="J381" s="8">
        <v>82.0</v>
      </c>
      <c r="K381" s="11">
        <v>1.107490609E7</v>
      </c>
      <c r="L381" s="8" t="str">
        <f>+VLOOKUP(A381,Hoja2!$A$2:$X$2596,19,FALSE)</f>
        <v>En Ejecución</v>
      </c>
      <c r="M381" s="9">
        <f>+VLOOKUP(A381,Hoja2!$A$2:$X$2596,15,FALSE)</f>
        <v>10726884.24</v>
      </c>
      <c r="N381" s="9">
        <f>+VLOOKUP(A381,Hoja2!$A$2:$X$2596,17,FALSE)</f>
        <v>482709.67</v>
      </c>
      <c r="O381" s="9" t="str">
        <f>+VLOOKUP(A381,Hoja2!$A$2:$X$2596,22,FALSE)</f>
        <v/>
      </c>
      <c r="P381" s="9" t="str">
        <f>+VLOOKUP(A381,Hoja2!$A$2:$X$2596,23,FALSE)</f>
        <v/>
      </c>
      <c r="Q381" s="9" t="str">
        <f>+VLOOKUP(A381,Hoja2!$A$2:$X$2596,24,FALSE)</f>
        <v/>
      </c>
    </row>
    <row r="382" ht="15.75" hidden="1" customHeight="1">
      <c r="A382" s="8">
        <v>2421412.0</v>
      </c>
      <c r="B382" s="8">
        <v>2421412.0</v>
      </c>
      <c r="C382" s="9" t="s">
        <v>19</v>
      </c>
      <c r="D382" s="8">
        <v>4.0</v>
      </c>
      <c r="E382" s="8">
        <v>0.0</v>
      </c>
      <c r="F382" s="8">
        <v>0.0</v>
      </c>
      <c r="G382" s="9" t="s">
        <v>21</v>
      </c>
      <c r="H382" s="10">
        <v>44721.67602195602</v>
      </c>
      <c r="I382" s="10">
        <v>44846.81345760417</v>
      </c>
      <c r="J382" s="8">
        <v>125.0</v>
      </c>
      <c r="K382" s="11">
        <v>1.107490609E7</v>
      </c>
      <c r="L382" s="8" t="str">
        <f>+VLOOKUP(A382,Hoja2!$A$2:$X$2596,19,FALSE)</f>
        <v>En Ejecución</v>
      </c>
      <c r="M382" s="9">
        <f>+VLOOKUP(A382,Hoja2!$A$2:$X$2596,15,FALSE)</f>
        <v>10726884.24</v>
      </c>
      <c r="N382" s="9">
        <f>+VLOOKUP(A382,Hoja2!$A$2:$X$2596,17,FALSE)</f>
        <v>482709.67</v>
      </c>
      <c r="O382" s="9" t="str">
        <f>+VLOOKUP(A382,Hoja2!$A$2:$X$2596,22,FALSE)</f>
        <v/>
      </c>
      <c r="P382" s="9" t="str">
        <f>+VLOOKUP(A382,Hoja2!$A$2:$X$2596,23,FALSE)</f>
        <v/>
      </c>
      <c r="Q382" s="9" t="str">
        <f>+VLOOKUP(A382,Hoja2!$A$2:$X$2596,24,FALSE)</f>
        <v/>
      </c>
    </row>
    <row r="383" ht="15.75" hidden="1" customHeight="1">
      <c r="A383" s="8">
        <v>2421412.0</v>
      </c>
      <c r="B383" s="8">
        <v>2421412.0</v>
      </c>
      <c r="C383" s="9" t="s">
        <v>17</v>
      </c>
      <c r="D383" s="8">
        <v>3.0</v>
      </c>
      <c r="E383" s="8">
        <v>0.0</v>
      </c>
      <c r="F383" s="8">
        <v>0.0</v>
      </c>
      <c r="G383" s="9" t="s">
        <v>21</v>
      </c>
      <c r="H383" s="10">
        <v>44861.42021736111</v>
      </c>
      <c r="I383" s="10">
        <v>44876.52390309028</v>
      </c>
      <c r="J383" s="8">
        <v>15.0</v>
      </c>
      <c r="K383" s="11">
        <v>1.107490609E7</v>
      </c>
      <c r="L383" s="8" t="str">
        <f>+VLOOKUP(A383,Hoja2!$A$2:$X$2596,19,FALSE)</f>
        <v>En Ejecución</v>
      </c>
      <c r="M383" s="9">
        <f>+VLOOKUP(A383,Hoja2!$A$2:$X$2596,15,FALSE)</f>
        <v>10726884.24</v>
      </c>
      <c r="N383" s="9">
        <f>+VLOOKUP(A383,Hoja2!$A$2:$X$2596,17,FALSE)</f>
        <v>482709.67</v>
      </c>
      <c r="O383" s="9" t="str">
        <f>+VLOOKUP(A383,Hoja2!$A$2:$X$2596,22,FALSE)</f>
        <v/>
      </c>
      <c r="P383" s="9" t="str">
        <f>+VLOOKUP(A383,Hoja2!$A$2:$X$2596,23,FALSE)</f>
        <v/>
      </c>
      <c r="Q383" s="9" t="str">
        <f>+VLOOKUP(A383,Hoja2!$A$2:$X$2596,24,FALSE)</f>
        <v/>
      </c>
    </row>
    <row r="384" ht="15.75" customHeight="1">
      <c r="A384" s="8">
        <v>2421412.0</v>
      </c>
      <c r="B384" s="8">
        <v>2421412.0</v>
      </c>
      <c r="C384" s="9" t="s">
        <v>20</v>
      </c>
      <c r="D384" s="8">
        <v>2.0</v>
      </c>
      <c r="E384" s="8">
        <v>4.0</v>
      </c>
      <c r="F384" s="8">
        <v>0.0</v>
      </c>
      <c r="G384" s="9" t="s">
        <v>18</v>
      </c>
      <c r="H384" s="10">
        <v>45303.851679479165</v>
      </c>
      <c r="I384" s="10">
        <v>45374.03002719907</v>
      </c>
      <c r="J384" s="8">
        <v>71.0</v>
      </c>
      <c r="K384" s="11">
        <v>1.107490609E7</v>
      </c>
      <c r="L384" s="8" t="str">
        <f>+VLOOKUP(A384,Hoja2!$A$2:$X$2596,19,FALSE)</f>
        <v>En Ejecución</v>
      </c>
      <c r="M384" s="9">
        <f>+VLOOKUP(A384,Hoja2!$A$2:$X$2596,15,FALSE)</f>
        <v>10726884.24</v>
      </c>
      <c r="N384" s="9">
        <f>+VLOOKUP(A384,Hoja2!$A$2:$X$2596,17,FALSE)</f>
        <v>482709.67</v>
      </c>
      <c r="O384" s="9" t="str">
        <f>+VLOOKUP(A384,Hoja2!$A$2:$X$2596,22,FALSE)</f>
        <v/>
      </c>
      <c r="P384" s="9" t="str">
        <f>+VLOOKUP(A384,Hoja2!$A$2:$X$2596,23,FALSE)</f>
        <v/>
      </c>
      <c r="Q384" s="9" t="str">
        <f>+VLOOKUP(A384,Hoja2!$A$2:$X$2596,24,FALSE)</f>
        <v/>
      </c>
    </row>
    <row r="385" ht="15.75" hidden="1" customHeight="1">
      <c r="A385" s="8">
        <v>2421416.0</v>
      </c>
      <c r="B385" s="8">
        <v>2421416.0</v>
      </c>
      <c r="C385" s="9" t="s">
        <v>19</v>
      </c>
      <c r="D385" s="8">
        <v>4.0</v>
      </c>
      <c r="E385" s="8">
        <v>0.0</v>
      </c>
      <c r="F385" s="8">
        <v>0.0</v>
      </c>
      <c r="G385" s="9" t="s">
        <v>21</v>
      </c>
      <c r="H385" s="10">
        <v>44604.39194563658</v>
      </c>
      <c r="I385" s="10">
        <v>44684.68912789352</v>
      </c>
      <c r="J385" s="8">
        <v>80.0</v>
      </c>
      <c r="K385" s="11">
        <v>7233122.74</v>
      </c>
      <c r="L385" s="8" t="str">
        <f>+VLOOKUP(A385,Hoja2!$A$2:$X$2596,19,FALSE)</f>
        <v>#N/A</v>
      </c>
      <c r="M385" s="9" t="str">
        <f>+VLOOKUP(A385,Hoja2!$A$2:$X$2596,15,FALSE)</f>
        <v>#N/A</v>
      </c>
      <c r="N385" s="9" t="str">
        <f>+VLOOKUP(A385,Hoja2!$A$2:$X$2596,17,FALSE)</f>
        <v>#N/A</v>
      </c>
      <c r="O385" s="9" t="str">
        <f>+VLOOKUP(A385,Hoja2!$A$2:$X$2596,22,FALSE)</f>
        <v>#N/A</v>
      </c>
      <c r="P385" s="9" t="str">
        <f>+VLOOKUP(A385,Hoja2!$A$2:$X$2596,23,FALSE)</f>
        <v>#N/A</v>
      </c>
      <c r="Q385" s="9" t="str">
        <f>+VLOOKUP(A385,Hoja2!$A$2:$X$2596,24,FALSE)</f>
        <v>#N/A</v>
      </c>
    </row>
    <row r="386" ht="15.75" hidden="1" customHeight="1">
      <c r="A386" s="8">
        <v>2421416.0</v>
      </c>
      <c r="B386" s="8">
        <v>2421416.0</v>
      </c>
      <c r="C386" s="9" t="s">
        <v>17</v>
      </c>
      <c r="D386" s="8">
        <v>5.0</v>
      </c>
      <c r="E386" s="8">
        <v>0.0</v>
      </c>
      <c r="F386" s="8">
        <v>0.0</v>
      </c>
      <c r="G386" s="9" t="s">
        <v>21</v>
      </c>
      <c r="H386" s="10">
        <v>44721.662851354165</v>
      </c>
      <c r="I386" s="10">
        <v>44798.799339502315</v>
      </c>
      <c r="J386" s="8">
        <v>77.0</v>
      </c>
      <c r="K386" s="11">
        <v>7233122.74</v>
      </c>
      <c r="L386" s="8" t="str">
        <f>+VLOOKUP(A386,Hoja2!$A$2:$X$2596,19,FALSE)</f>
        <v>#N/A</v>
      </c>
      <c r="M386" s="9" t="str">
        <f>+VLOOKUP(A386,Hoja2!$A$2:$X$2596,15,FALSE)</f>
        <v>#N/A</v>
      </c>
      <c r="N386" s="9" t="str">
        <f>+VLOOKUP(A386,Hoja2!$A$2:$X$2596,17,FALSE)</f>
        <v>#N/A</v>
      </c>
      <c r="O386" s="9" t="str">
        <f>+VLOOKUP(A386,Hoja2!$A$2:$X$2596,22,FALSE)</f>
        <v>#N/A</v>
      </c>
      <c r="P386" s="9" t="str">
        <f>+VLOOKUP(A386,Hoja2!$A$2:$X$2596,23,FALSE)</f>
        <v>#N/A</v>
      </c>
      <c r="Q386" s="9" t="str">
        <f>+VLOOKUP(A386,Hoja2!$A$2:$X$2596,24,FALSE)</f>
        <v>#N/A</v>
      </c>
    </row>
    <row r="387" ht="15.75" hidden="1" customHeight="1">
      <c r="A387" s="8">
        <v>2421416.0</v>
      </c>
      <c r="B387" s="8">
        <v>2421416.0</v>
      </c>
      <c r="C387" s="9" t="s">
        <v>19</v>
      </c>
      <c r="D387" s="8">
        <v>4.0</v>
      </c>
      <c r="E387" s="8">
        <v>0.0</v>
      </c>
      <c r="F387" s="8">
        <v>0.0</v>
      </c>
      <c r="G387" s="9" t="s">
        <v>21</v>
      </c>
      <c r="H387" s="10">
        <v>45267.713316898145</v>
      </c>
      <c r="I387" s="10">
        <v>45344.61557129629</v>
      </c>
      <c r="J387" s="8">
        <v>77.0</v>
      </c>
      <c r="K387" s="11">
        <v>7233122.74</v>
      </c>
      <c r="L387" s="8" t="str">
        <f>+VLOOKUP(A387,Hoja2!$A$2:$X$2596,19,FALSE)</f>
        <v>#N/A</v>
      </c>
      <c r="M387" s="9" t="str">
        <f>+VLOOKUP(A387,Hoja2!$A$2:$X$2596,15,FALSE)</f>
        <v>#N/A</v>
      </c>
      <c r="N387" s="9" t="str">
        <f>+VLOOKUP(A387,Hoja2!$A$2:$X$2596,17,FALSE)</f>
        <v>#N/A</v>
      </c>
      <c r="O387" s="9" t="str">
        <f>+VLOOKUP(A387,Hoja2!$A$2:$X$2596,22,FALSE)</f>
        <v>#N/A</v>
      </c>
      <c r="P387" s="9" t="str">
        <f>+VLOOKUP(A387,Hoja2!$A$2:$X$2596,23,FALSE)</f>
        <v>#N/A</v>
      </c>
      <c r="Q387" s="9" t="str">
        <f>+VLOOKUP(A387,Hoja2!$A$2:$X$2596,24,FALSE)</f>
        <v>#N/A</v>
      </c>
    </row>
    <row r="388" ht="15.75" hidden="1" customHeight="1">
      <c r="A388" s="8">
        <v>2428033.0</v>
      </c>
      <c r="B388" s="8">
        <v>2428033.0</v>
      </c>
      <c r="C388" s="9" t="s">
        <v>19</v>
      </c>
      <c r="D388" s="8">
        <v>2.0</v>
      </c>
      <c r="E388" s="8">
        <v>0.0</v>
      </c>
      <c r="F388" s="8">
        <v>0.0</v>
      </c>
      <c r="G388" s="9" t="s">
        <v>21</v>
      </c>
      <c r="H388" s="10">
        <v>44201.957729594906</v>
      </c>
      <c r="I388" s="10">
        <v>44204.72124591435</v>
      </c>
      <c r="J388" s="8">
        <v>3.0</v>
      </c>
      <c r="K388" s="11">
        <v>1566244.63</v>
      </c>
      <c r="L388" s="8" t="str">
        <f>+VLOOKUP(A388,Hoja2!$A$2:$X$2596,19,FALSE)</f>
        <v>#N/A</v>
      </c>
      <c r="M388" s="9" t="str">
        <f>+VLOOKUP(A388,Hoja2!$A$2:$X$2596,15,FALSE)</f>
        <v>#N/A</v>
      </c>
      <c r="N388" s="9" t="str">
        <f>+VLOOKUP(A388,Hoja2!$A$2:$X$2596,17,FALSE)</f>
        <v>#N/A</v>
      </c>
      <c r="O388" s="9" t="str">
        <f>+VLOOKUP(A388,Hoja2!$A$2:$X$2596,22,FALSE)</f>
        <v>#N/A</v>
      </c>
      <c r="P388" s="9" t="str">
        <f>+VLOOKUP(A388,Hoja2!$A$2:$X$2596,23,FALSE)</f>
        <v>#N/A</v>
      </c>
      <c r="Q388" s="9" t="str">
        <f>+VLOOKUP(A388,Hoja2!$A$2:$X$2596,24,FALSE)</f>
        <v>#N/A</v>
      </c>
    </row>
    <row r="389" ht="15.75" hidden="1" customHeight="1">
      <c r="A389" s="8">
        <v>2429929.0</v>
      </c>
      <c r="B389" s="8">
        <v>2429929.0</v>
      </c>
      <c r="C389" s="9" t="s">
        <v>19</v>
      </c>
      <c r="D389" s="8">
        <v>2.0</v>
      </c>
      <c r="E389" s="8">
        <v>2.0</v>
      </c>
      <c r="F389" s="8">
        <v>0.0</v>
      </c>
      <c r="G389" s="9" t="s">
        <v>18</v>
      </c>
      <c r="H389" s="10">
        <v>44253.409277893516</v>
      </c>
      <c r="I389" s="10">
        <v>44400.419348379626</v>
      </c>
      <c r="J389" s="8">
        <v>147.0</v>
      </c>
      <c r="K389" s="11">
        <v>2281199.2</v>
      </c>
      <c r="L389" s="8" t="str">
        <f>+VLOOKUP(A389,Hoja2!$A$2:$X$2596,19,FALSE)</f>
        <v>#N/A</v>
      </c>
      <c r="M389" s="9" t="str">
        <f>+VLOOKUP(A389,Hoja2!$A$2:$X$2596,15,FALSE)</f>
        <v>#N/A</v>
      </c>
      <c r="N389" s="9" t="str">
        <f>+VLOOKUP(A389,Hoja2!$A$2:$X$2596,17,FALSE)</f>
        <v>#N/A</v>
      </c>
      <c r="O389" s="9" t="str">
        <f>+VLOOKUP(A389,Hoja2!$A$2:$X$2596,22,FALSE)</f>
        <v>#N/A</v>
      </c>
      <c r="P389" s="9" t="str">
        <f>+VLOOKUP(A389,Hoja2!$A$2:$X$2596,23,FALSE)</f>
        <v>#N/A</v>
      </c>
      <c r="Q389" s="9" t="str">
        <f>+VLOOKUP(A389,Hoja2!$A$2:$X$2596,24,FALSE)</f>
        <v>#N/A</v>
      </c>
    </row>
    <row r="390" ht="15.75" hidden="1" customHeight="1">
      <c r="A390" s="8">
        <v>2429929.0</v>
      </c>
      <c r="B390" s="8">
        <v>2429929.0</v>
      </c>
      <c r="C390" s="9" t="s">
        <v>17</v>
      </c>
      <c r="D390" s="8">
        <v>2.0</v>
      </c>
      <c r="E390" s="8">
        <v>0.0</v>
      </c>
      <c r="F390" s="8">
        <v>0.0</v>
      </c>
      <c r="G390" s="9" t="s">
        <v>21</v>
      </c>
      <c r="H390" s="10">
        <v>44404.64884166667</v>
      </c>
      <c r="I390" s="10">
        <v>44417.477131747684</v>
      </c>
      <c r="J390" s="8">
        <v>13.0</v>
      </c>
      <c r="K390" s="11">
        <v>2281199.2</v>
      </c>
      <c r="L390" s="8" t="str">
        <f>+VLOOKUP(A390,Hoja2!$A$2:$X$2596,19,FALSE)</f>
        <v>#N/A</v>
      </c>
      <c r="M390" s="9" t="str">
        <f>+VLOOKUP(A390,Hoja2!$A$2:$X$2596,15,FALSE)</f>
        <v>#N/A</v>
      </c>
      <c r="N390" s="9" t="str">
        <f>+VLOOKUP(A390,Hoja2!$A$2:$X$2596,17,FALSE)</f>
        <v>#N/A</v>
      </c>
      <c r="O390" s="9" t="str">
        <f>+VLOOKUP(A390,Hoja2!$A$2:$X$2596,22,FALSE)</f>
        <v>#N/A</v>
      </c>
      <c r="P390" s="9" t="str">
        <f>+VLOOKUP(A390,Hoja2!$A$2:$X$2596,23,FALSE)</f>
        <v>#N/A</v>
      </c>
      <c r="Q390" s="9" t="str">
        <f>+VLOOKUP(A390,Hoja2!$A$2:$X$2596,24,FALSE)</f>
        <v>#N/A</v>
      </c>
    </row>
    <row r="391" ht="15.75" hidden="1" customHeight="1">
      <c r="A391" s="8">
        <v>2433572.0</v>
      </c>
      <c r="B391" s="8">
        <v>2433572.0</v>
      </c>
      <c r="C391" s="9" t="s">
        <v>17</v>
      </c>
      <c r="D391" s="8">
        <v>2.0</v>
      </c>
      <c r="E391" s="8">
        <v>0.0</v>
      </c>
      <c r="F391" s="8">
        <v>0.0</v>
      </c>
      <c r="G391" s="9" t="s">
        <v>21</v>
      </c>
      <c r="H391" s="10">
        <v>44965.68466542824</v>
      </c>
      <c r="I391" s="10">
        <v>44973.455449155095</v>
      </c>
      <c r="J391" s="8">
        <v>8.0</v>
      </c>
      <c r="K391" s="11">
        <v>1.439839104E7</v>
      </c>
      <c r="L391" s="8" t="str">
        <f>+VLOOKUP(A391,Hoja2!$A$2:$X$2596,19,FALSE)</f>
        <v>#N/A</v>
      </c>
      <c r="M391" s="9" t="str">
        <f>+VLOOKUP(A391,Hoja2!$A$2:$X$2596,15,FALSE)</f>
        <v>#N/A</v>
      </c>
      <c r="N391" s="9" t="str">
        <f>+VLOOKUP(A391,Hoja2!$A$2:$X$2596,17,FALSE)</f>
        <v>#N/A</v>
      </c>
      <c r="O391" s="9" t="str">
        <f>+VLOOKUP(A391,Hoja2!$A$2:$X$2596,22,FALSE)</f>
        <v>#N/A</v>
      </c>
      <c r="P391" s="9" t="str">
        <f>+VLOOKUP(A391,Hoja2!$A$2:$X$2596,23,FALSE)</f>
        <v>#N/A</v>
      </c>
      <c r="Q391" s="9" t="str">
        <f>+VLOOKUP(A391,Hoja2!$A$2:$X$2596,24,FALSE)</f>
        <v>#N/A</v>
      </c>
    </row>
    <row r="392" ht="15.75" hidden="1" customHeight="1">
      <c r="A392" s="8">
        <v>2435299.0</v>
      </c>
      <c r="B392" s="8">
        <v>2435299.0</v>
      </c>
      <c r="C392" s="9" t="s">
        <v>17</v>
      </c>
      <c r="D392" s="8">
        <v>3.0</v>
      </c>
      <c r="E392" s="8">
        <v>0.0</v>
      </c>
      <c r="F392" s="8">
        <v>0.0</v>
      </c>
      <c r="G392" s="9" t="s">
        <v>21</v>
      </c>
      <c r="H392" s="10">
        <v>44559.45512766204</v>
      </c>
      <c r="I392" s="10">
        <v>44568.43567075232</v>
      </c>
      <c r="J392" s="8">
        <v>9.0</v>
      </c>
      <c r="K392" s="11">
        <v>1.193006436E7</v>
      </c>
      <c r="L392" s="8" t="str">
        <f>+VLOOKUP(A392,Hoja2!$A$2:$X$2596,19,FALSE)</f>
        <v>#N/A</v>
      </c>
      <c r="M392" s="9" t="str">
        <f>+VLOOKUP(A392,Hoja2!$A$2:$X$2596,15,FALSE)</f>
        <v>#N/A</v>
      </c>
      <c r="N392" s="9" t="str">
        <f>+VLOOKUP(A392,Hoja2!$A$2:$X$2596,17,FALSE)</f>
        <v>#N/A</v>
      </c>
      <c r="O392" s="9" t="str">
        <f>+VLOOKUP(A392,Hoja2!$A$2:$X$2596,22,FALSE)</f>
        <v>#N/A</v>
      </c>
      <c r="P392" s="9" t="str">
        <f>+VLOOKUP(A392,Hoja2!$A$2:$X$2596,23,FALSE)</f>
        <v>#N/A</v>
      </c>
      <c r="Q392" s="9" t="str">
        <f>+VLOOKUP(A392,Hoja2!$A$2:$X$2596,24,FALSE)</f>
        <v>#N/A</v>
      </c>
    </row>
    <row r="393" ht="15.75" hidden="1" customHeight="1">
      <c r="A393" s="8">
        <v>2435299.0</v>
      </c>
      <c r="B393" s="8">
        <v>2435299.0</v>
      </c>
      <c r="C393" s="9" t="s">
        <v>17</v>
      </c>
      <c r="D393" s="8">
        <v>3.0</v>
      </c>
      <c r="E393" s="8">
        <v>0.0</v>
      </c>
      <c r="F393" s="8">
        <v>0.0</v>
      </c>
      <c r="G393" s="9" t="s">
        <v>21</v>
      </c>
      <c r="H393" s="10">
        <v>44610.45780509259</v>
      </c>
      <c r="I393" s="10">
        <v>44620.780408252314</v>
      </c>
      <c r="J393" s="8">
        <v>10.0</v>
      </c>
      <c r="K393" s="11">
        <v>1.193006436E7</v>
      </c>
      <c r="L393" s="8" t="str">
        <f>+VLOOKUP(A393,Hoja2!$A$2:$X$2596,19,FALSE)</f>
        <v>#N/A</v>
      </c>
      <c r="M393" s="9" t="str">
        <f>+VLOOKUP(A393,Hoja2!$A$2:$X$2596,15,FALSE)</f>
        <v>#N/A</v>
      </c>
      <c r="N393" s="9" t="str">
        <f>+VLOOKUP(A393,Hoja2!$A$2:$X$2596,17,FALSE)</f>
        <v>#N/A</v>
      </c>
      <c r="O393" s="9" t="str">
        <f>+VLOOKUP(A393,Hoja2!$A$2:$X$2596,22,FALSE)</f>
        <v>#N/A</v>
      </c>
      <c r="P393" s="9" t="str">
        <f>+VLOOKUP(A393,Hoja2!$A$2:$X$2596,23,FALSE)</f>
        <v>#N/A</v>
      </c>
      <c r="Q393" s="9" t="str">
        <f>+VLOOKUP(A393,Hoja2!$A$2:$X$2596,24,FALSE)</f>
        <v>#N/A</v>
      </c>
    </row>
    <row r="394" ht="15.75" hidden="1" customHeight="1">
      <c r="A394" s="8">
        <v>2435299.0</v>
      </c>
      <c r="B394" s="8">
        <v>2435299.0</v>
      </c>
      <c r="C394" s="9" t="s">
        <v>17</v>
      </c>
      <c r="D394" s="8">
        <v>3.0</v>
      </c>
      <c r="E394" s="8">
        <v>0.0</v>
      </c>
      <c r="F394" s="8">
        <v>0.0</v>
      </c>
      <c r="G394" s="9" t="s">
        <v>21</v>
      </c>
      <c r="H394" s="10">
        <v>45252.45892855324</v>
      </c>
      <c r="I394" s="10">
        <v>45264.68185868055</v>
      </c>
      <c r="J394" s="8">
        <v>12.0</v>
      </c>
      <c r="K394" s="11">
        <v>1.193006436E7</v>
      </c>
      <c r="L394" s="8" t="str">
        <f>+VLOOKUP(A394,Hoja2!$A$2:$X$2596,19,FALSE)</f>
        <v>#N/A</v>
      </c>
      <c r="M394" s="9" t="str">
        <f>+VLOOKUP(A394,Hoja2!$A$2:$X$2596,15,FALSE)</f>
        <v>#N/A</v>
      </c>
      <c r="N394" s="9" t="str">
        <f>+VLOOKUP(A394,Hoja2!$A$2:$X$2596,17,FALSE)</f>
        <v>#N/A</v>
      </c>
      <c r="O394" s="9" t="str">
        <f>+VLOOKUP(A394,Hoja2!$A$2:$X$2596,22,FALSE)</f>
        <v>#N/A</v>
      </c>
      <c r="P394" s="9" t="str">
        <f>+VLOOKUP(A394,Hoja2!$A$2:$X$2596,23,FALSE)</f>
        <v>#N/A</v>
      </c>
      <c r="Q394" s="9" t="str">
        <f>+VLOOKUP(A394,Hoja2!$A$2:$X$2596,24,FALSE)</f>
        <v>#N/A</v>
      </c>
    </row>
    <row r="395" ht="15.75" hidden="1" customHeight="1">
      <c r="A395" s="8">
        <v>2435299.0</v>
      </c>
      <c r="B395" s="8">
        <v>2435299.0</v>
      </c>
      <c r="C395" s="9" t="s">
        <v>19</v>
      </c>
      <c r="D395" s="8">
        <v>11.0</v>
      </c>
      <c r="E395" s="8">
        <v>2.0</v>
      </c>
      <c r="F395" s="8">
        <v>0.0</v>
      </c>
      <c r="G395" s="9" t="s">
        <v>18</v>
      </c>
      <c r="H395" s="10">
        <v>45325.016399305554</v>
      </c>
      <c r="I395" s="10">
        <v>45419.446951655096</v>
      </c>
      <c r="J395" s="8">
        <v>94.0</v>
      </c>
      <c r="K395" s="11">
        <v>1.193006436E7</v>
      </c>
      <c r="L395" s="8" t="str">
        <f>+VLOOKUP(A395,Hoja2!$A$2:$X$2596,19,FALSE)</f>
        <v>#N/A</v>
      </c>
      <c r="M395" s="9" t="str">
        <f>+VLOOKUP(A395,Hoja2!$A$2:$X$2596,15,FALSE)</f>
        <v>#N/A</v>
      </c>
      <c r="N395" s="9" t="str">
        <f>+VLOOKUP(A395,Hoja2!$A$2:$X$2596,17,FALSE)</f>
        <v>#N/A</v>
      </c>
      <c r="O395" s="9" t="str">
        <f>+VLOOKUP(A395,Hoja2!$A$2:$X$2596,22,FALSE)</f>
        <v>#N/A</v>
      </c>
      <c r="P395" s="9" t="str">
        <f>+VLOOKUP(A395,Hoja2!$A$2:$X$2596,23,FALSE)</f>
        <v>#N/A</v>
      </c>
      <c r="Q395" s="9" t="str">
        <f>+VLOOKUP(A395,Hoja2!$A$2:$X$2596,24,FALSE)</f>
        <v>#N/A</v>
      </c>
    </row>
    <row r="396" ht="15.75" hidden="1" customHeight="1">
      <c r="A396" s="8">
        <v>2435299.0</v>
      </c>
      <c r="B396" s="8">
        <v>2435299.0</v>
      </c>
      <c r="C396" s="9" t="s">
        <v>19</v>
      </c>
      <c r="D396" s="8">
        <v>1.0</v>
      </c>
      <c r="E396" s="8">
        <v>1.0</v>
      </c>
      <c r="F396" s="8">
        <v>0.0</v>
      </c>
      <c r="G396" s="9" t="s">
        <v>18</v>
      </c>
      <c r="H396" s="10">
        <v>45474.62573799769</v>
      </c>
      <c r="I396" s="10">
        <v>45478.49339146991</v>
      </c>
      <c r="J396" s="8">
        <v>4.0</v>
      </c>
      <c r="K396" s="11">
        <v>1.193006436E7</v>
      </c>
      <c r="L396" s="8" t="str">
        <f>+VLOOKUP(A396,Hoja2!$A$2:$X$2596,19,FALSE)</f>
        <v>#N/A</v>
      </c>
      <c r="M396" s="9" t="str">
        <f>+VLOOKUP(A396,Hoja2!$A$2:$X$2596,15,FALSE)</f>
        <v>#N/A</v>
      </c>
      <c r="N396" s="9" t="str">
        <f>+VLOOKUP(A396,Hoja2!$A$2:$X$2596,17,FALSE)</f>
        <v>#N/A</v>
      </c>
      <c r="O396" s="9" t="str">
        <f>+VLOOKUP(A396,Hoja2!$A$2:$X$2596,22,FALSE)</f>
        <v>#N/A</v>
      </c>
      <c r="P396" s="9" t="str">
        <f>+VLOOKUP(A396,Hoja2!$A$2:$X$2596,23,FALSE)</f>
        <v>#N/A</v>
      </c>
      <c r="Q396" s="9" t="str">
        <f>+VLOOKUP(A396,Hoja2!$A$2:$X$2596,24,FALSE)</f>
        <v>#N/A</v>
      </c>
    </row>
    <row r="397" ht="15.75" hidden="1" customHeight="1">
      <c r="A397" s="8">
        <v>2435299.0</v>
      </c>
      <c r="B397" s="8">
        <v>2435299.0</v>
      </c>
      <c r="C397" s="9" t="s">
        <v>19</v>
      </c>
      <c r="D397" s="8">
        <v>4.0</v>
      </c>
      <c r="E397" s="8">
        <v>2.0</v>
      </c>
      <c r="F397" s="8">
        <v>0.0</v>
      </c>
      <c r="G397" s="9" t="s">
        <v>18</v>
      </c>
      <c r="H397" s="10">
        <v>45726.675554166664</v>
      </c>
      <c r="I397" s="10">
        <v>45895.67829340278</v>
      </c>
      <c r="J397" s="8">
        <v>169.0</v>
      </c>
      <c r="K397" s="11">
        <v>1.193006436E7</v>
      </c>
      <c r="L397" s="8" t="str">
        <f>+VLOOKUP(A397,Hoja2!$A$2:$X$2596,19,FALSE)</f>
        <v>#N/A</v>
      </c>
      <c r="M397" s="9" t="str">
        <f>+VLOOKUP(A397,Hoja2!$A$2:$X$2596,15,FALSE)</f>
        <v>#N/A</v>
      </c>
      <c r="N397" s="9" t="str">
        <f>+VLOOKUP(A397,Hoja2!$A$2:$X$2596,17,FALSE)</f>
        <v>#N/A</v>
      </c>
      <c r="O397" s="9" t="str">
        <f>+VLOOKUP(A397,Hoja2!$A$2:$X$2596,22,FALSE)</f>
        <v>#N/A</v>
      </c>
      <c r="P397" s="9" t="str">
        <f>+VLOOKUP(A397,Hoja2!$A$2:$X$2596,23,FALSE)</f>
        <v>#N/A</v>
      </c>
      <c r="Q397" s="9" t="str">
        <f>+VLOOKUP(A397,Hoja2!$A$2:$X$2596,24,FALSE)</f>
        <v>#N/A</v>
      </c>
    </row>
    <row r="398" ht="15.75" hidden="1" customHeight="1">
      <c r="A398" s="8">
        <v>2435299.0</v>
      </c>
      <c r="B398" s="8">
        <v>2435299.0</v>
      </c>
      <c r="C398" s="9" t="s">
        <v>27</v>
      </c>
      <c r="D398" s="8">
        <v>3.0</v>
      </c>
      <c r="E398" s="8">
        <v>0.0</v>
      </c>
      <c r="F398" s="8">
        <v>0.0</v>
      </c>
      <c r="G398" s="9" t="s">
        <v>21</v>
      </c>
      <c r="H398" s="10">
        <v>45910.708717395835</v>
      </c>
      <c r="I398" s="10">
        <v>45944.48099591435</v>
      </c>
      <c r="J398" s="8">
        <v>34.0</v>
      </c>
      <c r="K398" s="11">
        <v>1.193006436E7</v>
      </c>
      <c r="L398" s="8" t="str">
        <f>+VLOOKUP(A398,Hoja2!$A$2:$X$2596,19,FALSE)</f>
        <v>#N/A</v>
      </c>
      <c r="M398" s="9" t="str">
        <f>+VLOOKUP(A398,Hoja2!$A$2:$X$2596,15,FALSE)</f>
        <v>#N/A</v>
      </c>
      <c r="N398" s="9" t="str">
        <f>+VLOOKUP(A398,Hoja2!$A$2:$X$2596,17,FALSE)</f>
        <v>#N/A</v>
      </c>
      <c r="O398" s="9" t="str">
        <f>+VLOOKUP(A398,Hoja2!$A$2:$X$2596,22,FALSE)</f>
        <v>#N/A</v>
      </c>
      <c r="P398" s="9" t="str">
        <f>+VLOOKUP(A398,Hoja2!$A$2:$X$2596,23,FALSE)</f>
        <v>#N/A</v>
      </c>
      <c r="Q398" s="9" t="str">
        <f>+VLOOKUP(A398,Hoja2!$A$2:$X$2596,24,FALSE)</f>
        <v>#N/A</v>
      </c>
    </row>
    <row r="399" ht="15.75" hidden="1" customHeight="1">
      <c r="A399" s="8">
        <v>2436053.0</v>
      </c>
      <c r="B399" s="8">
        <v>2436053.0</v>
      </c>
      <c r="C399" s="9" t="s">
        <v>17</v>
      </c>
      <c r="D399" s="8">
        <v>2.0</v>
      </c>
      <c r="E399" s="8">
        <v>0.0</v>
      </c>
      <c r="F399" s="8">
        <v>0.0</v>
      </c>
      <c r="G399" s="9" t="s">
        <v>21</v>
      </c>
      <c r="H399" s="10">
        <v>44419.50989247685</v>
      </c>
      <c r="I399" s="10">
        <v>44425.94022936343</v>
      </c>
      <c r="J399" s="8">
        <v>6.0</v>
      </c>
      <c r="K399" s="11">
        <v>1701049.16</v>
      </c>
      <c r="L399" s="8" t="str">
        <f>+VLOOKUP(A399,Hoja2!$A$2:$X$2596,19,FALSE)</f>
        <v>Concluido</v>
      </c>
      <c r="M399" s="9">
        <f>+VLOOKUP(A399,Hoja2!$A$2:$X$2596,15,FALSE)</f>
        <v>1446331.73</v>
      </c>
      <c r="N399" s="9">
        <f>+VLOOKUP(A399,Hoja2!$A$2:$X$2596,17,FALSE)</f>
        <v>80308.89</v>
      </c>
      <c r="O399" s="9" t="str">
        <f>+VLOOKUP(A399,Hoja2!$A$2:$X$2596,22,FALSE)</f>
        <v/>
      </c>
      <c r="P399" s="9" t="str">
        <f>+VLOOKUP(A399,Hoja2!$A$2:$X$2596,23,FALSE)</f>
        <v/>
      </c>
      <c r="Q399" s="9" t="str">
        <f>+VLOOKUP(A399,Hoja2!$A$2:$X$2596,24,FALSE)</f>
        <v/>
      </c>
    </row>
    <row r="400" ht="15.75" hidden="1" customHeight="1">
      <c r="A400" s="8">
        <v>2436053.0</v>
      </c>
      <c r="B400" s="8">
        <v>2436053.0</v>
      </c>
      <c r="C400" s="9" t="s">
        <v>19</v>
      </c>
      <c r="D400" s="8">
        <v>4.0</v>
      </c>
      <c r="E400" s="8">
        <v>0.0</v>
      </c>
      <c r="F400" s="8">
        <v>0.0</v>
      </c>
      <c r="G400" s="9" t="s">
        <v>21</v>
      </c>
      <c r="H400" s="10">
        <v>44607.622251851855</v>
      </c>
      <c r="I400" s="10">
        <v>44657.703158564815</v>
      </c>
      <c r="J400" s="8">
        <v>50.0</v>
      </c>
      <c r="K400" s="11">
        <v>1701049.16</v>
      </c>
      <c r="L400" s="8" t="str">
        <f>+VLOOKUP(A400,Hoja2!$A$2:$X$2596,19,FALSE)</f>
        <v>Concluido</v>
      </c>
      <c r="M400" s="9">
        <f>+VLOOKUP(A400,Hoja2!$A$2:$X$2596,15,FALSE)</f>
        <v>1446331.73</v>
      </c>
      <c r="N400" s="9">
        <f>+VLOOKUP(A400,Hoja2!$A$2:$X$2596,17,FALSE)</f>
        <v>80308.89</v>
      </c>
      <c r="O400" s="9" t="str">
        <f>+VLOOKUP(A400,Hoja2!$A$2:$X$2596,22,FALSE)</f>
        <v/>
      </c>
      <c r="P400" s="9" t="str">
        <f>+VLOOKUP(A400,Hoja2!$A$2:$X$2596,23,FALSE)</f>
        <v/>
      </c>
      <c r="Q400" s="9" t="str">
        <f>+VLOOKUP(A400,Hoja2!$A$2:$X$2596,24,FALSE)</f>
        <v/>
      </c>
    </row>
    <row r="401" ht="15.75" hidden="1" customHeight="1">
      <c r="A401" s="8">
        <v>2436053.0</v>
      </c>
      <c r="B401" s="8">
        <v>2436053.0</v>
      </c>
      <c r="C401" s="9" t="s">
        <v>19</v>
      </c>
      <c r="D401" s="8">
        <v>4.0</v>
      </c>
      <c r="E401" s="8">
        <v>4.0</v>
      </c>
      <c r="F401" s="8">
        <v>0.0</v>
      </c>
      <c r="G401" s="9" t="s">
        <v>18</v>
      </c>
      <c r="H401" s="10">
        <v>44769.71639741898</v>
      </c>
      <c r="I401" s="10">
        <v>44935.49068167824</v>
      </c>
      <c r="J401" s="8">
        <v>166.0</v>
      </c>
      <c r="K401" s="11">
        <v>1701049.16</v>
      </c>
      <c r="L401" s="8" t="str">
        <f>+VLOOKUP(A401,Hoja2!$A$2:$X$2596,19,FALSE)</f>
        <v>Concluido</v>
      </c>
      <c r="M401" s="9">
        <f>+VLOOKUP(A401,Hoja2!$A$2:$X$2596,15,FALSE)</f>
        <v>1446331.73</v>
      </c>
      <c r="N401" s="9">
        <f>+VLOOKUP(A401,Hoja2!$A$2:$X$2596,17,FALSE)</f>
        <v>80308.89</v>
      </c>
      <c r="O401" s="9" t="str">
        <f>+VLOOKUP(A401,Hoja2!$A$2:$X$2596,22,FALSE)</f>
        <v/>
      </c>
      <c r="P401" s="9" t="str">
        <f>+VLOOKUP(A401,Hoja2!$A$2:$X$2596,23,FALSE)</f>
        <v/>
      </c>
      <c r="Q401" s="9" t="str">
        <f>+VLOOKUP(A401,Hoja2!$A$2:$X$2596,24,FALSE)</f>
        <v/>
      </c>
    </row>
    <row r="402" ht="15.75" customHeight="1">
      <c r="A402" s="8">
        <v>2436053.0</v>
      </c>
      <c r="B402" s="8">
        <v>2436053.0</v>
      </c>
      <c r="C402" s="9" t="s">
        <v>20</v>
      </c>
      <c r="D402" s="8">
        <v>1.0</v>
      </c>
      <c r="E402" s="8">
        <v>2.0</v>
      </c>
      <c r="F402" s="8">
        <v>0.0</v>
      </c>
      <c r="G402" s="9" t="s">
        <v>18</v>
      </c>
      <c r="H402" s="10">
        <v>44938.48429641204</v>
      </c>
      <c r="I402" s="10">
        <v>45005.62998668981</v>
      </c>
      <c r="J402" s="8">
        <v>67.0</v>
      </c>
      <c r="K402" s="11">
        <v>1701049.16</v>
      </c>
      <c r="L402" s="8" t="str">
        <f>+VLOOKUP(A402,Hoja2!$A$2:$X$2596,19,FALSE)</f>
        <v>Concluido</v>
      </c>
      <c r="M402" s="9">
        <f>+VLOOKUP(A402,Hoja2!$A$2:$X$2596,15,FALSE)</f>
        <v>1446331.73</v>
      </c>
      <c r="N402" s="9">
        <f>+VLOOKUP(A402,Hoja2!$A$2:$X$2596,17,FALSE)</f>
        <v>80308.89</v>
      </c>
      <c r="O402" s="9" t="str">
        <f>+VLOOKUP(A402,Hoja2!$A$2:$X$2596,22,FALSE)</f>
        <v/>
      </c>
      <c r="P402" s="9" t="str">
        <f>+VLOOKUP(A402,Hoja2!$A$2:$X$2596,23,FALSE)</f>
        <v/>
      </c>
      <c r="Q402" s="9" t="str">
        <f>+VLOOKUP(A402,Hoja2!$A$2:$X$2596,24,FALSE)</f>
        <v/>
      </c>
    </row>
    <row r="403" ht="15.75" hidden="1" customHeight="1">
      <c r="A403" s="8">
        <v>2439838.0</v>
      </c>
      <c r="B403" s="8">
        <v>2439838.0</v>
      </c>
      <c r="C403" s="9" t="s">
        <v>17</v>
      </c>
      <c r="D403" s="8">
        <v>2.0</v>
      </c>
      <c r="E403" s="8">
        <v>0.0</v>
      </c>
      <c r="F403" s="8">
        <v>0.0</v>
      </c>
      <c r="G403" s="9" t="s">
        <v>21</v>
      </c>
      <c r="H403" s="10">
        <v>44498.77880454861</v>
      </c>
      <c r="I403" s="10">
        <v>44508.59886087963</v>
      </c>
      <c r="J403" s="8">
        <v>10.0</v>
      </c>
      <c r="K403" s="11">
        <v>1.902557473E7</v>
      </c>
      <c r="L403" s="8" t="str">
        <f>+VLOOKUP(A403,Hoja2!$A$2:$X$2596,19,FALSE)</f>
        <v>#N/A</v>
      </c>
      <c r="M403" s="9" t="str">
        <f>+VLOOKUP(A403,Hoja2!$A$2:$X$2596,15,FALSE)</f>
        <v>#N/A</v>
      </c>
      <c r="N403" s="9" t="str">
        <f>+VLOOKUP(A403,Hoja2!$A$2:$X$2596,17,FALSE)</f>
        <v>#N/A</v>
      </c>
      <c r="O403" s="9" t="str">
        <f>+VLOOKUP(A403,Hoja2!$A$2:$X$2596,22,FALSE)</f>
        <v>#N/A</v>
      </c>
      <c r="P403" s="9" t="str">
        <f>+VLOOKUP(A403,Hoja2!$A$2:$X$2596,23,FALSE)</f>
        <v>#N/A</v>
      </c>
      <c r="Q403" s="9" t="str">
        <f>+VLOOKUP(A403,Hoja2!$A$2:$X$2596,24,FALSE)</f>
        <v>#N/A</v>
      </c>
    </row>
    <row r="404" ht="15.75" hidden="1" customHeight="1">
      <c r="A404" s="8">
        <v>2441205.0</v>
      </c>
      <c r="B404" s="8">
        <v>2441205.0</v>
      </c>
      <c r="C404" s="9" t="s">
        <v>19</v>
      </c>
      <c r="D404" s="8">
        <v>3.0</v>
      </c>
      <c r="E404" s="8">
        <v>3.0</v>
      </c>
      <c r="F404" s="8">
        <v>0.0</v>
      </c>
      <c r="G404" s="9" t="s">
        <v>18</v>
      </c>
      <c r="H404" s="10">
        <v>44687.40766936343</v>
      </c>
      <c r="I404" s="10">
        <v>44754.53775505787</v>
      </c>
      <c r="J404" s="8">
        <v>67.0</v>
      </c>
      <c r="K404" s="11">
        <v>6674758.42</v>
      </c>
      <c r="L404" s="8" t="str">
        <f>+VLOOKUP(A404,Hoja2!$A$2:$X$2596,19,FALSE)</f>
        <v>#N/A</v>
      </c>
      <c r="M404" s="9" t="str">
        <f>+VLOOKUP(A404,Hoja2!$A$2:$X$2596,15,FALSE)</f>
        <v>#N/A</v>
      </c>
      <c r="N404" s="9" t="str">
        <f>+VLOOKUP(A404,Hoja2!$A$2:$X$2596,17,FALSE)</f>
        <v>#N/A</v>
      </c>
      <c r="O404" s="9" t="str">
        <f>+VLOOKUP(A404,Hoja2!$A$2:$X$2596,22,FALSE)</f>
        <v>#N/A</v>
      </c>
      <c r="P404" s="9" t="str">
        <f>+VLOOKUP(A404,Hoja2!$A$2:$X$2596,23,FALSE)</f>
        <v>#N/A</v>
      </c>
      <c r="Q404" s="9" t="str">
        <f>+VLOOKUP(A404,Hoja2!$A$2:$X$2596,24,FALSE)</f>
        <v>#N/A</v>
      </c>
    </row>
    <row r="405" ht="15.75" hidden="1" customHeight="1">
      <c r="A405" s="8">
        <v>2441205.0</v>
      </c>
      <c r="B405" s="8">
        <v>2441205.0</v>
      </c>
      <c r="C405" s="9" t="s">
        <v>19</v>
      </c>
      <c r="D405" s="8">
        <v>1.0</v>
      </c>
      <c r="E405" s="8">
        <v>2.0</v>
      </c>
      <c r="F405" s="8">
        <v>0.0</v>
      </c>
      <c r="G405" s="9" t="s">
        <v>18</v>
      </c>
      <c r="H405" s="10">
        <v>44835.94084609954</v>
      </c>
      <c r="I405" s="10">
        <v>44963.64626408565</v>
      </c>
      <c r="J405" s="8">
        <v>128.0</v>
      </c>
      <c r="K405" s="11">
        <v>6674758.42</v>
      </c>
      <c r="L405" s="8" t="str">
        <f>+VLOOKUP(A405,Hoja2!$A$2:$X$2596,19,FALSE)</f>
        <v>#N/A</v>
      </c>
      <c r="M405" s="9" t="str">
        <f>+VLOOKUP(A405,Hoja2!$A$2:$X$2596,15,FALSE)</f>
        <v>#N/A</v>
      </c>
      <c r="N405" s="9" t="str">
        <f>+VLOOKUP(A405,Hoja2!$A$2:$X$2596,17,FALSE)</f>
        <v>#N/A</v>
      </c>
      <c r="O405" s="9" t="str">
        <f>+VLOOKUP(A405,Hoja2!$A$2:$X$2596,22,FALSE)</f>
        <v>#N/A</v>
      </c>
      <c r="P405" s="9" t="str">
        <f>+VLOOKUP(A405,Hoja2!$A$2:$X$2596,23,FALSE)</f>
        <v>#N/A</v>
      </c>
      <c r="Q405" s="9" t="str">
        <f>+VLOOKUP(A405,Hoja2!$A$2:$X$2596,24,FALSE)</f>
        <v>#N/A</v>
      </c>
    </row>
    <row r="406" ht="15.75" hidden="1" customHeight="1">
      <c r="A406" s="8">
        <v>2442154.0</v>
      </c>
      <c r="B406" s="8">
        <v>2442154.0</v>
      </c>
      <c r="C406" s="9" t="s">
        <v>17</v>
      </c>
      <c r="D406" s="8">
        <v>2.0</v>
      </c>
      <c r="E406" s="8">
        <v>1.0</v>
      </c>
      <c r="F406" s="8">
        <v>0.0</v>
      </c>
      <c r="G406" s="9" t="s">
        <v>18</v>
      </c>
      <c r="H406" s="10">
        <v>44548.37865980324</v>
      </c>
      <c r="I406" s="10">
        <v>44585.41222126158</v>
      </c>
      <c r="J406" s="8">
        <v>37.0</v>
      </c>
      <c r="K406" s="11">
        <v>3.013046494E7</v>
      </c>
      <c r="L406" s="8" t="str">
        <f>+VLOOKUP(A406,Hoja2!$A$2:$X$2596,19,FALSE)</f>
        <v>#N/A</v>
      </c>
      <c r="M406" s="9" t="str">
        <f>+VLOOKUP(A406,Hoja2!$A$2:$X$2596,15,FALSE)</f>
        <v>#N/A</v>
      </c>
      <c r="N406" s="9" t="str">
        <f>+VLOOKUP(A406,Hoja2!$A$2:$X$2596,17,FALSE)</f>
        <v>#N/A</v>
      </c>
      <c r="O406" s="9" t="str">
        <f>+VLOOKUP(A406,Hoja2!$A$2:$X$2596,22,FALSE)</f>
        <v>#N/A</v>
      </c>
      <c r="P406" s="9" t="str">
        <f>+VLOOKUP(A406,Hoja2!$A$2:$X$2596,23,FALSE)</f>
        <v>#N/A</v>
      </c>
      <c r="Q406" s="9" t="str">
        <f>+VLOOKUP(A406,Hoja2!$A$2:$X$2596,24,FALSE)</f>
        <v>#N/A</v>
      </c>
    </row>
    <row r="407" ht="15.75" hidden="1" customHeight="1">
      <c r="A407" s="8">
        <v>2442154.0</v>
      </c>
      <c r="B407" s="8">
        <v>2442154.0</v>
      </c>
      <c r="C407" s="9" t="s">
        <v>17</v>
      </c>
      <c r="D407" s="8">
        <v>2.0</v>
      </c>
      <c r="E407" s="8">
        <v>0.0</v>
      </c>
      <c r="F407" s="8">
        <v>0.0</v>
      </c>
      <c r="G407" s="9" t="s">
        <v>21</v>
      </c>
      <c r="H407" s="10">
        <v>44623.45239251157</v>
      </c>
      <c r="I407" s="10">
        <v>44627.25809606481</v>
      </c>
      <c r="J407" s="8">
        <v>4.0</v>
      </c>
      <c r="K407" s="11">
        <v>3.013046494E7</v>
      </c>
      <c r="L407" s="8" t="str">
        <f>+VLOOKUP(A407,Hoja2!$A$2:$X$2596,19,FALSE)</f>
        <v>#N/A</v>
      </c>
      <c r="M407" s="9" t="str">
        <f>+VLOOKUP(A407,Hoja2!$A$2:$X$2596,15,FALSE)</f>
        <v>#N/A</v>
      </c>
      <c r="N407" s="9" t="str">
        <f>+VLOOKUP(A407,Hoja2!$A$2:$X$2596,17,FALSE)</f>
        <v>#N/A</v>
      </c>
      <c r="O407" s="9" t="str">
        <f>+VLOOKUP(A407,Hoja2!$A$2:$X$2596,22,FALSE)</f>
        <v>#N/A</v>
      </c>
      <c r="P407" s="9" t="str">
        <f>+VLOOKUP(A407,Hoja2!$A$2:$X$2596,23,FALSE)</f>
        <v>#N/A</v>
      </c>
      <c r="Q407" s="9" t="str">
        <f>+VLOOKUP(A407,Hoja2!$A$2:$X$2596,24,FALSE)</f>
        <v>#N/A</v>
      </c>
    </row>
    <row r="408" ht="15.75" hidden="1" customHeight="1">
      <c r="A408" s="8">
        <v>2444597.0</v>
      </c>
      <c r="B408" s="8">
        <v>2444597.0</v>
      </c>
      <c r="C408" s="9" t="s">
        <v>19</v>
      </c>
      <c r="D408" s="8">
        <v>7.0</v>
      </c>
      <c r="E408" s="8">
        <v>2.0</v>
      </c>
      <c r="F408" s="8">
        <v>0.0</v>
      </c>
      <c r="G408" s="9" t="s">
        <v>18</v>
      </c>
      <c r="H408" s="10">
        <v>44720.63992974537</v>
      </c>
      <c r="I408" s="10">
        <v>44831.52457650463</v>
      </c>
      <c r="J408" s="8">
        <v>111.0</v>
      </c>
      <c r="K408" s="11">
        <v>4.102845898E7</v>
      </c>
      <c r="L408" s="8" t="str">
        <f>+VLOOKUP(A408,Hoja2!$A$2:$X$2596,19,FALSE)</f>
        <v>#N/A</v>
      </c>
      <c r="M408" s="9" t="str">
        <f>+VLOOKUP(A408,Hoja2!$A$2:$X$2596,15,FALSE)</f>
        <v>#N/A</v>
      </c>
      <c r="N408" s="9" t="str">
        <f>+VLOOKUP(A408,Hoja2!$A$2:$X$2596,17,FALSE)</f>
        <v>#N/A</v>
      </c>
      <c r="O408" s="9" t="str">
        <f>+VLOOKUP(A408,Hoja2!$A$2:$X$2596,22,FALSE)</f>
        <v>#N/A</v>
      </c>
      <c r="P408" s="9" t="str">
        <f>+VLOOKUP(A408,Hoja2!$A$2:$X$2596,23,FALSE)</f>
        <v>#N/A</v>
      </c>
      <c r="Q408" s="9" t="str">
        <f>+VLOOKUP(A408,Hoja2!$A$2:$X$2596,24,FALSE)</f>
        <v>#N/A</v>
      </c>
    </row>
    <row r="409" ht="15.75" hidden="1" customHeight="1">
      <c r="A409" s="8">
        <v>2444597.0</v>
      </c>
      <c r="B409" s="8">
        <v>2444597.0</v>
      </c>
      <c r="C409" s="9" t="s">
        <v>19</v>
      </c>
      <c r="D409" s="8">
        <v>4.0</v>
      </c>
      <c r="E409" s="8">
        <v>4.0</v>
      </c>
      <c r="F409" s="8">
        <v>0.0</v>
      </c>
      <c r="G409" s="9" t="s">
        <v>18</v>
      </c>
      <c r="H409" s="10">
        <v>45038.045452314815</v>
      </c>
      <c r="I409" s="10">
        <v>45203.714610648145</v>
      </c>
      <c r="J409" s="8">
        <v>165.0</v>
      </c>
      <c r="K409" s="11">
        <v>4.102845898E7</v>
      </c>
      <c r="L409" s="8" t="str">
        <f>+VLOOKUP(A409,Hoja2!$A$2:$X$2596,19,FALSE)</f>
        <v>#N/A</v>
      </c>
      <c r="M409" s="9" t="str">
        <f>+VLOOKUP(A409,Hoja2!$A$2:$X$2596,15,FALSE)</f>
        <v>#N/A</v>
      </c>
      <c r="N409" s="9" t="str">
        <f>+VLOOKUP(A409,Hoja2!$A$2:$X$2596,17,FALSE)</f>
        <v>#N/A</v>
      </c>
      <c r="O409" s="9" t="str">
        <f>+VLOOKUP(A409,Hoja2!$A$2:$X$2596,22,FALSE)</f>
        <v>#N/A</v>
      </c>
      <c r="P409" s="9" t="str">
        <f>+VLOOKUP(A409,Hoja2!$A$2:$X$2596,23,FALSE)</f>
        <v>#N/A</v>
      </c>
      <c r="Q409" s="9" t="str">
        <f>+VLOOKUP(A409,Hoja2!$A$2:$X$2596,24,FALSE)</f>
        <v>#N/A</v>
      </c>
    </row>
    <row r="410" ht="15.75" hidden="1" customHeight="1">
      <c r="A410" s="8">
        <v>2444597.0</v>
      </c>
      <c r="B410" s="8">
        <v>2444597.0</v>
      </c>
      <c r="C410" s="9" t="s">
        <v>19</v>
      </c>
      <c r="D410" s="8">
        <v>1.0</v>
      </c>
      <c r="E410" s="8">
        <v>2.0</v>
      </c>
      <c r="F410" s="8">
        <v>0.0</v>
      </c>
      <c r="G410" s="9" t="s">
        <v>18</v>
      </c>
      <c r="H410" s="10">
        <v>45229.599634756945</v>
      </c>
      <c r="I410" s="10">
        <v>45343.736829050926</v>
      </c>
      <c r="J410" s="8">
        <v>114.0</v>
      </c>
      <c r="K410" s="11">
        <v>4.102845898E7</v>
      </c>
      <c r="L410" s="8" t="str">
        <f>+VLOOKUP(A410,Hoja2!$A$2:$X$2596,19,FALSE)</f>
        <v>#N/A</v>
      </c>
      <c r="M410" s="9" t="str">
        <f>+VLOOKUP(A410,Hoja2!$A$2:$X$2596,15,FALSE)</f>
        <v>#N/A</v>
      </c>
      <c r="N410" s="9" t="str">
        <f>+VLOOKUP(A410,Hoja2!$A$2:$X$2596,17,FALSE)</f>
        <v>#N/A</v>
      </c>
      <c r="O410" s="9" t="str">
        <f>+VLOOKUP(A410,Hoja2!$A$2:$X$2596,22,FALSE)</f>
        <v>#N/A</v>
      </c>
      <c r="P410" s="9" t="str">
        <f>+VLOOKUP(A410,Hoja2!$A$2:$X$2596,23,FALSE)</f>
        <v>#N/A</v>
      </c>
      <c r="Q410" s="9" t="str">
        <f>+VLOOKUP(A410,Hoja2!$A$2:$X$2596,24,FALSE)</f>
        <v>#N/A</v>
      </c>
    </row>
    <row r="411" ht="15.75" hidden="1" customHeight="1">
      <c r="A411" s="8">
        <v>2444597.0</v>
      </c>
      <c r="B411" s="8">
        <v>2444597.0</v>
      </c>
      <c r="C411" s="9" t="s">
        <v>19</v>
      </c>
      <c r="D411" s="8">
        <v>3.0</v>
      </c>
      <c r="E411" s="8">
        <v>11.0</v>
      </c>
      <c r="F411" s="8">
        <v>0.0</v>
      </c>
      <c r="G411" s="9" t="s">
        <v>18</v>
      </c>
      <c r="H411" s="10">
        <v>45365.46161809028</v>
      </c>
      <c r="I411" s="10">
        <v>45602.27490266204</v>
      </c>
      <c r="J411" s="8">
        <v>237.0</v>
      </c>
      <c r="K411" s="11">
        <v>4.102845898E7</v>
      </c>
      <c r="L411" s="8" t="str">
        <f>+VLOOKUP(A411,Hoja2!$A$2:$X$2596,19,FALSE)</f>
        <v>#N/A</v>
      </c>
      <c r="M411" s="9" t="str">
        <f>+VLOOKUP(A411,Hoja2!$A$2:$X$2596,15,FALSE)</f>
        <v>#N/A</v>
      </c>
      <c r="N411" s="9" t="str">
        <f>+VLOOKUP(A411,Hoja2!$A$2:$X$2596,17,FALSE)</f>
        <v>#N/A</v>
      </c>
      <c r="O411" s="9" t="str">
        <f>+VLOOKUP(A411,Hoja2!$A$2:$X$2596,22,FALSE)</f>
        <v>#N/A</v>
      </c>
      <c r="P411" s="9" t="str">
        <f>+VLOOKUP(A411,Hoja2!$A$2:$X$2596,23,FALSE)</f>
        <v>#N/A</v>
      </c>
      <c r="Q411" s="9" t="str">
        <f>+VLOOKUP(A411,Hoja2!$A$2:$X$2596,24,FALSE)</f>
        <v>#N/A</v>
      </c>
    </row>
    <row r="412" ht="15.75" hidden="1" customHeight="1">
      <c r="A412" s="8">
        <v>2444597.0</v>
      </c>
      <c r="B412" s="8">
        <v>2444597.0</v>
      </c>
      <c r="C412" s="9" t="s">
        <v>25</v>
      </c>
      <c r="D412" s="8">
        <v>0.0</v>
      </c>
      <c r="E412" s="8">
        <v>0.0</v>
      </c>
      <c r="F412" s="8">
        <v>0.0</v>
      </c>
      <c r="G412" s="9" t="s">
        <v>26</v>
      </c>
      <c r="H412" s="10">
        <v>45604.540724502316</v>
      </c>
      <c r="I412" s="10">
        <v>45604.540724502316</v>
      </c>
      <c r="J412" s="8">
        <v>0.0</v>
      </c>
      <c r="K412" s="11">
        <v>4.102845898E7</v>
      </c>
      <c r="L412" s="8" t="str">
        <f>+VLOOKUP(A412,Hoja2!$A$2:$X$2596,19,FALSE)</f>
        <v>#N/A</v>
      </c>
      <c r="M412" s="9" t="str">
        <f>+VLOOKUP(A412,Hoja2!$A$2:$X$2596,15,FALSE)</f>
        <v>#N/A</v>
      </c>
      <c r="N412" s="9" t="str">
        <f>+VLOOKUP(A412,Hoja2!$A$2:$X$2596,17,FALSE)</f>
        <v>#N/A</v>
      </c>
      <c r="O412" s="9" t="str">
        <f>+VLOOKUP(A412,Hoja2!$A$2:$X$2596,22,FALSE)</f>
        <v>#N/A</v>
      </c>
      <c r="P412" s="9" t="str">
        <f>+VLOOKUP(A412,Hoja2!$A$2:$X$2596,23,FALSE)</f>
        <v>#N/A</v>
      </c>
      <c r="Q412" s="9" t="str">
        <f>+VLOOKUP(A412,Hoja2!$A$2:$X$2596,24,FALSE)</f>
        <v>#N/A</v>
      </c>
    </row>
    <row r="413" ht="15.75" hidden="1" customHeight="1">
      <c r="A413" s="8">
        <v>2444597.0</v>
      </c>
      <c r="B413" s="8">
        <v>2444597.0</v>
      </c>
      <c r="C413" s="9" t="s">
        <v>19</v>
      </c>
      <c r="D413" s="8">
        <v>2.0</v>
      </c>
      <c r="E413" s="8">
        <v>5.0</v>
      </c>
      <c r="F413" s="8">
        <v>0.0</v>
      </c>
      <c r="G413" s="9" t="s">
        <v>18</v>
      </c>
      <c r="H413" s="10">
        <v>45614.51595447917</v>
      </c>
      <c r="I413" s="10">
        <v>45721.66672017361</v>
      </c>
      <c r="J413" s="8">
        <v>107.0</v>
      </c>
      <c r="K413" s="11">
        <v>4.102845898E7</v>
      </c>
      <c r="L413" s="8" t="str">
        <f>+VLOOKUP(A413,Hoja2!$A$2:$X$2596,19,FALSE)</f>
        <v>#N/A</v>
      </c>
      <c r="M413" s="9" t="str">
        <f>+VLOOKUP(A413,Hoja2!$A$2:$X$2596,15,FALSE)</f>
        <v>#N/A</v>
      </c>
      <c r="N413" s="9" t="str">
        <f>+VLOOKUP(A413,Hoja2!$A$2:$X$2596,17,FALSE)</f>
        <v>#N/A</v>
      </c>
      <c r="O413" s="9" t="str">
        <f>+VLOOKUP(A413,Hoja2!$A$2:$X$2596,22,FALSE)</f>
        <v>#N/A</v>
      </c>
      <c r="P413" s="9" t="str">
        <f>+VLOOKUP(A413,Hoja2!$A$2:$X$2596,23,FALSE)</f>
        <v>#N/A</v>
      </c>
      <c r="Q413" s="9" t="str">
        <f>+VLOOKUP(A413,Hoja2!$A$2:$X$2596,24,FALSE)</f>
        <v>#N/A</v>
      </c>
    </row>
    <row r="414" ht="15.75" hidden="1" customHeight="1">
      <c r="A414" s="8">
        <v>2444597.0</v>
      </c>
      <c r="B414" s="8">
        <v>2444597.0</v>
      </c>
      <c r="C414" s="9" t="s">
        <v>25</v>
      </c>
      <c r="D414" s="8">
        <v>0.0</v>
      </c>
      <c r="E414" s="8">
        <v>0.0</v>
      </c>
      <c r="F414" s="8">
        <v>0.0</v>
      </c>
      <c r="G414" s="9" t="s">
        <v>26</v>
      </c>
      <c r="H414" s="10">
        <v>45729.850884224536</v>
      </c>
      <c r="I414" s="10">
        <v>45729.850884224536</v>
      </c>
      <c r="J414" s="8">
        <v>0.0</v>
      </c>
      <c r="K414" s="11">
        <v>4.102845898E7</v>
      </c>
      <c r="L414" s="8" t="str">
        <f>+VLOOKUP(A414,Hoja2!$A$2:$X$2596,19,FALSE)</f>
        <v>#N/A</v>
      </c>
      <c r="M414" s="9" t="str">
        <f>+VLOOKUP(A414,Hoja2!$A$2:$X$2596,15,FALSE)</f>
        <v>#N/A</v>
      </c>
      <c r="N414" s="9" t="str">
        <f>+VLOOKUP(A414,Hoja2!$A$2:$X$2596,17,FALSE)</f>
        <v>#N/A</v>
      </c>
      <c r="O414" s="9" t="str">
        <f>+VLOOKUP(A414,Hoja2!$A$2:$X$2596,22,FALSE)</f>
        <v>#N/A</v>
      </c>
      <c r="P414" s="9" t="str">
        <f>+VLOOKUP(A414,Hoja2!$A$2:$X$2596,23,FALSE)</f>
        <v>#N/A</v>
      </c>
      <c r="Q414" s="9" t="str">
        <f>+VLOOKUP(A414,Hoja2!$A$2:$X$2596,24,FALSE)</f>
        <v>#N/A</v>
      </c>
    </row>
    <row r="415" ht="15.75" hidden="1" customHeight="1">
      <c r="A415" s="8">
        <v>2444597.0</v>
      </c>
      <c r="B415" s="8">
        <v>2444597.0</v>
      </c>
      <c r="C415" s="9" t="s">
        <v>25</v>
      </c>
      <c r="D415" s="8">
        <v>0.0</v>
      </c>
      <c r="E415" s="8">
        <v>0.0</v>
      </c>
      <c r="F415" s="8">
        <v>0.0</v>
      </c>
      <c r="G415" s="9" t="s">
        <v>26</v>
      </c>
      <c r="H415" s="10">
        <v>45730.42280833334</v>
      </c>
      <c r="I415" s="10">
        <v>45730.42280833334</v>
      </c>
      <c r="J415" s="8">
        <v>0.0</v>
      </c>
      <c r="K415" s="11">
        <v>4.102845898E7</v>
      </c>
      <c r="L415" s="8" t="str">
        <f>+VLOOKUP(A415,Hoja2!$A$2:$X$2596,19,FALSE)</f>
        <v>#N/A</v>
      </c>
      <c r="M415" s="9" t="str">
        <f>+VLOOKUP(A415,Hoja2!$A$2:$X$2596,15,FALSE)</f>
        <v>#N/A</v>
      </c>
      <c r="N415" s="9" t="str">
        <f>+VLOOKUP(A415,Hoja2!$A$2:$X$2596,17,FALSE)</f>
        <v>#N/A</v>
      </c>
      <c r="O415" s="9" t="str">
        <f>+VLOOKUP(A415,Hoja2!$A$2:$X$2596,22,FALSE)</f>
        <v>#N/A</v>
      </c>
      <c r="P415" s="9" t="str">
        <f>+VLOOKUP(A415,Hoja2!$A$2:$X$2596,23,FALSE)</f>
        <v>#N/A</v>
      </c>
      <c r="Q415" s="9" t="str">
        <f>+VLOOKUP(A415,Hoja2!$A$2:$X$2596,24,FALSE)</f>
        <v>#N/A</v>
      </c>
    </row>
    <row r="416" ht="15.75" hidden="1" customHeight="1">
      <c r="A416" s="8">
        <v>2444597.0</v>
      </c>
      <c r="B416" s="8">
        <v>2444597.0</v>
      </c>
      <c r="C416" s="9" t="s">
        <v>25</v>
      </c>
      <c r="D416" s="8">
        <v>0.0</v>
      </c>
      <c r="E416" s="8">
        <v>0.0</v>
      </c>
      <c r="F416" s="8">
        <v>0.0</v>
      </c>
      <c r="G416" s="9" t="s">
        <v>26</v>
      </c>
      <c r="H416" s="10">
        <v>45730.434188969906</v>
      </c>
      <c r="I416" s="10">
        <v>45730.434188969906</v>
      </c>
      <c r="J416" s="8">
        <v>0.0</v>
      </c>
      <c r="K416" s="11">
        <v>4.102845898E7</v>
      </c>
      <c r="L416" s="8" t="str">
        <f>+VLOOKUP(A416,Hoja2!$A$2:$X$2596,19,FALSE)</f>
        <v>#N/A</v>
      </c>
      <c r="M416" s="9" t="str">
        <f>+VLOOKUP(A416,Hoja2!$A$2:$X$2596,15,FALSE)</f>
        <v>#N/A</v>
      </c>
      <c r="N416" s="9" t="str">
        <f>+VLOOKUP(A416,Hoja2!$A$2:$X$2596,17,FALSE)</f>
        <v>#N/A</v>
      </c>
      <c r="O416" s="9" t="str">
        <f>+VLOOKUP(A416,Hoja2!$A$2:$X$2596,22,FALSE)</f>
        <v>#N/A</v>
      </c>
      <c r="P416" s="9" t="str">
        <f>+VLOOKUP(A416,Hoja2!$A$2:$X$2596,23,FALSE)</f>
        <v>#N/A</v>
      </c>
      <c r="Q416" s="9" t="str">
        <f>+VLOOKUP(A416,Hoja2!$A$2:$X$2596,24,FALSE)</f>
        <v>#N/A</v>
      </c>
    </row>
    <row r="417" ht="15.75" hidden="1" customHeight="1">
      <c r="A417" s="8">
        <v>2444597.0</v>
      </c>
      <c r="B417" s="8">
        <v>2444597.0</v>
      </c>
      <c r="C417" s="9" t="s">
        <v>25</v>
      </c>
      <c r="D417" s="8">
        <v>0.0</v>
      </c>
      <c r="E417" s="8">
        <v>0.0</v>
      </c>
      <c r="F417" s="8">
        <v>0.0</v>
      </c>
      <c r="G417" s="9" t="s">
        <v>26</v>
      </c>
      <c r="H417" s="10">
        <v>45730.43857881944</v>
      </c>
      <c r="I417" s="10">
        <v>45730.43857881944</v>
      </c>
      <c r="J417" s="8">
        <v>0.0</v>
      </c>
      <c r="K417" s="11">
        <v>4.102845898E7</v>
      </c>
      <c r="L417" s="8" t="str">
        <f>+VLOOKUP(A417,Hoja2!$A$2:$X$2596,19,FALSE)</f>
        <v>#N/A</v>
      </c>
      <c r="M417" s="9" t="str">
        <f>+VLOOKUP(A417,Hoja2!$A$2:$X$2596,15,FALSE)</f>
        <v>#N/A</v>
      </c>
      <c r="N417" s="9" t="str">
        <f>+VLOOKUP(A417,Hoja2!$A$2:$X$2596,17,FALSE)</f>
        <v>#N/A</v>
      </c>
      <c r="O417" s="9" t="str">
        <f>+VLOOKUP(A417,Hoja2!$A$2:$X$2596,22,FALSE)</f>
        <v>#N/A</v>
      </c>
      <c r="P417" s="9" t="str">
        <f>+VLOOKUP(A417,Hoja2!$A$2:$X$2596,23,FALSE)</f>
        <v>#N/A</v>
      </c>
      <c r="Q417" s="9" t="str">
        <f>+VLOOKUP(A417,Hoja2!$A$2:$X$2596,24,FALSE)</f>
        <v>#N/A</v>
      </c>
    </row>
    <row r="418" ht="15.75" hidden="1" customHeight="1">
      <c r="A418" s="8">
        <v>2444597.0</v>
      </c>
      <c r="B418" s="8">
        <v>2444597.0</v>
      </c>
      <c r="C418" s="9" t="s">
        <v>25</v>
      </c>
      <c r="D418" s="8">
        <v>0.0</v>
      </c>
      <c r="E418" s="8">
        <v>0.0</v>
      </c>
      <c r="F418" s="8">
        <v>0.0</v>
      </c>
      <c r="G418" s="9" t="s">
        <v>26</v>
      </c>
      <c r="H418" s="10">
        <v>45730.44220251157</v>
      </c>
      <c r="I418" s="10">
        <v>45730.44220251157</v>
      </c>
      <c r="J418" s="8">
        <v>0.0</v>
      </c>
      <c r="K418" s="11">
        <v>4.102845898E7</v>
      </c>
      <c r="L418" s="8" t="str">
        <f>+VLOOKUP(A418,Hoja2!$A$2:$X$2596,19,FALSE)</f>
        <v>#N/A</v>
      </c>
      <c r="M418" s="9" t="str">
        <f>+VLOOKUP(A418,Hoja2!$A$2:$X$2596,15,FALSE)</f>
        <v>#N/A</v>
      </c>
      <c r="N418" s="9" t="str">
        <f>+VLOOKUP(A418,Hoja2!$A$2:$X$2596,17,FALSE)</f>
        <v>#N/A</v>
      </c>
      <c r="O418" s="9" t="str">
        <f>+VLOOKUP(A418,Hoja2!$A$2:$X$2596,22,FALSE)</f>
        <v>#N/A</v>
      </c>
      <c r="P418" s="9" t="str">
        <f>+VLOOKUP(A418,Hoja2!$A$2:$X$2596,23,FALSE)</f>
        <v>#N/A</v>
      </c>
      <c r="Q418" s="9" t="str">
        <f>+VLOOKUP(A418,Hoja2!$A$2:$X$2596,24,FALSE)</f>
        <v>#N/A</v>
      </c>
    </row>
    <row r="419" ht="15.75" hidden="1" customHeight="1">
      <c r="A419" s="8">
        <v>2444597.0</v>
      </c>
      <c r="B419" s="8">
        <v>2444597.0</v>
      </c>
      <c r="C419" s="9" t="s">
        <v>25</v>
      </c>
      <c r="D419" s="8">
        <v>0.0</v>
      </c>
      <c r="E419" s="8">
        <v>0.0</v>
      </c>
      <c r="F419" s="8">
        <v>0.0</v>
      </c>
      <c r="G419" s="9" t="s">
        <v>26</v>
      </c>
      <c r="H419" s="10">
        <v>45730.44355509259</v>
      </c>
      <c r="I419" s="10">
        <v>45730.44355509259</v>
      </c>
      <c r="J419" s="8">
        <v>0.0</v>
      </c>
      <c r="K419" s="11">
        <v>4.102845898E7</v>
      </c>
      <c r="L419" s="8" t="str">
        <f>+VLOOKUP(A419,Hoja2!$A$2:$X$2596,19,FALSE)</f>
        <v>#N/A</v>
      </c>
      <c r="M419" s="9" t="str">
        <f>+VLOOKUP(A419,Hoja2!$A$2:$X$2596,15,FALSE)</f>
        <v>#N/A</v>
      </c>
      <c r="N419" s="9" t="str">
        <f>+VLOOKUP(A419,Hoja2!$A$2:$X$2596,17,FALSE)</f>
        <v>#N/A</v>
      </c>
      <c r="O419" s="9" t="str">
        <f>+VLOOKUP(A419,Hoja2!$A$2:$X$2596,22,FALSE)</f>
        <v>#N/A</v>
      </c>
      <c r="P419" s="9" t="str">
        <f>+VLOOKUP(A419,Hoja2!$A$2:$X$2596,23,FALSE)</f>
        <v>#N/A</v>
      </c>
      <c r="Q419" s="9" t="str">
        <f>+VLOOKUP(A419,Hoja2!$A$2:$X$2596,24,FALSE)</f>
        <v>#N/A</v>
      </c>
    </row>
    <row r="420" ht="15.75" hidden="1" customHeight="1">
      <c r="A420" s="8">
        <v>2444597.0</v>
      </c>
      <c r="B420" s="8">
        <v>2444597.0</v>
      </c>
      <c r="C420" s="9" t="s">
        <v>25</v>
      </c>
      <c r="D420" s="8">
        <v>0.0</v>
      </c>
      <c r="E420" s="8">
        <v>0.0</v>
      </c>
      <c r="F420" s="8">
        <v>0.0</v>
      </c>
      <c r="G420" s="9" t="s">
        <v>26</v>
      </c>
      <c r="H420" s="10">
        <v>45730.5652053588</v>
      </c>
      <c r="I420" s="10">
        <v>45730.5652053588</v>
      </c>
      <c r="J420" s="8">
        <v>0.0</v>
      </c>
      <c r="K420" s="11">
        <v>4.102845898E7</v>
      </c>
      <c r="L420" s="8" t="str">
        <f>+VLOOKUP(A420,Hoja2!$A$2:$X$2596,19,FALSE)</f>
        <v>#N/A</v>
      </c>
      <c r="M420" s="9" t="str">
        <f>+VLOOKUP(A420,Hoja2!$A$2:$X$2596,15,FALSE)</f>
        <v>#N/A</v>
      </c>
      <c r="N420" s="9" t="str">
        <f>+VLOOKUP(A420,Hoja2!$A$2:$X$2596,17,FALSE)</f>
        <v>#N/A</v>
      </c>
      <c r="O420" s="9" t="str">
        <f>+VLOOKUP(A420,Hoja2!$A$2:$X$2596,22,FALSE)</f>
        <v>#N/A</v>
      </c>
      <c r="P420" s="9" t="str">
        <f>+VLOOKUP(A420,Hoja2!$A$2:$X$2596,23,FALSE)</f>
        <v>#N/A</v>
      </c>
      <c r="Q420" s="9" t="str">
        <f>+VLOOKUP(A420,Hoja2!$A$2:$X$2596,24,FALSE)</f>
        <v>#N/A</v>
      </c>
    </row>
    <row r="421" ht="15.75" hidden="1" customHeight="1">
      <c r="A421" s="8">
        <v>2444597.0</v>
      </c>
      <c r="B421" s="8">
        <v>2444597.0</v>
      </c>
      <c r="C421" s="9" t="s">
        <v>25</v>
      </c>
      <c r="D421" s="8">
        <v>0.0</v>
      </c>
      <c r="E421" s="8">
        <v>0.0</v>
      </c>
      <c r="F421" s="8">
        <v>0.0</v>
      </c>
      <c r="G421" s="9" t="s">
        <v>26</v>
      </c>
      <c r="H421" s="10">
        <v>45730.56667438657</v>
      </c>
      <c r="I421" s="10">
        <v>45730.56667438657</v>
      </c>
      <c r="J421" s="8">
        <v>0.0</v>
      </c>
      <c r="K421" s="11">
        <v>4.102845898E7</v>
      </c>
      <c r="L421" s="8" t="str">
        <f>+VLOOKUP(A421,Hoja2!$A$2:$X$2596,19,FALSE)</f>
        <v>#N/A</v>
      </c>
      <c r="M421" s="9" t="str">
        <f>+VLOOKUP(A421,Hoja2!$A$2:$X$2596,15,FALSE)</f>
        <v>#N/A</v>
      </c>
      <c r="N421" s="9" t="str">
        <f>+VLOOKUP(A421,Hoja2!$A$2:$X$2596,17,FALSE)</f>
        <v>#N/A</v>
      </c>
      <c r="O421" s="9" t="str">
        <f>+VLOOKUP(A421,Hoja2!$A$2:$X$2596,22,FALSE)</f>
        <v>#N/A</v>
      </c>
      <c r="P421" s="9" t="str">
        <f>+VLOOKUP(A421,Hoja2!$A$2:$X$2596,23,FALSE)</f>
        <v>#N/A</v>
      </c>
      <c r="Q421" s="9" t="str">
        <f>+VLOOKUP(A421,Hoja2!$A$2:$X$2596,24,FALSE)</f>
        <v>#N/A</v>
      </c>
    </row>
    <row r="422" ht="15.75" hidden="1" customHeight="1">
      <c r="A422" s="8">
        <v>2444597.0</v>
      </c>
      <c r="B422" s="8">
        <v>2444597.0</v>
      </c>
      <c r="C422" s="9" t="s">
        <v>25</v>
      </c>
      <c r="D422" s="8">
        <v>0.0</v>
      </c>
      <c r="E422" s="8">
        <v>0.0</v>
      </c>
      <c r="F422" s="8">
        <v>0.0</v>
      </c>
      <c r="G422" s="9" t="s">
        <v>26</v>
      </c>
      <c r="H422" s="10">
        <v>45730.66267496528</v>
      </c>
      <c r="I422" s="10">
        <v>45730.66267496528</v>
      </c>
      <c r="J422" s="8">
        <v>0.0</v>
      </c>
      <c r="K422" s="11">
        <v>4.102845898E7</v>
      </c>
      <c r="L422" s="8" t="str">
        <f>+VLOOKUP(A422,Hoja2!$A$2:$X$2596,19,FALSE)</f>
        <v>#N/A</v>
      </c>
      <c r="M422" s="9" t="str">
        <f>+VLOOKUP(A422,Hoja2!$A$2:$X$2596,15,FALSE)</f>
        <v>#N/A</v>
      </c>
      <c r="N422" s="9" t="str">
        <f>+VLOOKUP(A422,Hoja2!$A$2:$X$2596,17,FALSE)</f>
        <v>#N/A</v>
      </c>
      <c r="O422" s="9" t="str">
        <f>+VLOOKUP(A422,Hoja2!$A$2:$X$2596,22,FALSE)</f>
        <v>#N/A</v>
      </c>
      <c r="P422" s="9" t="str">
        <f>+VLOOKUP(A422,Hoja2!$A$2:$X$2596,23,FALSE)</f>
        <v>#N/A</v>
      </c>
      <c r="Q422" s="9" t="str">
        <f>+VLOOKUP(A422,Hoja2!$A$2:$X$2596,24,FALSE)</f>
        <v>#N/A</v>
      </c>
    </row>
    <row r="423" ht="15.75" hidden="1" customHeight="1">
      <c r="A423" s="8">
        <v>2444597.0</v>
      </c>
      <c r="B423" s="8">
        <v>2444597.0</v>
      </c>
      <c r="C423" s="9" t="s">
        <v>25</v>
      </c>
      <c r="D423" s="8">
        <v>0.0</v>
      </c>
      <c r="E423" s="8">
        <v>0.0</v>
      </c>
      <c r="F423" s="8">
        <v>0.0</v>
      </c>
      <c r="G423" s="9" t="s">
        <v>26</v>
      </c>
      <c r="H423" s="10">
        <v>45733.26594849537</v>
      </c>
      <c r="I423" s="10">
        <v>45733.26594849537</v>
      </c>
      <c r="J423" s="8">
        <v>0.0</v>
      </c>
      <c r="K423" s="11">
        <v>4.102845898E7</v>
      </c>
      <c r="L423" s="8" t="str">
        <f>+VLOOKUP(A423,Hoja2!$A$2:$X$2596,19,FALSE)</f>
        <v>#N/A</v>
      </c>
      <c r="M423" s="9" t="str">
        <f>+VLOOKUP(A423,Hoja2!$A$2:$X$2596,15,FALSE)</f>
        <v>#N/A</v>
      </c>
      <c r="N423" s="9" t="str">
        <f>+VLOOKUP(A423,Hoja2!$A$2:$X$2596,17,FALSE)</f>
        <v>#N/A</v>
      </c>
      <c r="O423" s="9" t="str">
        <f>+VLOOKUP(A423,Hoja2!$A$2:$X$2596,22,FALSE)</f>
        <v>#N/A</v>
      </c>
      <c r="P423" s="9" t="str">
        <f>+VLOOKUP(A423,Hoja2!$A$2:$X$2596,23,FALSE)</f>
        <v>#N/A</v>
      </c>
      <c r="Q423" s="9" t="str">
        <f>+VLOOKUP(A423,Hoja2!$A$2:$X$2596,24,FALSE)</f>
        <v>#N/A</v>
      </c>
    </row>
    <row r="424" ht="15.75" hidden="1" customHeight="1">
      <c r="A424" s="8">
        <v>2444597.0</v>
      </c>
      <c r="B424" s="8">
        <v>2444597.0</v>
      </c>
      <c r="C424" s="9" t="s">
        <v>25</v>
      </c>
      <c r="D424" s="8">
        <v>0.0</v>
      </c>
      <c r="E424" s="8">
        <v>0.0</v>
      </c>
      <c r="F424" s="8">
        <v>0.0</v>
      </c>
      <c r="G424" s="9" t="s">
        <v>26</v>
      </c>
      <c r="H424" s="10">
        <v>45733.72425158565</v>
      </c>
      <c r="I424" s="10">
        <v>45733.72425158565</v>
      </c>
      <c r="J424" s="8">
        <v>0.0</v>
      </c>
      <c r="K424" s="11">
        <v>4.102845898E7</v>
      </c>
      <c r="L424" s="8" t="str">
        <f>+VLOOKUP(A424,Hoja2!$A$2:$X$2596,19,FALSE)</f>
        <v>#N/A</v>
      </c>
      <c r="M424" s="9" t="str">
        <f>+VLOOKUP(A424,Hoja2!$A$2:$X$2596,15,FALSE)</f>
        <v>#N/A</v>
      </c>
      <c r="N424" s="9" t="str">
        <f>+VLOOKUP(A424,Hoja2!$A$2:$X$2596,17,FALSE)</f>
        <v>#N/A</v>
      </c>
      <c r="O424" s="9" t="str">
        <f>+VLOOKUP(A424,Hoja2!$A$2:$X$2596,22,FALSE)</f>
        <v>#N/A</v>
      </c>
      <c r="P424" s="9" t="str">
        <f>+VLOOKUP(A424,Hoja2!$A$2:$X$2596,23,FALSE)</f>
        <v>#N/A</v>
      </c>
      <c r="Q424" s="9" t="str">
        <f>+VLOOKUP(A424,Hoja2!$A$2:$X$2596,24,FALSE)</f>
        <v>#N/A</v>
      </c>
    </row>
    <row r="425" ht="15.75" hidden="1" customHeight="1">
      <c r="A425" s="8">
        <v>2444597.0</v>
      </c>
      <c r="B425" s="8">
        <v>2444597.0</v>
      </c>
      <c r="C425" s="9" t="s">
        <v>25</v>
      </c>
      <c r="D425" s="8">
        <v>0.0</v>
      </c>
      <c r="E425" s="8">
        <v>0.0</v>
      </c>
      <c r="F425" s="8">
        <v>0.0</v>
      </c>
      <c r="G425" s="9" t="s">
        <v>26</v>
      </c>
      <c r="H425" s="10">
        <v>45734.52305420139</v>
      </c>
      <c r="I425" s="10">
        <v>45734.52305420139</v>
      </c>
      <c r="J425" s="8">
        <v>0.0</v>
      </c>
      <c r="K425" s="11">
        <v>4.102845898E7</v>
      </c>
      <c r="L425" s="8" t="str">
        <f>+VLOOKUP(A425,Hoja2!$A$2:$X$2596,19,FALSE)</f>
        <v>#N/A</v>
      </c>
      <c r="M425" s="9" t="str">
        <f>+VLOOKUP(A425,Hoja2!$A$2:$X$2596,15,FALSE)</f>
        <v>#N/A</v>
      </c>
      <c r="N425" s="9" t="str">
        <f>+VLOOKUP(A425,Hoja2!$A$2:$X$2596,17,FALSE)</f>
        <v>#N/A</v>
      </c>
      <c r="O425" s="9" t="str">
        <f>+VLOOKUP(A425,Hoja2!$A$2:$X$2596,22,FALSE)</f>
        <v>#N/A</v>
      </c>
      <c r="P425" s="9" t="str">
        <f>+VLOOKUP(A425,Hoja2!$A$2:$X$2596,23,FALSE)</f>
        <v>#N/A</v>
      </c>
      <c r="Q425" s="9" t="str">
        <f>+VLOOKUP(A425,Hoja2!$A$2:$X$2596,24,FALSE)</f>
        <v>#N/A</v>
      </c>
    </row>
    <row r="426" ht="15.75" hidden="1" customHeight="1">
      <c r="A426" s="8">
        <v>2444597.0</v>
      </c>
      <c r="B426" s="8">
        <v>2444597.0</v>
      </c>
      <c r="C426" s="9" t="s">
        <v>25</v>
      </c>
      <c r="D426" s="8">
        <v>0.0</v>
      </c>
      <c r="E426" s="8">
        <v>0.0</v>
      </c>
      <c r="F426" s="8">
        <v>0.0</v>
      </c>
      <c r="G426" s="9" t="s">
        <v>26</v>
      </c>
      <c r="H426" s="10">
        <v>45737.44723931713</v>
      </c>
      <c r="I426" s="10">
        <v>45737.44723931713</v>
      </c>
      <c r="J426" s="8">
        <v>0.0</v>
      </c>
      <c r="K426" s="11">
        <v>4.102845898E7</v>
      </c>
      <c r="L426" s="8" t="str">
        <f>+VLOOKUP(A426,Hoja2!$A$2:$X$2596,19,FALSE)</f>
        <v>#N/A</v>
      </c>
      <c r="M426" s="9" t="str">
        <f>+VLOOKUP(A426,Hoja2!$A$2:$X$2596,15,FALSE)</f>
        <v>#N/A</v>
      </c>
      <c r="N426" s="9" t="str">
        <f>+VLOOKUP(A426,Hoja2!$A$2:$X$2596,17,FALSE)</f>
        <v>#N/A</v>
      </c>
      <c r="O426" s="9" t="str">
        <f>+VLOOKUP(A426,Hoja2!$A$2:$X$2596,22,FALSE)</f>
        <v>#N/A</v>
      </c>
      <c r="P426" s="9" t="str">
        <f>+VLOOKUP(A426,Hoja2!$A$2:$X$2596,23,FALSE)</f>
        <v>#N/A</v>
      </c>
      <c r="Q426" s="9" t="str">
        <f>+VLOOKUP(A426,Hoja2!$A$2:$X$2596,24,FALSE)</f>
        <v>#N/A</v>
      </c>
    </row>
    <row r="427" ht="15.75" hidden="1" customHeight="1">
      <c r="A427" s="8">
        <v>2444597.0</v>
      </c>
      <c r="B427" s="8">
        <v>2444597.0</v>
      </c>
      <c r="C427" s="9" t="s">
        <v>19</v>
      </c>
      <c r="D427" s="8">
        <v>1.0</v>
      </c>
      <c r="E427" s="8">
        <v>2.0</v>
      </c>
      <c r="F427" s="8">
        <v>0.0</v>
      </c>
      <c r="G427" s="9" t="s">
        <v>18</v>
      </c>
      <c r="H427" s="10">
        <v>45737.46303005787</v>
      </c>
      <c r="I427" s="10">
        <v>45835.80227827546</v>
      </c>
      <c r="J427" s="8">
        <v>98.0</v>
      </c>
      <c r="K427" s="11">
        <v>4.102845898E7</v>
      </c>
      <c r="L427" s="8" t="str">
        <f>+VLOOKUP(A427,Hoja2!$A$2:$X$2596,19,FALSE)</f>
        <v>#N/A</v>
      </c>
      <c r="M427" s="9" t="str">
        <f>+VLOOKUP(A427,Hoja2!$A$2:$X$2596,15,FALSE)</f>
        <v>#N/A</v>
      </c>
      <c r="N427" s="9" t="str">
        <f>+VLOOKUP(A427,Hoja2!$A$2:$X$2596,17,FALSE)</f>
        <v>#N/A</v>
      </c>
      <c r="O427" s="9" t="str">
        <f>+VLOOKUP(A427,Hoja2!$A$2:$X$2596,22,FALSE)</f>
        <v>#N/A</v>
      </c>
      <c r="P427" s="9" t="str">
        <f>+VLOOKUP(A427,Hoja2!$A$2:$X$2596,23,FALSE)</f>
        <v>#N/A</v>
      </c>
      <c r="Q427" s="9" t="str">
        <f>+VLOOKUP(A427,Hoja2!$A$2:$X$2596,24,FALSE)</f>
        <v>#N/A</v>
      </c>
    </row>
    <row r="428" ht="15.75" hidden="1" customHeight="1">
      <c r="A428" s="8">
        <v>2444597.0</v>
      </c>
      <c r="B428" s="8">
        <v>2444597.0</v>
      </c>
      <c r="C428" s="9" t="s">
        <v>27</v>
      </c>
      <c r="D428" s="8">
        <v>1.0</v>
      </c>
      <c r="E428" s="8">
        <v>5.0</v>
      </c>
      <c r="F428" s="8">
        <v>1.0</v>
      </c>
      <c r="G428" s="9" t="s">
        <v>23</v>
      </c>
      <c r="H428" s="10">
        <v>45862.4736684375</v>
      </c>
      <c r="I428" s="10">
        <v>45959.73796744213</v>
      </c>
      <c r="J428" s="8">
        <v>97.0</v>
      </c>
      <c r="K428" s="11">
        <v>4.102845898E7</v>
      </c>
      <c r="L428" s="8" t="str">
        <f>+VLOOKUP(A428,Hoja2!$A$2:$X$2596,19,FALSE)</f>
        <v>#N/A</v>
      </c>
      <c r="M428" s="9" t="str">
        <f>+VLOOKUP(A428,Hoja2!$A$2:$X$2596,15,FALSE)</f>
        <v>#N/A</v>
      </c>
      <c r="N428" s="9" t="str">
        <f>+VLOOKUP(A428,Hoja2!$A$2:$X$2596,17,FALSE)</f>
        <v>#N/A</v>
      </c>
      <c r="O428" s="9" t="str">
        <f>+VLOOKUP(A428,Hoja2!$A$2:$X$2596,22,FALSE)</f>
        <v>#N/A</v>
      </c>
      <c r="P428" s="9" t="str">
        <f>+VLOOKUP(A428,Hoja2!$A$2:$X$2596,23,FALSE)</f>
        <v>#N/A</v>
      </c>
      <c r="Q428" s="9" t="str">
        <f>+VLOOKUP(A428,Hoja2!$A$2:$X$2596,24,FALSE)</f>
        <v>#N/A</v>
      </c>
    </row>
    <row r="429" ht="15.75" hidden="1" customHeight="1">
      <c r="A429" s="8">
        <v>2444739.0</v>
      </c>
      <c r="B429" s="8">
        <v>2444739.0</v>
      </c>
      <c r="C429" s="9" t="s">
        <v>17</v>
      </c>
      <c r="D429" s="8">
        <v>2.0</v>
      </c>
      <c r="E429" s="8">
        <v>0.0</v>
      </c>
      <c r="F429" s="8">
        <v>0.0</v>
      </c>
      <c r="G429" s="9" t="s">
        <v>21</v>
      </c>
      <c r="H429" s="10">
        <v>44524.52512002315</v>
      </c>
      <c r="I429" s="10">
        <v>44539.56924464121</v>
      </c>
      <c r="J429" s="8">
        <v>15.0</v>
      </c>
      <c r="K429" s="11">
        <v>4.017869509E7</v>
      </c>
      <c r="L429" s="8" t="str">
        <f>+VLOOKUP(A429,Hoja2!$A$2:$X$2596,19,FALSE)</f>
        <v>#N/A</v>
      </c>
      <c r="M429" s="9" t="str">
        <f>+VLOOKUP(A429,Hoja2!$A$2:$X$2596,15,FALSE)</f>
        <v>#N/A</v>
      </c>
      <c r="N429" s="9" t="str">
        <f>+VLOOKUP(A429,Hoja2!$A$2:$X$2596,17,FALSE)</f>
        <v>#N/A</v>
      </c>
      <c r="O429" s="9" t="str">
        <f>+VLOOKUP(A429,Hoja2!$A$2:$X$2596,22,FALSE)</f>
        <v>#N/A</v>
      </c>
      <c r="P429" s="9" t="str">
        <f>+VLOOKUP(A429,Hoja2!$A$2:$X$2596,23,FALSE)</f>
        <v>#N/A</v>
      </c>
      <c r="Q429" s="9" t="str">
        <f>+VLOOKUP(A429,Hoja2!$A$2:$X$2596,24,FALSE)</f>
        <v>#N/A</v>
      </c>
    </row>
    <row r="430" ht="15.75" hidden="1" customHeight="1">
      <c r="A430" s="8">
        <v>2444739.0</v>
      </c>
      <c r="B430" s="8">
        <v>2444739.0</v>
      </c>
      <c r="C430" s="9" t="s">
        <v>17</v>
      </c>
      <c r="D430" s="8">
        <v>2.0</v>
      </c>
      <c r="E430" s="8">
        <v>0.0</v>
      </c>
      <c r="F430" s="8">
        <v>0.0</v>
      </c>
      <c r="G430" s="9" t="s">
        <v>21</v>
      </c>
      <c r="H430" s="10">
        <v>45055.33918364583</v>
      </c>
      <c r="I430" s="10">
        <v>45071.62413877315</v>
      </c>
      <c r="J430" s="8">
        <v>16.0</v>
      </c>
      <c r="K430" s="11">
        <v>4.017869509E7</v>
      </c>
      <c r="L430" s="8" t="str">
        <f>+VLOOKUP(A430,Hoja2!$A$2:$X$2596,19,FALSE)</f>
        <v>#N/A</v>
      </c>
      <c r="M430" s="9" t="str">
        <f>+VLOOKUP(A430,Hoja2!$A$2:$X$2596,15,FALSE)</f>
        <v>#N/A</v>
      </c>
      <c r="N430" s="9" t="str">
        <f>+VLOOKUP(A430,Hoja2!$A$2:$X$2596,17,FALSE)</f>
        <v>#N/A</v>
      </c>
      <c r="O430" s="9" t="str">
        <f>+VLOOKUP(A430,Hoja2!$A$2:$X$2596,22,FALSE)</f>
        <v>#N/A</v>
      </c>
      <c r="P430" s="9" t="str">
        <f>+VLOOKUP(A430,Hoja2!$A$2:$X$2596,23,FALSE)</f>
        <v>#N/A</v>
      </c>
      <c r="Q430" s="9" t="str">
        <f>+VLOOKUP(A430,Hoja2!$A$2:$X$2596,24,FALSE)</f>
        <v>#N/A</v>
      </c>
    </row>
    <row r="431" ht="15.75" hidden="1" customHeight="1">
      <c r="A431" s="8">
        <v>2446778.0</v>
      </c>
      <c r="B431" s="8">
        <v>2446778.0</v>
      </c>
      <c r="C431" s="9" t="s">
        <v>17</v>
      </c>
      <c r="D431" s="8">
        <v>2.0</v>
      </c>
      <c r="E431" s="8">
        <v>0.0</v>
      </c>
      <c r="F431" s="8">
        <v>0.0</v>
      </c>
      <c r="G431" s="9" t="s">
        <v>21</v>
      </c>
      <c r="H431" s="10">
        <v>44611.45976003472</v>
      </c>
      <c r="I431" s="10">
        <v>44620.48013753472</v>
      </c>
      <c r="J431" s="8">
        <v>9.0</v>
      </c>
      <c r="K431" s="11">
        <v>3.732898114E7</v>
      </c>
      <c r="L431" s="8" t="str">
        <f>+VLOOKUP(A431,Hoja2!$A$2:$X$2596,19,FALSE)</f>
        <v>#N/A</v>
      </c>
      <c r="M431" s="9" t="str">
        <f>+VLOOKUP(A431,Hoja2!$A$2:$X$2596,15,FALSE)</f>
        <v>#N/A</v>
      </c>
      <c r="N431" s="9" t="str">
        <f>+VLOOKUP(A431,Hoja2!$A$2:$X$2596,17,FALSE)</f>
        <v>#N/A</v>
      </c>
      <c r="O431" s="9" t="str">
        <f>+VLOOKUP(A431,Hoja2!$A$2:$X$2596,22,FALSE)</f>
        <v>#N/A</v>
      </c>
      <c r="P431" s="9" t="str">
        <f>+VLOOKUP(A431,Hoja2!$A$2:$X$2596,23,FALSE)</f>
        <v>#N/A</v>
      </c>
      <c r="Q431" s="9" t="str">
        <f>+VLOOKUP(A431,Hoja2!$A$2:$X$2596,24,FALSE)</f>
        <v>#N/A</v>
      </c>
    </row>
    <row r="432" ht="15.75" hidden="1" customHeight="1">
      <c r="A432" s="8">
        <v>2447901.0</v>
      </c>
      <c r="B432" s="8">
        <v>2447901.0</v>
      </c>
      <c r="C432" s="9" t="s">
        <v>19</v>
      </c>
      <c r="D432" s="8">
        <v>1.0</v>
      </c>
      <c r="E432" s="8">
        <v>1.0</v>
      </c>
      <c r="F432" s="8">
        <v>0.0</v>
      </c>
      <c r="G432" s="9" t="s">
        <v>18</v>
      </c>
      <c r="H432" s="10">
        <v>44207.82746855324</v>
      </c>
      <c r="I432" s="10">
        <v>44211.43716230324</v>
      </c>
      <c r="J432" s="8">
        <v>4.0</v>
      </c>
      <c r="K432" s="11">
        <v>2.745958652E7</v>
      </c>
      <c r="L432" s="8" t="str">
        <f>+VLOOKUP(A432,Hoja2!$A$2:$X$2596,19,FALSE)</f>
        <v>#N/A</v>
      </c>
      <c r="M432" s="9" t="str">
        <f>+VLOOKUP(A432,Hoja2!$A$2:$X$2596,15,FALSE)</f>
        <v>#N/A</v>
      </c>
      <c r="N432" s="9" t="str">
        <f>+VLOOKUP(A432,Hoja2!$A$2:$X$2596,17,FALSE)</f>
        <v>#N/A</v>
      </c>
      <c r="O432" s="9" t="str">
        <f>+VLOOKUP(A432,Hoja2!$A$2:$X$2596,22,FALSE)</f>
        <v>#N/A</v>
      </c>
      <c r="P432" s="9" t="str">
        <f>+VLOOKUP(A432,Hoja2!$A$2:$X$2596,23,FALSE)</f>
        <v>#N/A</v>
      </c>
      <c r="Q432" s="9" t="str">
        <f>+VLOOKUP(A432,Hoja2!$A$2:$X$2596,24,FALSE)</f>
        <v>#N/A</v>
      </c>
    </row>
    <row r="433" ht="15.75" hidden="1" customHeight="1">
      <c r="A433" s="8">
        <v>2453891.0</v>
      </c>
      <c r="B433" s="8">
        <v>2453891.0</v>
      </c>
      <c r="C433" s="9" t="s">
        <v>17</v>
      </c>
      <c r="D433" s="8">
        <v>3.0</v>
      </c>
      <c r="E433" s="8">
        <v>0.0</v>
      </c>
      <c r="F433" s="8">
        <v>0.0</v>
      </c>
      <c r="G433" s="9" t="s">
        <v>21</v>
      </c>
      <c r="H433" s="10">
        <v>44496.85599105324</v>
      </c>
      <c r="I433" s="10">
        <v>44504.70856215278</v>
      </c>
      <c r="J433" s="8">
        <v>8.0</v>
      </c>
      <c r="K433" s="11">
        <v>8838170.38</v>
      </c>
      <c r="L433" s="8" t="str">
        <f>+VLOOKUP(A433,Hoja2!$A$2:$X$2596,19,FALSE)</f>
        <v>#N/A</v>
      </c>
      <c r="M433" s="9" t="str">
        <f>+VLOOKUP(A433,Hoja2!$A$2:$X$2596,15,FALSE)</f>
        <v>#N/A</v>
      </c>
      <c r="N433" s="9" t="str">
        <f>+VLOOKUP(A433,Hoja2!$A$2:$X$2596,17,FALSE)</f>
        <v>#N/A</v>
      </c>
      <c r="O433" s="9" t="str">
        <f>+VLOOKUP(A433,Hoja2!$A$2:$X$2596,22,FALSE)</f>
        <v>#N/A</v>
      </c>
      <c r="P433" s="9" t="str">
        <f>+VLOOKUP(A433,Hoja2!$A$2:$X$2596,23,FALSE)</f>
        <v>#N/A</v>
      </c>
      <c r="Q433" s="9" t="str">
        <f>+VLOOKUP(A433,Hoja2!$A$2:$X$2596,24,FALSE)</f>
        <v>#N/A</v>
      </c>
    </row>
    <row r="434" ht="15.75" hidden="1" customHeight="1">
      <c r="A434" s="8">
        <v>2453891.0</v>
      </c>
      <c r="B434" s="8">
        <v>2453891.0</v>
      </c>
      <c r="C434" s="9" t="s">
        <v>17</v>
      </c>
      <c r="D434" s="8">
        <v>2.0</v>
      </c>
      <c r="E434" s="8">
        <v>0.0</v>
      </c>
      <c r="F434" s="8">
        <v>0.0</v>
      </c>
      <c r="G434" s="9" t="s">
        <v>21</v>
      </c>
      <c r="H434" s="10">
        <v>44546.70533359954</v>
      </c>
      <c r="I434" s="10">
        <v>44559.3598628125</v>
      </c>
      <c r="J434" s="8">
        <v>13.0</v>
      </c>
      <c r="K434" s="11">
        <v>8838170.38</v>
      </c>
      <c r="L434" s="8" t="str">
        <f>+VLOOKUP(A434,Hoja2!$A$2:$X$2596,19,FALSE)</f>
        <v>#N/A</v>
      </c>
      <c r="M434" s="9" t="str">
        <f>+VLOOKUP(A434,Hoja2!$A$2:$X$2596,15,FALSE)</f>
        <v>#N/A</v>
      </c>
      <c r="N434" s="9" t="str">
        <f>+VLOOKUP(A434,Hoja2!$A$2:$X$2596,17,FALSE)</f>
        <v>#N/A</v>
      </c>
      <c r="O434" s="9" t="str">
        <f>+VLOOKUP(A434,Hoja2!$A$2:$X$2596,22,FALSE)</f>
        <v>#N/A</v>
      </c>
      <c r="P434" s="9" t="str">
        <f>+VLOOKUP(A434,Hoja2!$A$2:$X$2596,23,FALSE)</f>
        <v>#N/A</v>
      </c>
      <c r="Q434" s="9" t="str">
        <f>+VLOOKUP(A434,Hoja2!$A$2:$X$2596,24,FALSE)</f>
        <v>#N/A</v>
      </c>
    </row>
    <row r="435" ht="15.75" hidden="1" customHeight="1">
      <c r="A435" s="8">
        <v>2453891.0</v>
      </c>
      <c r="B435" s="8">
        <v>2453891.0</v>
      </c>
      <c r="C435" s="9" t="s">
        <v>17</v>
      </c>
      <c r="D435" s="8">
        <v>2.0</v>
      </c>
      <c r="E435" s="8">
        <v>0.0</v>
      </c>
      <c r="F435" s="8">
        <v>0.0</v>
      </c>
      <c r="G435" s="9" t="s">
        <v>21</v>
      </c>
      <c r="H435" s="10">
        <v>44650.777498414354</v>
      </c>
      <c r="I435" s="10">
        <v>44657.37656550926</v>
      </c>
      <c r="J435" s="8">
        <v>7.0</v>
      </c>
      <c r="K435" s="11">
        <v>8838170.38</v>
      </c>
      <c r="L435" s="8" t="str">
        <f>+VLOOKUP(A435,Hoja2!$A$2:$X$2596,19,FALSE)</f>
        <v>#N/A</v>
      </c>
      <c r="M435" s="9" t="str">
        <f>+VLOOKUP(A435,Hoja2!$A$2:$X$2596,15,FALSE)</f>
        <v>#N/A</v>
      </c>
      <c r="N435" s="9" t="str">
        <f>+VLOOKUP(A435,Hoja2!$A$2:$X$2596,17,FALSE)</f>
        <v>#N/A</v>
      </c>
      <c r="O435" s="9" t="str">
        <f>+VLOOKUP(A435,Hoja2!$A$2:$X$2596,22,FALSE)</f>
        <v>#N/A</v>
      </c>
      <c r="P435" s="9" t="str">
        <f>+VLOOKUP(A435,Hoja2!$A$2:$X$2596,23,FALSE)</f>
        <v>#N/A</v>
      </c>
      <c r="Q435" s="9" t="str">
        <f>+VLOOKUP(A435,Hoja2!$A$2:$X$2596,24,FALSE)</f>
        <v>#N/A</v>
      </c>
    </row>
    <row r="436" ht="15.75" hidden="1" customHeight="1">
      <c r="A436" s="8">
        <v>2453891.0</v>
      </c>
      <c r="B436" s="8">
        <v>2453891.0</v>
      </c>
      <c r="C436" s="9" t="s">
        <v>17</v>
      </c>
      <c r="D436" s="8">
        <v>2.0</v>
      </c>
      <c r="E436" s="8">
        <v>0.0</v>
      </c>
      <c r="F436" s="8">
        <v>0.0</v>
      </c>
      <c r="G436" s="9" t="s">
        <v>21</v>
      </c>
      <c r="H436" s="10">
        <v>45253.52064498843</v>
      </c>
      <c r="I436" s="10">
        <v>45264.42505019676</v>
      </c>
      <c r="J436" s="8">
        <v>11.0</v>
      </c>
      <c r="K436" s="11">
        <v>8838170.38</v>
      </c>
      <c r="L436" s="8" t="str">
        <f>+VLOOKUP(A436,Hoja2!$A$2:$X$2596,19,FALSE)</f>
        <v>#N/A</v>
      </c>
      <c r="M436" s="9" t="str">
        <f>+VLOOKUP(A436,Hoja2!$A$2:$X$2596,15,FALSE)</f>
        <v>#N/A</v>
      </c>
      <c r="N436" s="9" t="str">
        <f>+VLOOKUP(A436,Hoja2!$A$2:$X$2596,17,FALSE)</f>
        <v>#N/A</v>
      </c>
      <c r="O436" s="9" t="str">
        <f>+VLOOKUP(A436,Hoja2!$A$2:$X$2596,22,FALSE)</f>
        <v>#N/A</v>
      </c>
      <c r="P436" s="9" t="str">
        <f>+VLOOKUP(A436,Hoja2!$A$2:$X$2596,23,FALSE)</f>
        <v>#N/A</v>
      </c>
      <c r="Q436" s="9" t="str">
        <f>+VLOOKUP(A436,Hoja2!$A$2:$X$2596,24,FALSE)</f>
        <v>#N/A</v>
      </c>
    </row>
    <row r="437" ht="15.75" hidden="1" customHeight="1">
      <c r="A437" s="8">
        <v>2454752.0</v>
      </c>
      <c r="B437" s="8">
        <v>2454752.0</v>
      </c>
      <c r="C437" s="9" t="s">
        <v>19</v>
      </c>
      <c r="D437" s="8">
        <v>4.0</v>
      </c>
      <c r="E437" s="8">
        <v>2.0</v>
      </c>
      <c r="F437" s="8">
        <v>0.0</v>
      </c>
      <c r="G437" s="9" t="s">
        <v>18</v>
      </c>
      <c r="H437" s="10">
        <v>44418.75903217593</v>
      </c>
      <c r="I437" s="10">
        <v>44497.64830042824</v>
      </c>
      <c r="J437" s="8">
        <v>79.0</v>
      </c>
      <c r="K437" s="11">
        <v>1.372615517E7</v>
      </c>
      <c r="L437" s="8" t="str">
        <f>+VLOOKUP(A437,Hoja2!$A$2:$X$2596,19,FALSE)</f>
        <v>#N/A</v>
      </c>
      <c r="M437" s="9" t="str">
        <f>+VLOOKUP(A437,Hoja2!$A$2:$X$2596,15,FALSE)</f>
        <v>#N/A</v>
      </c>
      <c r="N437" s="9" t="str">
        <f>+VLOOKUP(A437,Hoja2!$A$2:$X$2596,17,FALSE)</f>
        <v>#N/A</v>
      </c>
      <c r="O437" s="9" t="str">
        <f>+VLOOKUP(A437,Hoja2!$A$2:$X$2596,22,FALSE)</f>
        <v>#N/A</v>
      </c>
      <c r="P437" s="9" t="str">
        <f>+VLOOKUP(A437,Hoja2!$A$2:$X$2596,23,FALSE)</f>
        <v>#N/A</v>
      </c>
      <c r="Q437" s="9" t="str">
        <f>+VLOOKUP(A437,Hoja2!$A$2:$X$2596,24,FALSE)</f>
        <v>#N/A</v>
      </c>
    </row>
    <row r="438" ht="15.75" hidden="1" customHeight="1">
      <c r="A438" s="8">
        <v>2456947.0</v>
      </c>
      <c r="B438" s="8">
        <v>2456947.0</v>
      </c>
      <c r="C438" s="9" t="s">
        <v>17</v>
      </c>
      <c r="D438" s="8">
        <v>3.0</v>
      </c>
      <c r="E438" s="8">
        <v>1.0</v>
      </c>
      <c r="F438" s="8">
        <v>0.0</v>
      </c>
      <c r="G438" s="9" t="s">
        <v>18</v>
      </c>
      <c r="H438" s="10">
        <v>44435.83375042824</v>
      </c>
      <c r="I438" s="10">
        <v>44519.6377431713</v>
      </c>
      <c r="J438" s="8">
        <v>84.0</v>
      </c>
      <c r="K438" s="11">
        <v>1.538858315E7</v>
      </c>
      <c r="L438" s="8" t="str">
        <f>+VLOOKUP(A438,Hoja2!$A$2:$X$2596,19,FALSE)</f>
        <v>#N/A</v>
      </c>
      <c r="M438" s="9" t="str">
        <f>+VLOOKUP(A438,Hoja2!$A$2:$X$2596,15,FALSE)</f>
        <v>#N/A</v>
      </c>
      <c r="N438" s="9" t="str">
        <f>+VLOOKUP(A438,Hoja2!$A$2:$X$2596,17,FALSE)</f>
        <v>#N/A</v>
      </c>
      <c r="O438" s="9" t="str">
        <f>+VLOOKUP(A438,Hoja2!$A$2:$X$2596,22,FALSE)</f>
        <v>#N/A</v>
      </c>
      <c r="P438" s="9" t="str">
        <f>+VLOOKUP(A438,Hoja2!$A$2:$X$2596,23,FALSE)</f>
        <v>#N/A</v>
      </c>
      <c r="Q438" s="9" t="str">
        <f>+VLOOKUP(A438,Hoja2!$A$2:$X$2596,24,FALSE)</f>
        <v>#N/A</v>
      </c>
    </row>
    <row r="439" ht="15.75" hidden="1" customHeight="1">
      <c r="A439" s="8">
        <v>2456947.0</v>
      </c>
      <c r="B439" s="8">
        <v>2456947.0</v>
      </c>
      <c r="C439" s="9" t="s">
        <v>24</v>
      </c>
      <c r="D439" s="8">
        <v>3.0</v>
      </c>
      <c r="E439" s="8">
        <v>1.0</v>
      </c>
      <c r="F439" s="8">
        <v>0.0</v>
      </c>
      <c r="G439" s="9" t="s">
        <v>18</v>
      </c>
      <c r="H439" s="10">
        <v>44558.68657005787</v>
      </c>
      <c r="I439" s="10">
        <v>44585.6380755787</v>
      </c>
      <c r="J439" s="8">
        <v>27.0</v>
      </c>
      <c r="K439" s="11">
        <v>1.538858315E7</v>
      </c>
      <c r="L439" s="8" t="str">
        <f>+VLOOKUP(A439,Hoja2!$A$2:$X$2596,19,FALSE)</f>
        <v>#N/A</v>
      </c>
      <c r="M439" s="9" t="str">
        <f>+VLOOKUP(A439,Hoja2!$A$2:$X$2596,15,FALSE)</f>
        <v>#N/A</v>
      </c>
      <c r="N439" s="9" t="str">
        <f>+VLOOKUP(A439,Hoja2!$A$2:$X$2596,17,FALSE)</f>
        <v>#N/A</v>
      </c>
      <c r="O439" s="9" t="str">
        <f>+VLOOKUP(A439,Hoja2!$A$2:$X$2596,22,FALSE)</f>
        <v>#N/A</v>
      </c>
      <c r="P439" s="9" t="str">
        <f>+VLOOKUP(A439,Hoja2!$A$2:$X$2596,23,FALSE)</f>
        <v>#N/A</v>
      </c>
      <c r="Q439" s="9" t="str">
        <f>+VLOOKUP(A439,Hoja2!$A$2:$X$2596,24,FALSE)</f>
        <v>#N/A</v>
      </c>
    </row>
    <row r="440" ht="15.75" hidden="1" customHeight="1">
      <c r="A440" s="8">
        <v>2457588.0</v>
      </c>
      <c r="B440" s="8">
        <v>2457588.0</v>
      </c>
      <c r="C440" s="9" t="s">
        <v>17</v>
      </c>
      <c r="D440" s="8">
        <v>3.0</v>
      </c>
      <c r="E440" s="8">
        <v>0.0</v>
      </c>
      <c r="F440" s="8">
        <v>0.0</v>
      </c>
      <c r="G440" s="9" t="s">
        <v>21</v>
      </c>
      <c r="H440" s="10">
        <v>44390.53550092593</v>
      </c>
      <c r="I440" s="10">
        <v>44398.45368614583</v>
      </c>
      <c r="J440" s="8">
        <v>8.0</v>
      </c>
      <c r="K440" s="11">
        <v>3.323690331E7</v>
      </c>
      <c r="L440" s="8" t="str">
        <f>+VLOOKUP(A440,Hoja2!$A$2:$X$2596,19,FALSE)</f>
        <v>#N/A</v>
      </c>
      <c r="M440" s="9" t="str">
        <f>+VLOOKUP(A440,Hoja2!$A$2:$X$2596,15,FALSE)</f>
        <v>#N/A</v>
      </c>
      <c r="N440" s="9" t="str">
        <f>+VLOOKUP(A440,Hoja2!$A$2:$X$2596,17,FALSE)</f>
        <v>#N/A</v>
      </c>
      <c r="O440" s="9" t="str">
        <f>+VLOOKUP(A440,Hoja2!$A$2:$X$2596,22,FALSE)</f>
        <v>#N/A</v>
      </c>
      <c r="P440" s="9" t="str">
        <f>+VLOOKUP(A440,Hoja2!$A$2:$X$2596,23,FALSE)</f>
        <v>#N/A</v>
      </c>
      <c r="Q440" s="9" t="str">
        <f>+VLOOKUP(A440,Hoja2!$A$2:$X$2596,24,FALSE)</f>
        <v>#N/A</v>
      </c>
    </row>
    <row r="441" ht="15.75" hidden="1" customHeight="1">
      <c r="A441" s="8">
        <v>2457588.0</v>
      </c>
      <c r="B441" s="8">
        <v>2457588.0</v>
      </c>
      <c r="C441" s="9" t="s">
        <v>17</v>
      </c>
      <c r="D441" s="8">
        <v>2.0</v>
      </c>
      <c r="E441" s="8">
        <v>0.0</v>
      </c>
      <c r="F441" s="8">
        <v>0.0</v>
      </c>
      <c r="G441" s="9" t="s">
        <v>21</v>
      </c>
      <c r="H441" s="10">
        <v>44561.75467091435</v>
      </c>
      <c r="I441" s="10">
        <v>44571.73792523148</v>
      </c>
      <c r="J441" s="8">
        <v>10.0</v>
      </c>
      <c r="K441" s="11">
        <v>3.323690331E7</v>
      </c>
      <c r="L441" s="8" t="str">
        <f>+VLOOKUP(A441,Hoja2!$A$2:$X$2596,19,FALSE)</f>
        <v>#N/A</v>
      </c>
      <c r="M441" s="9" t="str">
        <f>+VLOOKUP(A441,Hoja2!$A$2:$X$2596,15,FALSE)</f>
        <v>#N/A</v>
      </c>
      <c r="N441" s="9" t="str">
        <f>+VLOOKUP(A441,Hoja2!$A$2:$X$2596,17,FALSE)</f>
        <v>#N/A</v>
      </c>
      <c r="O441" s="9" t="str">
        <f>+VLOOKUP(A441,Hoja2!$A$2:$X$2596,22,FALSE)</f>
        <v>#N/A</v>
      </c>
      <c r="P441" s="9" t="str">
        <f>+VLOOKUP(A441,Hoja2!$A$2:$X$2596,23,FALSE)</f>
        <v>#N/A</v>
      </c>
      <c r="Q441" s="9" t="str">
        <f>+VLOOKUP(A441,Hoja2!$A$2:$X$2596,24,FALSE)</f>
        <v>#N/A</v>
      </c>
    </row>
    <row r="442" ht="15.75" hidden="1" customHeight="1">
      <c r="A442" s="8">
        <v>2457925.0</v>
      </c>
      <c r="B442" s="8">
        <v>2457925.0</v>
      </c>
      <c r="C442" s="9" t="s">
        <v>17</v>
      </c>
      <c r="D442" s="8">
        <v>2.0</v>
      </c>
      <c r="E442" s="8">
        <v>0.0</v>
      </c>
      <c r="F442" s="8">
        <v>0.0</v>
      </c>
      <c r="G442" s="9" t="s">
        <v>21</v>
      </c>
      <c r="H442" s="10">
        <v>44749.4249880787</v>
      </c>
      <c r="I442" s="10">
        <v>44750.68433344908</v>
      </c>
      <c r="J442" s="8">
        <v>1.0</v>
      </c>
      <c r="K442" s="11">
        <v>7831630.36</v>
      </c>
      <c r="L442" s="8" t="str">
        <f>+VLOOKUP(A442,Hoja2!$A$2:$X$2596,19,FALSE)</f>
        <v>#N/A</v>
      </c>
      <c r="M442" s="9" t="str">
        <f>+VLOOKUP(A442,Hoja2!$A$2:$X$2596,15,FALSE)</f>
        <v>#N/A</v>
      </c>
      <c r="N442" s="9" t="str">
        <f>+VLOOKUP(A442,Hoja2!$A$2:$X$2596,17,FALSE)</f>
        <v>#N/A</v>
      </c>
      <c r="O442" s="9" t="str">
        <f>+VLOOKUP(A442,Hoja2!$A$2:$X$2596,22,FALSE)</f>
        <v>#N/A</v>
      </c>
      <c r="P442" s="9" t="str">
        <f>+VLOOKUP(A442,Hoja2!$A$2:$X$2596,23,FALSE)</f>
        <v>#N/A</v>
      </c>
      <c r="Q442" s="9" t="str">
        <f>+VLOOKUP(A442,Hoja2!$A$2:$X$2596,24,FALSE)</f>
        <v>#N/A</v>
      </c>
    </row>
    <row r="443" ht="15.75" hidden="1" customHeight="1">
      <c r="A443" s="8">
        <v>2457940.0</v>
      </c>
      <c r="B443" s="8">
        <v>2457940.0</v>
      </c>
      <c r="C443" s="9" t="s">
        <v>17</v>
      </c>
      <c r="D443" s="8">
        <v>2.0</v>
      </c>
      <c r="E443" s="8">
        <v>0.0</v>
      </c>
      <c r="F443" s="8">
        <v>0.0</v>
      </c>
      <c r="G443" s="9" t="s">
        <v>21</v>
      </c>
      <c r="H443" s="10">
        <v>44901.40423371528</v>
      </c>
      <c r="I443" s="10">
        <v>44917.49928148148</v>
      </c>
      <c r="J443" s="8">
        <v>16.0</v>
      </c>
      <c r="K443" s="11">
        <v>1.571409546E7</v>
      </c>
      <c r="L443" s="8" t="str">
        <f>+VLOOKUP(A443,Hoja2!$A$2:$X$2596,19,FALSE)</f>
        <v>#N/A</v>
      </c>
      <c r="M443" s="9" t="str">
        <f>+VLOOKUP(A443,Hoja2!$A$2:$X$2596,15,FALSE)</f>
        <v>#N/A</v>
      </c>
      <c r="N443" s="9" t="str">
        <f>+VLOOKUP(A443,Hoja2!$A$2:$X$2596,17,FALSE)</f>
        <v>#N/A</v>
      </c>
      <c r="O443" s="9" t="str">
        <f>+VLOOKUP(A443,Hoja2!$A$2:$X$2596,22,FALSE)</f>
        <v>#N/A</v>
      </c>
      <c r="P443" s="9" t="str">
        <f>+VLOOKUP(A443,Hoja2!$A$2:$X$2596,23,FALSE)</f>
        <v>#N/A</v>
      </c>
      <c r="Q443" s="9" t="str">
        <f>+VLOOKUP(A443,Hoja2!$A$2:$X$2596,24,FALSE)</f>
        <v>#N/A</v>
      </c>
    </row>
    <row r="444" ht="15.75" hidden="1" customHeight="1">
      <c r="A444" s="8">
        <v>2457940.0</v>
      </c>
      <c r="B444" s="8">
        <v>2457940.0</v>
      </c>
      <c r="C444" s="9" t="s">
        <v>19</v>
      </c>
      <c r="D444" s="8">
        <v>2.0</v>
      </c>
      <c r="E444" s="8">
        <v>1.0</v>
      </c>
      <c r="F444" s="8">
        <v>0.0</v>
      </c>
      <c r="G444" s="9" t="s">
        <v>18</v>
      </c>
      <c r="H444" s="10">
        <v>45152.61105555556</v>
      </c>
      <c r="I444" s="10">
        <v>45203.72354976852</v>
      </c>
      <c r="J444" s="8">
        <v>51.0</v>
      </c>
      <c r="K444" s="11">
        <v>1.571409546E7</v>
      </c>
      <c r="L444" s="8" t="str">
        <f>+VLOOKUP(A444,Hoja2!$A$2:$X$2596,19,FALSE)</f>
        <v>#N/A</v>
      </c>
      <c r="M444" s="9" t="str">
        <f>+VLOOKUP(A444,Hoja2!$A$2:$X$2596,15,FALSE)</f>
        <v>#N/A</v>
      </c>
      <c r="N444" s="9" t="str">
        <f>+VLOOKUP(A444,Hoja2!$A$2:$X$2596,17,FALSE)</f>
        <v>#N/A</v>
      </c>
      <c r="O444" s="9" t="str">
        <f>+VLOOKUP(A444,Hoja2!$A$2:$X$2596,22,FALSE)</f>
        <v>#N/A</v>
      </c>
      <c r="P444" s="9" t="str">
        <f>+VLOOKUP(A444,Hoja2!$A$2:$X$2596,23,FALSE)</f>
        <v>#N/A</v>
      </c>
      <c r="Q444" s="9" t="str">
        <f>+VLOOKUP(A444,Hoja2!$A$2:$X$2596,24,FALSE)</f>
        <v>#N/A</v>
      </c>
    </row>
    <row r="445" ht="15.75" hidden="1" customHeight="1">
      <c r="A445" s="8">
        <v>2457940.0</v>
      </c>
      <c r="B445" s="8">
        <v>2457940.0</v>
      </c>
      <c r="C445" s="9" t="s">
        <v>19</v>
      </c>
      <c r="D445" s="8">
        <v>2.0</v>
      </c>
      <c r="E445" s="8">
        <v>1.0</v>
      </c>
      <c r="F445" s="8">
        <v>0.0</v>
      </c>
      <c r="G445" s="9" t="s">
        <v>18</v>
      </c>
      <c r="H445" s="10">
        <v>45326.552124456015</v>
      </c>
      <c r="I445" s="10">
        <v>45365.720621099535</v>
      </c>
      <c r="J445" s="8">
        <v>39.0</v>
      </c>
      <c r="K445" s="11">
        <v>1.571409546E7</v>
      </c>
      <c r="L445" s="8" t="str">
        <f>+VLOOKUP(A445,Hoja2!$A$2:$X$2596,19,FALSE)</f>
        <v>#N/A</v>
      </c>
      <c r="M445" s="9" t="str">
        <f>+VLOOKUP(A445,Hoja2!$A$2:$X$2596,15,FALSE)</f>
        <v>#N/A</v>
      </c>
      <c r="N445" s="9" t="str">
        <f>+VLOOKUP(A445,Hoja2!$A$2:$X$2596,17,FALSE)</f>
        <v>#N/A</v>
      </c>
      <c r="O445" s="9" t="str">
        <f>+VLOOKUP(A445,Hoja2!$A$2:$X$2596,22,FALSE)</f>
        <v>#N/A</v>
      </c>
      <c r="P445" s="9" t="str">
        <f>+VLOOKUP(A445,Hoja2!$A$2:$X$2596,23,FALSE)</f>
        <v>#N/A</v>
      </c>
      <c r="Q445" s="9" t="str">
        <f>+VLOOKUP(A445,Hoja2!$A$2:$X$2596,24,FALSE)</f>
        <v>#N/A</v>
      </c>
    </row>
    <row r="446" ht="15.75" hidden="1" customHeight="1">
      <c r="A446" s="8">
        <v>2457940.0</v>
      </c>
      <c r="B446" s="8">
        <v>2457940.0</v>
      </c>
      <c r="C446" s="9" t="s">
        <v>17</v>
      </c>
      <c r="D446" s="8">
        <v>3.0</v>
      </c>
      <c r="E446" s="8">
        <v>0.0</v>
      </c>
      <c r="F446" s="8">
        <v>0.0</v>
      </c>
      <c r="G446" s="9" t="s">
        <v>21</v>
      </c>
      <c r="H446" s="10">
        <v>45477.68145613426</v>
      </c>
      <c r="I446" s="10">
        <v>45488.51185833333</v>
      </c>
      <c r="J446" s="8">
        <v>11.0</v>
      </c>
      <c r="K446" s="11">
        <v>1.571409546E7</v>
      </c>
      <c r="L446" s="8" t="str">
        <f>+VLOOKUP(A446,Hoja2!$A$2:$X$2596,19,FALSE)</f>
        <v>#N/A</v>
      </c>
      <c r="M446" s="9" t="str">
        <f>+VLOOKUP(A446,Hoja2!$A$2:$X$2596,15,FALSE)</f>
        <v>#N/A</v>
      </c>
      <c r="N446" s="9" t="str">
        <f>+VLOOKUP(A446,Hoja2!$A$2:$X$2596,17,FALSE)</f>
        <v>#N/A</v>
      </c>
      <c r="O446" s="9" t="str">
        <f>+VLOOKUP(A446,Hoja2!$A$2:$X$2596,22,FALSE)</f>
        <v>#N/A</v>
      </c>
      <c r="P446" s="9" t="str">
        <f>+VLOOKUP(A446,Hoja2!$A$2:$X$2596,23,FALSE)</f>
        <v>#N/A</v>
      </c>
      <c r="Q446" s="9" t="str">
        <f>+VLOOKUP(A446,Hoja2!$A$2:$X$2596,24,FALSE)</f>
        <v>#N/A</v>
      </c>
    </row>
    <row r="447" ht="15.75" hidden="1" customHeight="1">
      <c r="A447" s="8">
        <v>2459583.0</v>
      </c>
      <c r="B447" s="8">
        <v>2459583.0</v>
      </c>
      <c r="C447" s="9" t="s">
        <v>17</v>
      </c>
      <c r="D447" s="8">
        <v>2.0</v>
      </c>
      <c r="E447" s="8">
        <v>0.0</v>
      </c>
      <c r="F447" s="8">
        <v>0.0</v>
      </c>
      <c r="G447" s="9" t="s">
        <v>21</v>
      </c>
      <c r="H447" s="10">
        <v>44421.45711979167</v>
      </c>
      <c r="I447" s="10">
        <v>44428.76283684028</v>
      </c>
      <c r="J447" s="8">
        <v>7.0</v>
      </c>
      <c r="K447" s="11">
        <v>2.524252779E7</v>
      </c>
      <c r="L447" s="8" t="str">
        <f>+VLOOKUP(A447,Hoja2!$A$2:$X$2596,19,FALSE)</f>
        <v>#N/A</v>
      </c>
      <c r="M447" s="9" t="str">
        <f>+VLOOKUP(A447,Hoja2!$A$2:$X$2596,15,FALSE)</f>
        <v>#N/A</v>
      </c>
      <c r="N447" s="9" t="str">
        <f>+VLOOKUP(A447,Hoja2!$A$2:$X$2596,17,FALSE)</f>
        <v>#N/A</v>
      </c>
      <c r="O447" s="9" t="str">
        <f>+VLOOKUP(A447,Hoja2!$A$2:$X$2596,22,FALSE)</f>
        <v>#N/A</v>
      </c>
      <c r="P447" s="9" t="str">
        <f>+VLOOKUP(A447,Hoja2!$A$2:$X$2596,23,FALSE)</f>
        <v>#N/A</v>
      </c>
      <c r="Q447" s="9" t="str">
        <f>+VLOOKUP(A447,Hoja2!$A$2:$X$2596,24,FALSE)</f>
        <v>#N/A</v>
      </c>
    </row>
    <row r="448" ht="15.75" customHeight="1">
      <c r="A448" s="8">
        <v>2461348.0</v>
      </c>
      <c r="B448" s="8">
        <v>2461348.0</v>
      </c>
      <c r="C448" s="9" t="s">
        <v>20</v>
      </c>
      <c r="D448" s="8">
        <v>3.0</v>
      </c>
      <c r="E448" s="8">
        <v>4.0</v>
      </c>
      <c r="F448" s="8">
        <v>0.0</v>
      </c>
      <c r="G448" s="9" t="s">
        <v>18</v>
      </c>
      <c r="H448" s="10">
        <v>44993.01367615741</v>
      </c>
      <c r="I448" s="10">
        <v>45110.68504074074</v>
      </c>
      <c r="J448" s="8">
        <v>117.0</v>
      </c>
      <c r="K448" s="11">
        <v>1056684.68</v>
      </c>
      <c r="L448" s="8" t="str">
        <f>+VLOOKUP(A448,Hoja2!$A$2:$X$2596,19,FALSE)</f>
        <v>Concluido</v>
      </c>
      <c r="M448" s="9">
        <f>+VLOOKUP(A448,Hoja2!$A$2:$X$2596,15,FALSE)</f>
        <v>1434481.94</v>
      </c>
      <c r="N448" s="9">
        <f>+VLOOKUP(A448,Hoja2!$A$2:$X$2596,17,FALSE)</f>
        <v>80955.3</v>
      </c>
      <c r="O448" s="9">
        <f>+VLOOKUP(A448,Hoja2!$A$2:$X$2596,22,FALSE)</f>
        <v>1461927.94</v>
      </c>
      <c r="P448" s="9">
        <f>+VLOOKUP(A448,Hoja2!$A$2:$X$2596,23,FALSE)</f>
        <v>84635.92</v>
      </c>
      <c r="Q448" s="9">
        <f>+VLOOKUP(A448,Hoja2!$A$2:$X$2596,24,FALSE)</f>
        <v>0</v>
      </c>
    </row>
    <row r="449" ht="15.75" customHeight="1">
      <c r="A449" s="8">
        <v>2461724.0</v>
      </c>
      <c r="B449" s="8">
        <v>2461724.0</v>
      </c>
      <c r="C449" s="9" t="s">
        <v>20</v>
      </c>
      <c r="D449" s="8">
        <v>4.0</v>
      </c>
      <c r="E449" s="8">
        <v>2.0</v>
      </c>
      <c r="F449" s="8">
        <v>0.0</v>
      </c>
      <c r="G449" s="9" t="s">
        <v>18</v>
      </c>
      <c r="H449" s="10">
        <v>44593.44529452546</v>
      </c>
      <c r="I449" s="10">
        <v>44699.91576674768</v>
      </c>
      <c r="J449" s="8">
        <v>106.0</v>
      </c>
      <c r="K449" s="11">
        <v>2077483.13</v>
      </c>
      <c r="L449" s="8" t="str">
        <f>+VLOOKUP(A449,Hoja2!$A$2:$X$2596,19,FALSE)</f>
        <v>Concluido</v>
      </c>
      <c r="M449" s="9">
        <f>+VLOOKUP(A449,Hoja2!$A$2:$X$2596,15,FALSE)</f>
        <v>1585788.75</v>
      </c>
      <c r="N449" s="9">
        <f>+VLOOKUP(A449,Hoja2!$A$2:$X$2596,17,FALSE)</f>
        <v>112195</v>
      </c>
      <c r="O449" s="9">
        <f>+VLOOKUP(A449,Hoja2!$A$2:$X$2596,22,FALSE)</f>
        <v>1598946.14</v>
      </c>
      <c r="P449" s="9">
        <f>+VLOOKUP(A449,Hoja2!$A$2:$X$2596,23,FALSE)</f>
        <v>112195</v>
      </c>
      <c r="Q449" s="9">
        <f>+VLOOKUP(A449,Hoja2!$A$2:$X$2596,24,FALSE)</f>
        <v>0</v>
      </c>
    </row>
    <row r="450" ht="15.75" customHeight="1">
      <c r="A450" s="8">
        <v>2461979.0</v>
      </c>
      <c r="B450" s="8">
        <v>2461979.0</v>
      </c>
      <c r="C450" s="9" t="s">
        <v>20</v>
      </c>
      <c r="D450" s="8">
        <v>4.0</v>
      </c>
      <c r="E450" s="8">
        <v>2.0</v>
      </c>
      <c r="F450" s="8">
        <v>0.0</v>
      </c>
      <c r="G450" s="9" t="s">
        <v>18</v>
      </c>
      <c r="H450" s="10">
        <v>44463.99011369213</v>
      </c>
      <c r="I450" s="10">
        <v>44582.41633561342</v>
      </c>
      <c r="J450" s="8">
        <v>119.0</v>
      </c>
      <c r="K450" s="11">
        <v>2066786.49</v>
      </c>
      <c r="L450" s="8" t="str">
        <f>+VLOOKUP(A450,Hoja2!$A$2:$X$2596,19,FALSE)</f>
        <v>Concluido</v>
      </c>
      <c r="M450" s="9">
        <f>+VLOOKUP(A450,Hoja2!$A$2:$X$2596,15,FALSE)</f>
        <v>1787617.89</v>
      </c>
      <c r="N450" s="9">
        <f>+VLOOKUP(A450,Hoja2!$A$2:$X$2596,17,FALSE)</f>
        <v>149526</v>
      </c>
      <c r="O450" s="9" t="str">
        <f>+VLOOKUP(A450,Hoja2!$A$2:$X$2596,22,FALSE)</f>
        <v/>
      </c>
      <c r="P450" s="9" t="str">
        <f>+VLOOKUP(A450,Hoja2!$A$2:$X$2596,23,FALSE)</f>
        <v/>
      </c>
      <c r="Q450" s="9" t="str">
        <f>+VLOOKUP(A450,Hoja2!$A$2:$X$2596,24,FALSE)</f>
        <v/>
      </c>
    </row>
    <row r="451" ht="15.75" hidden="1" customHeight="1">
      <c r="A451" s="8">
        <v>2462084.0</v>
      </c>
      <c r="B451" s="8">
        <v>2462084.0</v>
      </c>
      <c r="C451" s="9" t="s">
        <v>17</v>
      </c>
      <c r="D451" s="8">
        <v>4.0</v>
      </c>
      <c r="E451" s="8">
        <v>0.0</v>
      </c>
      <c r="F451" s="8">
        <v>0.0</v>
      </c>
      <c r="G451" s="9" t="s">
        <v>21</v>
      </c>
      <c r="H451" s="10">
        <v>44717.958274502314</v>
      </c>
      <c r="I451" s="10">
        <v>44776.6087965625</v>
      </c>
      <c r="J451" s="8">
        <v>59.0</v>
      </c>
      <c r="K451" s="11">
        <v>2.53593569E7</v>
      </c>
      <c r="L451" s="8" t="str">
        <f>+VLOOKUP(A451,Hoja2!$A$2:$X$2596,19,FALSE)</f>
        <v>#N/A</v>
      </c>
      <c r="M451" s="9" t="str">
        <f>+VLOOKUP(A451,Hoja2!$A$2:$X$2596,15,FALSE)</f>
        <v>#N/A</v>
      </c>
      <c r="N451" s="9" t="str">
        <f>+VLOOKUP(A451,Hoja2!$A$2:$X$2596,17,FALSE)</f>
        <v>#N/A</v>
      </c>
      <c r="O451" s="9" t="str">
        <f>+VLOOKUP(A451,Hoja2!$A$2:$X$2596,22,FALSE)</f>
        <v>#N/A</v>
      </c>
      <c r="P451" s="9" t="str">
        <f>+VLOOKUP(A451,Hoja2!$A$2:$X$2596,23,FALSE)</f>
        <v>#N/A</v>
      </c>
      <c r="Q451" s="9" t="str">
        <f>+VLOOKUP(A451,Hoja2!$A$2:$X$2596,24,FALSE)</f>
        <v>#N/A</v>
      </c>
    </row>
    <row r="452" ht="15.75" hidden="1" customHeight="1">
      <c r="A452" s="8">
        <v>2462084.0</v>
      </c>
      <c r="B452" s="8">
        <v>2462084.0</v>
      </c>
      <c r="C452" s="9" t="s">
        <v>19</v>
      </c>
      <c r="D452" s="8">
        <v>5.0</v>
      </c>
      <c r="E452" s="8">
        <v>0.0</v>
      </c>
      <c r="F452" s="8">
        <v>0.0</v>
      </c>
      <c r="G452" s="9" t="s">
        <v>21</v>
      </c>
      <c r="H452" s="10">
        <v>45205.419107256945</v>
      </c>
      <c r="I452" s="10">
        <v>45282.66022612269</v>
      </c>
      <c r="J452" s="8">
        <v>77.0</v>
      </c>
      <c r="K452" s="11">
        <v>2.53593569E7</v>
      </c>
      <c r="L452" s="8" t="str">
        <f>+VLOOKUP(A452,Hoja2!$A$2:$X$2596,19,FALSE)</f>
        <v>#N/A</v>
      </c>
      <c r="M452" s="9" t="str">
        <f>+VLOOKUP(A452,Hoja2!$A$2:$X$2596,15,FALSE)</f>
        <v>#N/A</v>
      </c>
      <c r="N452" s="9" t="str">
        <f>+VLOOKUP(A452,Hoja2!$A$2:$X$2596,17,FALSE)</f>
        <v>#N/A</v>
      </c>
      <c r="O452" s="9" t="str">
        <f>+VLOOKUP(A452,Hoja2!$A$2:$X$2596,22,FALSE)</f>
        <v>#N/A</v>
      </c>
      <c r="P452" s="9" t="str">
        <f>+VLOOKUP(A452,Hoja2!$A$2:$X$2596,23,FALSE)</f>
        <v>#N/A</v>
      </c>
      <c r="Q452" s="9" t="str">
        <f>+VLOOKUP(A452,Hoja2!$A$2:$X$2596,24,FALSE)</f>
        <v>#N/A</v>
      </c>
    </row>
    <row r="453" ht="15.75" hidden="1" customHeight="1">
      <c r="A453" s="8">
        <v>2462084.0</v>
      </c>
      <c r="B453" s="8">
        <v>2462084.0</v>
      </c>
      <c r="C453" s="9" t="s">
        <v>17</v>
      </c>
      <c r="D453" s="8">
        <v>2.0</v>
      </c>
      <c r="E453" s="8">
        <v>0.0</v>
      </c>
      <c r="F453" s="8">
        <v>0.0</v>
      </c>
      <c r="G453" s="9" t="s">
        <v>21</v>
      </c>
      <c r="H453" s="10">
        <v>45539.451744791666</v>
      </c>
      <c r="I453" s="10">
        <v>45552.71661142361</v>
      </c>
      <c r="J453" s="8">
        <v>13.0</v>
      </c>
      <c r="K453" s="11">
        <v>2.53593569E7</v>
      </c>
      <c r="L453" s="8" t="str">
        <f>+VLOOKUP(A453,Hoja2!$A$2:$X$2596,19,FALSE)</f>
        <v>#N/A</v>
      </c>
      <c r="M453" s="9" t="str">
        <f>+VLOOKUP(A453,Hoja2!$A$2:$X$2596,15,FALSE)</f>
        <v>#N/A</v>
      </c>
      <c r="N453" s="9" t="str">
        <f>+VLOOKUP(A453,Hoja2!$A$2:$X$2596,17,FALSE)</f>
        <v>#N/A</v>
      </c>
      <c r="O453" s="9" t="str">
        <f>+VLOOKUP(A453,Hoja2!$A$2:$X$2596,22,FALSE)</f>
        <v>#N/A</v>
      </c>
      <c r="P453" s="9" t="str">
        <f>+VLOOKUP(A453,Hoja2!$A$2:$X$2596,23,FALSE)</f>
        <v>#N/A</v>
      </c>
      <c r="Q453" s="9" t="str">
        <f>+VLOOKUP(A453,Hoja2!$A$2:$X$2596,24,FALSE)</f>
        <v>#N/A</v>
      </c>
    </row>
    <row r="454" ht="15.75" hidden="1" customHeight="1">
      <c r="A454" s="8">
        <v>2463772.0</v>
      </c>
      <c r="B454" s="8">
        <v>2463772.0</v>
      </c>
      <c r="C454" s="9" t="s">
        <v>19</v>
      </c>
      <c r="D454" s="8">
        <v>3.0</v>
      </c>
      <c r="E454" s="8">
        <v>0.0</v>
      </c>
      <c r="F454" s="8">
        <v>0.0</v>
      </c>
      <c r="G454" s="9" t="s">
        <v>21</v>
      </c>
      <c r="H454" s="10">
        <v>44291.61402596065</v>
      </c>
      <c r="I454" s="10">
        <v>44307.42901315972</v>
      </c>
      <c r="J454" s="8">
        <v>16.0</v>
      </c>
      <c r="K454" s="11">
        <v>1.29279935E7</v>
      </c>
      <c r="L454" s="8" t="str">
        <f>+VLOOKUP(A454,Hoja2!$A$2:$X$2596,19,FALSE)</f>
        <v>#N/A</v>
      </c>
      <c r="M454" s="9" t="str">
        <f>+VLOOKUP(A454,Hoja2!$A$2:$X$2596,15,FALSE)</f>
        <v>#N/A</v>
      </c>
      <c r="N454" s="9" t="str">
        <f>+VLOOKUP(A454,Hoja2!$A$2:$X$2596,17,FALSE)</f>
        <v>#N/A</v>
      </c>
      <c r="O454" s="9" t="str">
        <f>+VLOOKUP(A454,Hoja2!$A$2:$X$2596,22,FALSE)</f>
        <v>#N/A</v>
      </c>
      <c r="P454" s="9" t="str">
        <f>+VLOOKUP(A454,Hoja2!$A$2:$X$2596,23,FALSE)</f>
        <v>#N/A</v>
      </c>
      <c r="Q454" s="9" t="str">
        <f>+VLOOKUP(A454,Hoja2!$A$2:$X$2596,24,FALSE)</f>
        <v>#N/A</v>
      </c>
    </row>
    <row r="455" ht="15.75" hidden="1" customHeight="1">
      <c r="A455" s="8">
        <v>2463772.0</v>
      </c>
      <c r="B455" s="8">
        <v>2463772.0</v>
      </c>
      <c r="C455" s="9" t="s">
        <v>17</v>
      </c>
      <c r="D455" s="8">
        <v>2.0</v>
      </c>
      <c r="E455" s="8">
        <v>1.0</v>
      </c>
      <c r="F455" s="8">
        <v>0.0</v>
      </c>
      <c r="G455" s="9" t="s">
        <v>18</v>
      </c>
      <c r="H455" s="10">
        <v>44473.30933510417</v>
      </c>
      <c r="I455" s="10">
        <v>44532.51878741898</v>
      </c>
      <c r="J455" s="8">
        <v>59.0</v>
      </c>
      <c r="K455" s="11">
        <v>1.29279935E7</v>
      </c>
      <c r="L455" s="8" t="str">
        <f>+VLOOKUP(A455,Hoja2!$A$2:$X$2596,19,FALSE)</f>
        <v>#N/A</v>
      </c>
      <c r="M455" s="9" t="str">
        <f>+VLOOKUP(A455,Hoja2!$A$2:$X$2596,15,FALSE)</f>
        <v>#N/A</v>
      </c>
      <c r="N455" s="9" t="str">
        <f>+VLOOKUP(A455,Hoja2!$A$2:$X$2596,17,FALSE)</f>
        <v>#N/A</v>
      </c>
      <c r="O455" s="9" t="str">
        <f>+VLOOKUP(A455,Hoja2!$A$2:$X$2596,22,FALSE)</f>
        <v>#N/A</v>
      </c>
      <c r="P455" s="9" t="str">
        <f>+VLOOKUP(A455,Hoja2!$A$2:$X$2596,23,FALSE)</f>
        <v>#N/A</v>
      </c>
      <c r="Q455" s="9" t="str">
        <f>+VLOOKUP(A455,Hoja2!$A$2:$X$2596,24,FALSE)</f>
        <v>#N/A</v>
      </c>
    </row>
    <row r="456" ht="15.75" hidden="1" customHeight="1">
      <c r="A456" s="8">
        <v>2463772.0</v>
      </c>
      <c r="B456" s="8">
        <v>2463772.0</v>
      </c>
      <c r="C456" s="9" t="s">
        <v>17</v>
      </c>
      <c r="D456" s="8">
        <v>1.0</v>
      </c>
      <c r="E456" s="8">
        <v>1.0</v>
      </c>
      <c r="F456" s="8">
        <v>0.0</v>
      </c>
      <c r="G456" s="9" t="s">
        <v>18</v>
      </c>
      <c r="H456" s="10">
        <v>44621.35253055555</v>
      </c>
      <c r="I456" s="10">
        <v>44642.732237118056</v>
      </c>
      <c r="J456" s="8">
        <v>21.0</v>
      </c>
      <c r="K456" s="11">
        <v>1.29279935E7</v>
      </c>
      <c r="L456" s="8" t="str">
        <f>+VLOOKUP(A456,Hoja2!$A$2:$X$2596,19,FALSE)</f>
        <v>#N/A</v>
      </c>
      <c r="M456" s="9" t="str">
        <f>+VLOOKUP(A456,Hoja2!$A$2:$X$2596,15,FALSE)</f>
        <v>#N/A</v>
      </c>
      <c r="N456" s="9" t="str">
        <f>+VLOOKUP(A456,Hoja2!$A$2:$X$2596,17,FALSE)</f>
        <v>#N/A</v>
      </c>
      <c r="O456" s="9" t="str">
        <f>+VLOOKUP(A456,Hoja2!$A$2:$X$2596,22,FALSE)</f>
        <v>#N/A</v>
      </c>
      <c r="P456" s="9" t="str">
        <f>+VLOOKUP(A456,Hoja2!$A$2:$X$2596,23,FALSE)</f>
        <v>#N/A</v>
      </c>
      <c r="Q456" s="9" t="str">
        <f>+VLOOKUP(A456,Hoja2!$A$2:$X$2596,24,FALSE)</f>
        <v>#N/A</v>
      </c>
    </row>
    <row r="457" ht="15.75" hidden="1" customHeight="1">
      <c r="A457" s="8">
        <v>2463772.0</v>
      </c>
      <c r="B457" s="8">
        <v>2463772.0</v>
      </c>
      <c r="C457" s="9" t="s">
        <v>19</v>
      </c>
      <c r="D457" s="8">
        <v>1.0</v>
      </c>
      <c r="E457" s="8">
        <v>2.0</v>
      </c>
      <c r="F457" s="8">
        <v>0.0</v>
      </c>
      <c r="G457" s="9" t="s">
        <v>18</v>
      </c>
      <c r="H457" s="10">
        <v>44755.42877068287</v>
      </c>
      <c r="I457" s="10">
        <v>44874.96708105324</v>
      </c>
      <c r="J457" s="8">
        <v>119.0</v>
      </c>
      <c r="K457" s="11">
        <v>1.29279935E7</v>
      </c>
      <c r="L457" s="8" t="str">
        <f>+VLOOKUP(A457,Hoja2!$A$2:$X$2596,19,FALSE)</f>
        <v>#N/A</v>
      </c>
      <c r="M457" s="9" t="str">
        <f>+VLOOKUP(A457,Hoja2!$A$2:$X$2596,15,FALSE)</f>
        <v>#N/A</v>
      </c>
      <c r="N457" s="9" t="str">
        <f>+VLOOKUP(A457,Hoja2!$A$2:$X$2596,17,FALSE)</f>
        <v>#N/A</v>
      </c>
      <c r="O457" s="9" t="str">
        <f>+VLOOKUP(A457,Hoja2!$A$2:$X$2596,22,FALSE)</f>
        <v>#N/A</v>
      </c>
      <c r="P457" s="9" t="str">
        <f>+VLOOKUP(A457,Hoja2!$A$2:$X$2596,23,FALSE)</f>
        <v>#N/A</v>
      </c>
      <c r="Q457" s="9" t="str">
        <f>+VLOOKUP(A457,Hoja2!$A$2:$X$2596,24,FALSE)</f>
        <v>#N/A</v>
      </c>
    </row>
    <row r="458" ht="15.75" hidden="1" customHeight="1">
      <c r="A458" s="8">
        <v>2463772.0</v>
      </c>
      <c r="B458" s="8">
        <v>2463772.0</v>
      </c>
      <c r="C458" s="9" t="s">
        <v>17</v>
      </c>
      <c r="D458" s="8">
        <v>2.0</v>
      </c>
      <c r="E458" s="8">
        <v>0.0</v>
      </c>
      <c r="F458" s="8">
        <v>0.0</v>
      </c>
      <c r="G458" s="9" t="s">
        <v>21</v>
      </c>
      <c r="H458" s="10">
        <v>44888.51275876157</v>
      </c>
      <c r="I458" s="10">
        <v>44890.35145015046</v>
      </c>
      <c r="J458" s="8">
        <v>2.0</v>
      </c>
      <c r="K458" s="11">
        <v>1.29279935E7</v>
      </c>
      <c r="L458" s="8" t="str">
        <f>+VLOOKUP(A458,Hoja2!$A$2:$X$2596,19,FALSE)</f>
        <v>#N/A</v>
      </c>
      <c r="M458" s="9" t="str">
        <f>+VLOOKUP(A458,Hoja2!$A$2:$X$2596,15,FALSE)</f>
        <v>#N/A</v>
      </c>
      <c r="N458" s="9" t="str">
        <f>+VLOOKUP(A458,Hoja2!$A$2:$X$2596,17,FALSE)</f>
        <v>#N/A</v>
      </c>
      <c r="O458" s="9" t="str">
        <f>+VLOOKUP(A458,Hoja2!$A$2:$X$2596,22,FALSE)</f>
        <v>#N/A</v>
      </c>
      <c r="P458" s="9" t="str">
        <f>+VLOOKUP(A458,Hoja2!$A$2:$X$2596,23,FALSE)</f>
        <v>#N/A</v>
      </c>
      <c r="Q458" s="9" t="str">
        <f>+VLOOKUP(A458,Hoja2!$A$2:$X$2596,24,FALSE)</f>
        <v>#N/A</v>
      </c>
    </row>
    <row r="459" ht="15.75" hidden="1" customHeight="1">
      <c r="A459" s="8">
        <v>2463772.0</v>
      </c>
      <c r="B459" s="8">
        <v>2463772.0</v>
      </c>
      <c r="C459" s="9" t="s">
        <v>19</v>
      </c>
      <c r="D459" s="8">
        <v>1.0</v>
      </c>
      <c r="E459" s="8">
        <v>1.0</v>
      </c>
      <c r="F459" s="8">
        <v>0.0</v>
      </c>
      <c r="G459" s="9" t="s">
        <v>18</v>
      </c>
      <c r="H459" s="10">
        <v>44995.97564826389</v>
      </c>
      <c r="I459" s="10">
        <v>45020.68466547454</v>
      </c>
      <c r="J459" s="8">
        <v>25.0</v>
      </c>
      <c r="K459" s="11">
        <v>1.29279935E7</v>
      </c>
      <c r="L459" s="8" t="str">
        <f>+VLOOKUP(A459,Hoja2!$A$2:$X$2596,19,FALSE)</f>
        <v>#N/A</v>
      </c>
      <c r="M459" s="9" t="str">
        <f>+VLOOKUP(A459,Hoja2!$A$2:$X$2596,15,FALSE)</f>
        <v>#N/A</v>
      </c>
      <c r="N459" s="9" t="str">
        <f>+VLOOKUP(A459,Hoja2!$A$2:$X$2596,17,FALSE)</f>
        <v>#N/A</v>
      </c>
      <c r="O459" s="9" t="str">
        <f>+VLOOKUP(A459,Hoja2!$A$2:$X$2596,22,FALSE)</f>
        <v>#N/A</v>
      </c>
      <c r="P459" s="9" t="str">
        <f>+VLOOKUP(A459,Hoja2!$A$2:$X$2596,23,FALSE)</f>
        <v>#N/A</v>
      </c>
      <c r="Q459" s="9" t="str">
        <f>+VLOOKUP(A459,Hoja2!$A$2:$X$2596,24,FALSE)</f>
        <v>#N/A</v>
      </c>
    </row>
    <row r="460" ht="15.75" hidden="1" customHeight="1">
      <c r="A460" s="8">
        <v>2463772.0</v>
      </c>
      <c r="B460" s="8">
        <v>2463772.0</v>
      </c>
      <c r="C460" s="9" t="s">
        <v>19</v>
      </c>
      <c r="D460" s="8">
        <v>1.0</v>
      </c>
      <c r="E460" s="8">
        <v>1.0</v>
      </c>
      <c r="F460" s="8">
        <v>0.0</v>
      </c>
      <c r="G460" s="9" t="s">
        <v>18</v>
      </c>
      <c r="H460" s="10">
        <v>45175.20707052083</v>
      </c>
      <c r="I460" s="10">
        <v>45218.41808607639</v>
      </c>
      <c r="J460" s="8">
        <v>43.0</v>
      </c>
      <c r="K460" s="11">
        <v>1.29279935E7</v>
      </c>
      <c r="L460" s="8" t="str">
        <f>+VLOOKUP(A460,Hoja2!$A$2:$X$2596,19,FALSE)</f>
        <v>#N/A</v>
      </c>
      <c r="M460" s="9" t="str">
        <f>+VLOOKUP(A460,Hoja2!$A$2:$X$2596,15,FALSE)</f>
        <v>#N/A</v>
      </c>
      <c r="N460" s="9" t="str">
        <f>+VLOOKUP(A460,Hoja2!$A$2:$X$2596,17,FALSE)</f>
        <v>#N/A</v>
      </c>
      <c r="O460" s="9" t="str">
        <f>+VLOOKUP(A460,Hoja2!$A$2:$X$2596,22,FALSE)</f>
        <v>#N/A</v>
      </c>
      <c r="P460" s="9" t="str">
        <f>+VLOOKUP(A460,Hoja2!$A$2:$X$2596,23,FALSE)</f>
        <v>#N/A</v>
      </c>
      <c r="Q460" s="9" t="str">
        <f>+VLOOKUP(A460,Hoja2!$A$2:$X$2596,24,FALSE)</f>
        <v>#N/A</v>
      </c>
    </row>
    <row r="461" ht="15.75" hidden="1" customHeight="1">
      <c r="A461" s="8">
        <v>2463772.0</v>
      </c>
      <c r="B461" s="8">
        <v>2463772.0</v>
      </c>
      <c r="C461" s="9" t="s">
        <v>19</v>
      </c>
      <c r="D461" s="8">
        <v>1.0</v>
      </c>
      <c r="E461" s="8">
        <v>3.0</v>
      </c>
      <c r="F461" s="8">
        <v>0.0</v>
      </c>
      <c r="G461" s="9" t="s">
        <v>18</v>
      </c>
      <c r="H461" s="10">
        <v>45314.56459366898</v>
      </c>
      <c r="I461" s="10">
        <v>45443.387826238424</v>
      </c>
      <c r="J461" s="8">
        <v>129.0</v>
      </c>
      <c r="K461" s="11">
        <v>1.29279935E7</v>
      </c>
      <c r="L461" s="8" t="str">
        <f>+VLOOKUP(A461,Hoja2!$A$2:$X$2596,19,FALSE)</f>
        <v>#N/A</v>
      </c>
      <c r="M461" s="9" t="str">
        <f>+VLOOKUP(A461,Hoja2!$A$2:$X$2596,15,FALSE)</f>
        <v>#N/A</v>
      </c>
      <c r="N461" s="9" t="str">
        <f>+VLOOKUP(A461,Hoja2!$A$2:$X$2596,17,FALSE)</f>
        <v>#N/A</v>
      </c>
      <c r="O461" s="9" t="str">
        <f>+VLOOKUP(A461,Hoja2!$A$2:$X$2596,22,FALSE)</f>
        <v>#N/A</v>
      </c>
      <c r="P461" s="9" t="str">
        <f>+VLOOKUP(A461,Hoja2!$A$2:$X$2596,23,FALSE)</f>
        <v>#N/A</v>
      </c>
      <c r="Q461" s="9" t="str">
        <f>+VLOOKUP(A461,Hoja2!$A$2:$X$2596,24,FALSE)</f>
        <v>#N/A</v>
      </c>
    </row>
    <row r="462" ht="15.75" hidden="1" customHeight="1">
      <c r="A462" s="8">
        <v>2463772.0</v>
      </c>
      <c r="B462" s="8">
        <v>2463772.0</v>
      </c>
      <c r="C462" s="9" t="s">
        <v>19</v>
      </c>
      <c r="D462" s="8">
        <v>1.0</v>
      </c>
      <c r="E462" s="8">
        <v>1.0</v>
      </c>
      <c r="F462" s="8">
        <v>0.0</v>
      </c>
      <c r="G462" s="9" t="s">
        <v>18</v>
      </c>
      <c r="H462" s="10">
        <v>45470.429585844904</v>
      </c>
      <c r="I462" s="10">
        <v>45524.729077511576</v>
      </c>
      <c r="J462" s="8">
        <v>54.0</v>
      </c>
      <c r="K462" s="11">
        <v>1.29279935E7</v>
      </c>
      <c r="L462" s="8" t="str">
        <f>+VLOOKUP(A462,Hoja2!$A$2:$X$2596,19,FALSE)</f>
        <v>#N/A</v>
      </c>
      <c r="M462" s="9" t="str">
        <f>+VLOOKUP(A462,Hoja2!$A$2:$X$2596,15,FALSE)</f>
        <v>#N/A</v>
      </c>
      <c r="N462" s="9" t="str">
        <f>+VLOOKUP(A462,Hoja2!$A$2:$X$2596,17,FALSE)</f>
        <v>#N/A</v>
      </c>
      <c r="O462" s="9" t="str">
        <f>+VLOOKUP(A462,Hoja2!$A$2:$X$2596,22,FALSE)</f>
        <v>#N/A</v>
      </c>
      <c r="P462" s="9" t="str">
        <f>+VLOOKUP(A462,Hoja2!$A$2:$X$2596,23,FALSE)</f>
        <v>#N/A</v>
      </c>
      <c r="Q462" s="9" t="str">
        <f>+VLOOKUP(A462,Hoja2!$A$2:$X$2596,24,FALSE)</f>
        <v>#N/A</v>
      </c>
    </row>
    <row r="463" ht="15.75" hidden="1" customHeight="1">
      <c r="A463" s="8">
        <v>2463772.0</v>
      </c>
      <c r="B463" s="8">
        <v>2463772.0</v>
      </c>
      <c r="C463" s="9" t="s">
        <v>19</v>
      </c>
      <c r="D463" s="8">
        <v>2.0</v>
      </c>
      <c r="E463" s="8">
        <v>0.0</v>
      </c>
      <c r="F463" s="8">
        <v>0.0</v>
      </c>
      <c r="G463" s="9" t="s">
        <v>21</v>
      </c>
      <c r="H463" s="10">
        <v>45622.366265972225</v>
      </c>
      <c r="I463" s="10">
        <v>45639.61457225694</v>
      </c>
      <c r="J463" s="8">
        <v>17.0</v>
      </c>
      <c r="K463" s="11">
        <v>1.29279935E7</v>
      </c>
      <c r="L463" s="8" t="str">
        <f>+VLOOKUP(A463,Hoja2!$A$2:$X$2596,19,FALSE)</f>
        <v>#N/A</v>
      </c>
      <c r="M463" s="9" t="str">
        <f>+VLOOKUP(A463,Hoja2!$A$2:$X$2596,15,FALSE)</f>
        <v>#N/A</v>
      </c>
      <c r="N463" s="9" t="str">
        <f>+VLOOKUP(A463,Hoja2!$A$2:$X$2596,17,FALSE)</f>
        <v>#N/A</v>
      </c>
      <c r="O463" s="9" t="str">
        <f>+VLOOKUP(A463,Hoja2!$A$2:$X$2596,22,FALSE)</f>
        <v>#N/A</v>
      </c>
      <c r="P463" s="9" t="str">
        <f>+VLOOKUP(A463,Hoja2!$A$2:$X$2596,23,FALSE)</f>
        <v>#N/A</v>
      </c>
      <c r="Q463" s="9" t="str">
        <f>+VLOOKUP(A463,Hoja2!$A$2:$X$2596,24,FALSE)</f>
        <v>#N/A</v>
      </c>
    </row>
    <row r="464" ht="15.75" hidden="1" customHeight="1">
      <c r="A464" s="8">
        <v>2463772.0</v>
      </c>
      <c r="B464" s="8">
        <v>2463772.0</v>
      </c>
      <c r="C464" s="9" t="s">
        <v>19</v>
      </c>
      <c r="D464" s="8">
        <v>1.0</v>
      </c>
      <c r="E464" s="8">
        <v>4.0</v>
      </c>
      <c r="F464" s="8">
        <v>0.0</v>
      </c>
      <c r="G464" s="9" t="s">
        <v>18</v>
      </c>
      <c r="H464" s="10">
        <v>45729.399817627316</v>
      </c>
      <c r="I464" s="10">
        <v>45933.668679780094</v>
      </c>
      <c r="J464" s="8">
        <v>204.0</v>
      </c>
      <c r="K464" s="11">
        <v>1.29279935E7</v>
      </c>
      <c r="L464" s="8" t="str">
        <f>+VLOOKUP(A464,Hoja2!$A$2:$X$2596,19,FALSE)</f>
        <v>#N/A</v>
      </c>
      <c r="M464" s="9" t="str">
        <f>+VLOOKUP(A464,Hoja2!$A$2:$X$2596,15,FALSE)</f>
        <v>#N/A</v>
      </c>
      <c r="N464" s="9" t="str">
        <f>+VLOOKUP(A464,Hoja2!$A$2:$X$2596,17,FALSE)</f>
        <v>#N/A</v>
      </c>
      <c r="O464" s="9" t="str">
        <f>+VLOOKUP(A464,Hoja2!$A$2:$X$2596,22,FALSE)</f>
        <v>#N/A</v>
      </c>
      <c r="P464" s="9" t="str">
        <f>+VLOOKUP(A464,Hoja2!$A$2:$X$2596,23,FALSE)</f>
        <v>#N/A</v>
      </c>
      <c r="Q464" s="9" t="str">
        <f>+VLOOKUP(A464,Hoja2!$A$2:$X$2596,24,FALSE)</f>
        <v>#N/A</v>
      </c>
    </row>
    <row r="465" ht="15.75" hidden="1" customHeight="1">
      <c r="A465" s="8">
        <v>2463772.0</v>
      </c>
      <c r="B465" s="8">
        <v>2463772.0</v>
      </c>
      <c r="C465" s="9" t="s">
        <v>27</v>
      </c>
      <c r="D465" s="8">
        <v>1.0</v>
      </c>
      <c r="E465" s="8">
        <v>0.0</v>
      </c>
      <c r="F465" s="8">
        <v>0.0</v>
      </c>
      <c r="G465" s="9" t="s">
        <v>21</v>
      </c>
      <c r="H465" s="10">
        <v>45936.43273869213</v>
      </c>
      <c r="I465" s="10">
        <v>45936.43273869213</v>
      </c>
      <c r="J465" s="8">
        <v>0.0</v>
      </c>
      <c r="K465" s="11">
        <v>1.29279935E7</v>
      </c>
      <c r="L465" s="8" t="str">
        <f>+VLOOKUP(A465,Hoja2!$A$2:$X$2596,19,FALSE)</f>
        <v>#N/A</v>
      </c>
      <c r="M465" s="9" t="str">
        <f>+VLOOKUP(A465,Hoja2!$A$2:$X$2596,15,FALSE)</f>
        <v>#N/A</v>
      </c>
      <c r="N465" s="9" t="str">
        <f>+VLOOKUP(A465,Hoja2!$A$2:$X$2596,17,FALSE)</f>
        <v>#N/A</v>
      </c>
      <c r="O465" s="9" t="str">
        <f>+VLOOKUP(A465,Hoja2!$A$2:$X$2596,22,FALSE)</f>
        <v>#N/A</v>
      </c>
      <c r="P465" s="9" t="str">
        <f>+VLOOKUP(A465,Hoja2!$A$2:$X$2596,23,FALSE)</f>
        <v>#N/A</v>
      </c>
      <c r="Q465" s="9" t="str">
        <f>+VLOOKUP(A465,Hoja2!$A$2:$X$2596,24,FALSE)</f>
        <v>#N/A</v>
      </c>
    </row>
    <row r="466" ht="15.75" hidden="1" customHeight="1">
      <c r="A466" s="8">
        <v>2464155.0</v>
      </c>
      <c r="B466" s="8">
        <v>2464155.0</v>
      </c>
      <c r="C466" s="9" t="s">
        <v>19</v>
      </c>
      <c r="D466" s="8">
        <v>3.0</v>
      </c>
      <c r="E466" s="8">
        <v>0.0</v>
      </c>
      <c r="F466" s="8">
        <v>0.0</v>
      </c>
      <c r="G466" s="9" t="s">
        <v>21</v>
      </c>
      <c r="H466" s="10">
        <v>45688.32218611111</v>
      </c>
      <c r="I466" s="10">
        <v>45776.62950269676</v>
      </c>
      <c r="J466" s="8">
        <v>88.0</v>
      </c>
      <c r="K466" s="11">
        <v>9.996182801E7</v>
      </c>
      <c r="L466" s="8" t="str">
        <f>+VLOOKUP(A466,Hoja2!$A$2:$X$2596,19,FALSE)</f>
        <v>#N/A</v>
      </c>
      <c r="M466" s="9" t="str">
        <f>+VLOOKUP(A466,Hoja2!$A$2:$X$2596,15,FALSE)</f>
        <v>#N/A</v>
      </c>
      <c r="N466" s="9" t="str">
        <f>+VLOOKUP(A466,Hoja2!$A$2:$X$2596,17,FALSE)</f>
        <v>#N/A</v>
      </c>
      <c r="O466" s="9" t="str">
        <f>+VLOOKUP(A466,Hoja2!$A$2:$X$2596,22,FALSE)</f>
        <v>#N/A</v>
      </c>
      <c r="P466" s="9" t="str">
        <f>+VLOOKUP(A466,Hoja2!$A$2:$X$2596,23,FALSE)</f>
        <v>#N/A</v>
      </c>
      <c r="Q466" s="9" t="str">
        <f>+VLOOKUP(A466,Hoja2!$A$2:$X$2596,24,FALSE)</f>
        <v>#N/A</v>
      </c>
    </row>
    <row r="467" ht="15.75" hidden="1" customHeight="1">
      <c r="A467" s="8">
        <v>2464997.0</v>
      </c>
      <c r="B467" s="8">
        <v>2464997.0</v>
      </c>
      <c r="C467" s="9" t="s">
        <v>17</v>
      </c>
      <c r="D467" s="8">
        <v>2.0</v>
      </c>
      <c r="E467" s="8">
        <v>0.0</v>
      </c>
      <c r="F467" s="8">
        <v>0.0</v>
      </c>
      <c r="G467" s="9" t="s">
        <v>21</v>
      </c>
      <c r="H467" s="10">
        <v>44603.65681331018</v>
      </c>
      <c r="I467" s="10">
        <v>44610.336920752314</v>
      </c>
      <c r="J467" s="8">
        <v>7.0</v>
      </c>
      <c r="K467" s="11">
        <v>703837.93</v>
      </c>
      <c r="L467" s="8" t="str">
        <f>+VLOOKUP(A467,Hoja2!$A$2:$X$2596,19,FALSE)</f>
        <v>#N/A</v>
      </c>
      <c r="M467" s="9" t="str">
        <f>+VLOOKUP(A467,Hoja2!$A$2:$X$2596,15,FALSE)</f>
        <v>#N/A</v>
      </c>
      <c r="N467" s="9" t="str">
        <f>+VLOOKUP(A467,Hoja2!$A$2:$X$2596,17,FALSE)</f>
        <v>#N/A</v>
      </c>
      <c r="O467" s="9" t="str">
        <f>+VLOOKUP(A467,Hoja2!$A$2:$X$2596,22,FALSE)</f>
        <v>#N/A</v>
      </c>
      <c r="P467" s="9" t="str">
        <f>+VLOOKUP(A467,Hoja2!$A$2:$X$2596,23,FALSE)</f>
        <v>#N/A</v>
      </c>
      <c r="Q467" s="9" t="str">
        <f>+VLOOKUP(A467,Hoja2!$A$2:$X$2596,24,FALSE)</f>
        <v>#N/A</v>
      </c>
    </row>
    <row r="468" ht="15.75" hidden="1" customHeight="1">
      <c r="A468" s="8">
        <v>2464997.0</v>
      </c>
      <c r="B468" s="8">
        <v>2464997.0</v>
      </c>
      <c r="C468" s="9" t="s">
        <v>17</v>
      </c>
      <c r="D468" s="8">
        <v>3.0</v>
      </c>
      <c r="E468" s="8">
        <v>0.0</v>
      </c>
      <c r="F468" s="8">
        <v>0.0</v>
      </c>
      <c r="G468" s="9" t="s">
        <v>21</v>
      </c>
      <c r="H468" s="10">
        <v>44680.429574884256</v>
      </c>
      <c r="I468" s="10">
        <v>44726.595763275465</v>
      </c>
      <c r="J468" s="8">
        <v>46.0</v>
      </c>
      <c r="K468" s="11">
        <v>703837.93</v>
      </c>
      <c r="L468" s="8" t="str">
        <f>+VLOOKUP(A468,Hoja2!$A$2:$X$2596,19,FALSE)</f>
        <v>#N/A</v>
      </c>
      <c r="M468" s="9" t="str">
        <f>+VLOOKUP(A468,Hoja2!$A$2:$X$2596,15,FALSE)</f>
        <v>#N/A</v>
      </c>
      <c r="N468" s="9" t="str">
        <f>+VLOOKUP(A468,Hoja2!$A$2:$X$2596,17,FALSE)</f>
        <v>#N/A</v>
      </c>
      <c r="O468" s="9" t="str">
        <f>+VLOOKUP(A468,Hoja2!$A$2:$X$2596,22,FALSE)</f>
        <v>#N/A</v>
      </c>
      <c r="P468" s="9" t="str">
        <f>+VLOOKUP(A468,Hoja2!$A$2:$X$2596,23,FALSE)</f>
        <v>#N/A</v>
      </c>
      <c r="Q468" s="9" t="str">
        <f>+VLOOKUP(A468,Hoja2!$A$2:$X$2596,24,FALSE)</f>
        <v>#N/A</v>
      </c>
    </row>
    <row r="469" ht="15.75" hidden="1" customHeight="1">
      <c r="A469" s="8">
        <v>2464997.0</v>
      </c>
      <c r="B469" s="8">
        <v>2464997.0</v>
      </c>
      <c r="C469" s="9" t="s">
        <v>17</v>
      </c>
      <c r="D469" s="8">
        <v>2.0</v>
      </c>
      <c r="E469" s="8">
        <v>0.0</v>
      </c>
      <c r="F469" s="8">
        <v>0.0</v>
      </c>
      <c r="G469" s="9" t="s">
        <v>21</v>
      </c>
      <c r="H469" s="10">
        <v>45352.53980636574</v>
      </c>
      <c r="I469" s="10">
        <v>45358.36054502315</v>
      </c>
      <c r="J469" s="8">
        <v>6.0</v>
      </c>
      <c r="K469" s="11">
        <v>703837.93</v>
      </c>
      <c r="L469" s="8" t="str">
        <f>+VLOOKUP(A469,Hoja2!$A$2:$X$2596,19,FALSE)</f>
        <v>#N/A</v>
      </c>
      <c r="M469" s="9" t="str">
        <f>+VLOOKUP(A469,Hoja2!$A$2:$X$2596,15,FALSE)</f>
        <v>#N/A</v>
      </c>
      <c r="N469" s="9" t="str">
        <f>+VLOOKUP(A469,Hoja2!$A$2:$X$2596,17,FALSE)</f>
        <v>#N/A</v>
      </c>
      <c r="O469" s="9" t="str">
        <f>+VLOOKUP(A469,Hoja2!$A$2:$X$2596,22,FALSE)</f>
        <v>#N/A</v>
      </c>
      <c r="P469" s="9" t="str">
        <f>+VLOOKUP(A469,Hoja2!$A$2:$X$2596,23,FALSE)</f>
        <v>#N/A</v>
      </c>
      <c r="Q469" s="9" t="str">
        <f>+VLOOKUP(A469,Hoja2!$A$2:$X$2596,24,FALSE)</f>
        <v>#N/A</v>
      </c>
    </row>
    <row r="470" ht="15.75" customHeight="1">
      <c r="A470" s="8">
        <v>2465313.0</v>
      </c>
      <c r="B470" s="8">
        <v>2465313.0</v>
      </c>
      <c r="C470" s="9" t="s">
        <v>20</v>
      </c>
      <c r="D470" s="8">
        <v>3.0</v>
      </c>
      <c r="E470" s="8">
        <v>1.0</v>
      </c>
      <c r="F470" s="8">
        <v>0.0</v>
      </c>
      <c r="G470" s="9" t="s">
        <v>18</v>
      </c>
      <c r="H470" s="10">
        <v>44636.79177387732</v>
      </c>
      <c r="I470" s="10">
        <v>44663.328258368056</v>
      </c>
      <c r="J470" s="8">
        <v>27.0</v>
      </c>
      <c r="K470" s="11">
        <v>2214496.36</v>
      </c>
      <c r="L470" s="8" t="str">
        <f>+VLOOKUP(A470,Hoja2!$A$2:$X$2596,19,FALSE)</f>
        <v>Concluido</v>
      </c>
      <c r="M470" s="9">
        <f>+VLOOKUP(A470,Hoja2!$A$2:$X$2596,15,FALSE)</f>
        <v>2308950.27</v>
      </c>
      <c r="N470" s="9">
        <f>+VLOOKUP(A470,Hoja2!$A$2:$X$2596,17,FALSE)</f>
        <v>138610.5</v>
      </c>
      <c r="O470" s="9">
        <f>+VLOOKUP(A470,Hoja2!$A$2:$X$2596,22,FALSE)</f>
        <v>2493412</v>
      </c>
      <c r="P470" s="9">
        <f>+VLOOKUP(A470,Hoja2!$A$2:$X$2596,23,FALSE)</f>
        <v>138556.23</v>
      </c>
      <c r="Q470" s="9">
        <f>+VLOOKUP(A470,Hoja2!$A$2:$X$2596,24,FALSE)</f>
        <v>0</v>
      </c>
    </row>
    <row r="471" ht="15.75" hidden="1" customHeight="1">
      <c r="A471" s="8">
        <v>2465646.0</v>
      </c>
      <c r="B471" s="8">
        <v>2465646.0</v>
      </c>
      <c r="C471" s="9" t="s">
        <v>17</v>
      </c>
      <c r="D471" s="8">
        <v>2.0</v>
      </c>
      <c r="E471" s="8">
        <v>0.0</v>
      </c>
      <c r="F471" s="8">
        <v>0.0</v>
      </c>
      <c r="G471" s="9" t="s">
        <v>21</v>
      </c>
      <c r="H471" s="10">
        <v>45289.90759236111</v>
      </c>
      <c r="I471" s="10">
        <v>45300.9808565625</v>
      </c>
      <c r="J471" s="8">
        <v>11.0</v>
      </c>
      <c r="K471" s="11">
        <v>6079984.91</v>
      </c>
      <c r="L471" s="8" t="str">
        <f>+VLOOKUP(A471,Hoja2!$A$2:$X$2596,19,FALSE)</f>
        <v>#N/A</v>
      </c>
      <c r="M471" s="9" t="str">
        <f>+VLOOKUP(A471,Hoja2!$A$2:$X$2596,15,FALSE)</f>
        <v>#N/A</v>
      </c>
      <c r="N471" s="9" t="str">
        <f>+VLOOKUP(A471,Hoja2!$A$2:$X$2596,17,FALSE)</f>
        <v>#N/A</v>
      </c>
      <c r="O471" s="9" t="str">
        <f>+VLOOKUP(A471,Hoja2!$A$2:$X$2596,22,FALSE)</f>
        <v>#N/A</v>
      </c>
      <c r="P471" s="9" t="str">
        <f>+VLOOKUP(A471,Hoja2!$A$2:$X$2596,23,FALSE)</f>
        <v>#N/A</v>
      </c>
      <c r="Q471" s="9" t="str">
        <f>+VLOOKUP(A471,Hoja2!$A$2:$X$2596,24,FALSE)</f>
        <v>#N/A</v>
      </c>
    </row>
    <row r="472" ht="15.75" hidden="1" customHeight="1">
      <c r="A472" s="8">
        <v>2466795.0</v>
      </c>
      <c r="B472" s="8">
        <v>2466795.0</v>
      </c>
      <c r="C472" s="9" t="s">
        <v>22</v>
      </c>
      <c r="D472" s="8">
        <v>2.0</v>
      </c>
      <c r="E472" s="8">
        <v>0.0</v>
      </c>
      <c r="F472" s="8">
        <v>0.0</v>
      </c>
      <c r="G472" s="9" t="s">
        <v>21</v>
      </c>
      <c r="H472" s="10">
        <v>45887.421248576386</v>
      </c>
      <c r="I472" s="10">
        <v>45896.74772280092</v>
      </c>
      <c r="J472" s="8">
        <v>9.0</v>
      </c>
      <c r="K472" s="11">
        <v>4.408404392E7</v>
      </c>
      <c r="L472" s="8" t="str">
        <f>+VLOOKUP(A472,Hoja2!$A$2:$X$2596,19,FALSE)</f>
        <v>#N/A</v>
      </c>
      <c r="M472" s="9" t="str">
        <f>+VLOOKUP(A472,Hoja2!$A$2:$X$2596,15,FALSE)</f>
        <v>#N/A</v>
      </c>
      <c r="N472" s="9" t="str">
        <f>+VLOOKUP(A472,Hoja2!$A$2:$X$2596,17,FALSE)</f>
        <v>#N/A</v>
      </c>
      <c r="O472" s="9" t="str">
        <f>+VLOOKUP(A472,Hoja2!$A$2:$X$2596,22,FALSE)</f>
        <v>#N/A</v>
      </c>
      <c r="P472" s="9" t="str">
        <f>+VLOOKUP(A472,Hoja2!$A$2:$X$2596,23,FALSE)</f>
        <v>#N/A</v>
      </c>
      <c r="Q472" s="9" t="str">
        <f>+VLOOKUP(A472,Hoja2!$A$2:$X$2596,24,FALSE)</f>
        <v>#N/A</v>
      </c>
    </row>
    <row r="473" ht="15.75" hidden="1" customHeight="1">
      <c r="A473" s="8">
        <v>2467659.0</v>
      </c>
      <c r="B473" s="8">
        <v>2467659.0</v>
      </c>
      <c r="C473" s="9" t="s">
        <v>17</v>
      </c>
      <c r="D473" s="8">
        <v>2.0</v>
      </c>
      <c r="E473" s="8">
        <v>0.0</v>
      </c>
      <c r="F473" s="8">
        <v>0.0</v>
      </c>
      <c r="G473" s="9" t="s">
        <v>21</v>
      </c>
      <c r="H473" s="10">
        <v>44334.402875694446</v>
      </c>
      <c r="I473" s="10">
        <v>44340.652427395835</v>
      </c>
      <c r="J473" s="8">
        <v>6.0</v>
      </c>
      <c r="K473" s="11">
        <v>5567975.4</v>
      </c>
      <c r="L473" s="8" t="str">
        <f>+VLOOKUP(A473,Hoja2!$A$2:$X$2596,19,FALSE)</f>
        <v>#N/A</v>
      </c>
      <c r="M473" s="9" t="str">
        <f>+VLOOKUP(A473,Hoja2!$A$2:$X$2596,15,FALSE)</f>
        <v>#N/A</v>
      </c>
      <c r="N473" s="9" t="str">
        <f>+VLOOKUP(A473,Hoja2!$A$2:$X$2596,17,FALSE)</f>
        <v>#N/A</v>
      </c>
      <c r="O473" s="9" t="str">
        <f>+VLOOKUP(A473,Hoja2!$A$2:$X$2596,22,FALSE)</f>
        <v>#N/A</v>
      </c>
      <c r="P473" s="9" t="str">
        <f>+VLOOKUP(A473,Hoja2!$A$2:$X$2596,23,FALSE)</f>
        <v>#N/A</v>
      </c>
      <c r="Q473" s="9" t="str">
        <f>+VLOOKUP(A473,Hoja2!$A$2:$X$2596,24,FALSE)</f>
        <v>#N/A</v>
      </c>
    </row>
    <row r="474" ht="15.75" hidden="1" customHeight="1">
      <c r="A474" s="8">
        <v>2467659.0</v>
      </c>
      <c r="B474" s="8">
        <v>2467659.0</v>
      </c>
      <c r="C474" s="9" t="s">
        <v>17</v>
      </c>
      <c r="D474" s="8">
        <v>3.0</v>
      </c>
      <c r="E474" s="8">
        <v>0.0</v>
      </c>
      <c r="F474" s="8">
        <v>0.0</v>
      </c>
      <c r="G474" s="9" t="s">
        <v>21</v>
      </c>
      <c r="H474" s="10">
        <v>44592.54238506944</v>
      </c>
      <c r="I474" s="10">
        <v>44617.71458306713</v>
      </c>
      <c r="J474" s="8">
        <v>25.0</v>
      </c>
      <c r="K474" s="11">
        <v>5567975.4</v>
      </c>
      <c r="L474" s="8" t="str">
        <f>+VLOOKUP(A474,Hoja2!$A$2:$X$2596,19,FALSE)</f>
        <v>#N/A</v>
      </c>
      <c r="M474" s="9" t="str">
        <f>+VLOOKUP(A474,Hoja2!$A$2:$X$2596,15,FALSE)</f>
        <v>#N/A</v>
      </c>
      <c r="N474" s="9" t="str">
        <f>+VLOOKUP(A474,Hoja2!$A$2:$X$2596,17,FALSE)</f>
        <v>#N/A</v>
      </c>
      <c r="O474" s="9" t="str">
        <f>+VLOOKUP(A474,Hoja2!$A$2:$X$2596,22,FALSE)</f>
        <v>#N/A</v>
      </c>
      <c r="P474" s="9" t="str">
        <f>+VLOOKUP(A474,Hoja2!$A$2:$X$2596,23,FALSE)</f>
        <v>#N/A</v>
      </c>
      <c r="Q474" s="9" t="str">
        <f>+VLOOKUP(A474,Hoja2!$A$2:$X$2596,24,FALSE)</f>
        <v>#N/A</v>
      </c>
    </row>
    <row r="475" ht="15.75" hidden="1" customHeight="1">
      <c r="A475" s="8">
        <v>2467659.0</v>
      </c>
      <c r="B475" s="8">
        <v>2467659.0</v>
      </c>
      <c r="C475" s="9" t="s">
        <v>17</v>
      </c>
      <c r="D475" s="8">
        <v>2.0</v>
      </c>
      <c r="E475" s="8">
        <v>0.0</v>
      </c>
      <c r="F475" s="8">
        <v>0.0</v>
      </c>
      <c r="G475" s="9" t="s">
        <v>21</v>
      </c>
      <c r="H475" s="10">
        <v>44881.3915727662</v>
      </c>
      <c r="I475" s="10">
        <v>44889.75091643519</v>
      </c>
      <c r="J475" s="8">
        <v>8.0</v>
      </c>
      <c r="K475" s="11">
        <v>5567975.4</v>
      </c>
      <c r="L475" s="8" t="str">
        <f>+VLOOKUP(A475,Hoja2!$A$2:$X$2596,19,FALSE)</f>
        <v>#N/A</v>
      </c>
      <c r="M475" s="9" t="str">
        <f>+VLOOKUP(A475,Hoja2!$A$2:$X$2596,15,FALSE)</f>
        <v>#N/A</v>
      </c>
      <c r="N475" s="9" t="str">
        <f>+VLOOKUP(A475,Hoja2!$A$2:$X$2596,17,FALSE)</f>
        <v>#N/A</v>
      </c>
      <c r="O475" s="9" t="str">
        <f>+VLOOKUP(A475,Hoja2!$A$2:$X$2596,22,FALSE)</f>
        <v>#N/A</v>
      </c>
      <c r="P475" s="9" t="str">
        <f>+VLOOKUP(A475,Hoja2!$A$2:$X$2596,23,FALSE)</f>
        <v>#N/A</v>
      </c>
      <c r="Q475" s="9" t="str">
        <f>+VLOOKUP(A475,Hoja2!$A$2:$X$2596,24,FALSE)</f>
        <v>#N/A</v>
      </c>
    </row>
    <row r="476" ht="15.75" hidden="1" customHeight="1">
      <c r="A476" s="8">
        <v>2467659.0</v>
      </c>
      <c r="B476" s="8">
        <v>2467659.0</v>
      </c>
      <c r="C476" s="9" t="s">
        <v>19</v>
      </c>
      <c r="D476" s="8">
        <v>3.0</v>
      </c>
      <c r="E476" s="8">
        <v>0.0</v>
      </c>
      <c r="F476" s="8">
        <v>0.0</v>
      </c>
      <c r="G476" s="9" t="s">
        <v>21</v>
      </c>
      <c r="H476" s="10">
        <v>45611.69593032407</v>
      </c>
      <c r="I476" s="10">
        <v>45698.74401501157</v>
      </c>
      <c r="J476" s="8">
        <v>87.0</v>
      </c>
      <c r="K476" s="11">
        <v>5567975.4</v>
      </c>
      <c r="L476" s="8" t="str">
        <f>+VLOOKUP(A476,Hoja2!$A$2:$X$2596,19,FALSE)</f>
        <v>#N/A</v>
      </c>
      <c r="M476" s="9" t="str">
        <f>+VLOOKUP(A476,Hoja2!$A$2:$X$2596,15,FALSE)</f>
        <v>#N/A</v>
      </c>
      <c r="N476" s="9" t="str">
        <f>+VLOOKUP(A476,Hoja2!$A$2:$X$2596,17,FALSE)</f>
        <v>#N/A</v>
      </c>
      <c r="O476" s="9" t="str">
        <f>+VLOOKUP(A476,Hoja2!$A$2:$X$2596,22,FALSE)</f>
        <v>#N/A</v>
      </c>
      <c r="P476" s="9" t="str">
        <f>+VLOOKUP(A476,Hoja2!$A$2:$X$2596,23,FALSE)</f>
        <v>#N/A</v>
      </c>
      <c r="Q476" s="9" t="str">
        <f>+VLOOKUP(A476,Hoja2!$A$2:$X$2596,24,FALSE)</f>
        <v>#N/A</v>
      </c>
    </row>
    <row r="477" ht="15.75" hidden="1" customHeight="1">
      <c r="A477" s="8">
        <v>2467961.0</v>
      </c>
      <c r="B477" s="8">
        <v>2467961.0</v>
      </c>
      <c r="C477" s="9" t="s">
        <v>19</v>
      </c>
      <c r="D477" s="8">
        <v>3.0</v>
      </c>
      <c r="E477" s="8">
        <v>0.0</v>
      </c>
      <c r="F477" s="8">
        <v>0.0</v>
      </c>
      <c r="G477" s="9" t="s">
        <v>21</v>
      </c>
      <c r="H477" s="10">
        <v>44231.36104016204</v>
      </c>
      <c r="I477" s="10">
        <v>44242.78388634259</v>
      </c>
      <c r="J477" s="8">
        <v>11.0</v>
      </c>
      <c r="K477" s="11">
        <v>3306658.81</v>
      </c>
      <c r="L477" s="8" t="str">
        <f>+VLOOKUP(A477,Hoja2!$A$2:$X$2596,19,FALSE)</f>
        <v>#N/A</v>
      </c>
      <c r="M477" s="9" t="str">
        <f>+VLOOKUP(A477,Hoja2!$A$2:$X$2596,15,FALSE)</f>
        <v>#N/A</v>
      </c>
      <c r="N477" s="9" t="str">
        <f>+VLOOKUP(A477,Hoja2!$A$2:$X$2596,17,FALSE)</f>
        <v>#N/A</v>
      </c>
      <c r="O477" s="9" t="str">
        <f>+VLOOKUP(A477,Hoja2!$A$2:$X$2596,22,FALSE)</f>
        <v>#N/A</v>
      </c>
      <c r="P477" s="9" t="str">
        <f>+VLOOKUP(A477,Hoja2!$A$2:$X$2596,23,FALSE)</f>
        <v>#N/A</v>
      </c>
      <c r="Q477" s="9" t="str">
        <f>+VLOOKUP(A477,Hoja2!$A$2:$X$2596,24,FALSE)</f>
        <v>#N/A</v>
      </c>
    </row>
    <row r="478" ht="15.75" hidden="1" customHeight="1">
      <c r="A478" s="8">
        <v>2471415.0</v>
      </c>
      <c r="B478" s="8">
        <v>2471415.0</v>
      </c>
      <c r="C478" s="9" t="s">
        <v>19</v>
      </c>
      <c r="D478" s="8">
        <v>5.0</v>
      </c>
      <c r="E478" s="8">
        <v>0.0</v>
      </c>
      <c r="F478" s="8">
        <v>0.0</v>
      </c>
      <c r="G478" s="9" t="s">
        <v>21</v>
      </c>
      <c r="H478" s="10">
        <v>44382.677829479166</v>
      </c>
      <c r="I478" s="10">
        <v>44455.44712600695</v>
      </c>
      <c r="J478" s="8">
        <v>73.0</v>
      </c>
      <c r="K478" s="11">
        <v>1.879422615E7</v>
      </c>
      <c r="L478" s="8" t="str">
        <f>+VLOOKUP(A478,Hoja2!$A$2:$X$2596,19,FALSE)</f>
        <v>#N/A</v>
      </c>
      <c r="M478" s="9" t="str">
        <f>+VLOOKUP(A478,Hoja2!$A$2:$X$2596,15,FALSE)</f>
        <v>#N/A</v>
      </c>
      <c r="N478" s="9" t="str">
        <f>+VLOOKUP(A478,Hoja2!$A$2:$X$2596,17,FALSE)</f>
        <v>#N/A</v>
      </c>
      <c r="O478" s="9" t="str">
        <f>+VLOOKUP(A478,Hoja2!$A$2:$X$2596,22,FALSE)</f>
        <v>#N/A</v>
      </c>
      <c r="P478" s="9" t="str">
        <f>+VLOOKUP(A478,Hoja2!$A$2:$X$2596,23,FALSE)</f>
        <v>#N/A</v>
      </c>
      <c r="Q478" s="9" t="str">
        <f>+VLOOKUP(A478,Hoja2!$A$2:$X$2596,24,FALSE)</f>
        <v>#N/A</v>
      </c>
    </row>
    <row r="479" ht="15.75" hidden="1" customHeight="1">
      <c r="A479" s="8">
        <v>2471415.0</v>
      </c>
      <c r="B479" s="8">
        <v>2471415.0</v>
      </c>
      <c r="C479" s="9" t="s">
        <v>17</v>
      </c>
      <c r="D479" s="8">
        <v>4.0</v>
      </c>
      <c r="E479" s="8">
        <v>0.0</v>
      </c>
      <c r="F479" s="8">
        <v>0.0</v>
      </c>
      <c r="G479" s="9" t="s">
        <v>21</v>
      </c>
      <c r="H479" s="10">
        <v>45082.43391940972</v>
      </c>
      <c r="I479" s="10">
        <v>45104.412265659725</v>
      </c>
      <c r="J479" s="8">
        <v>22.0</v>
      </c>
      <c r="K479" s="11">
        <v>1.879422615E7</v>
      </c>
      <c r="L479" s="8" t="str">
        <f>+VLOOKUP(A479,Hoja2!$A$2:$X$2596,19,FALSE)</f>
        <v>#N/A</v>
      </c>
      <c r="M479" s="9" t="str">
        <f>+VLOOKUP(A479,Hoja2!$A$2:$X$2596,15,FALSE)</f>
        <v>#N/A</v>
      </c>
      <c r="N479" s="9" t="str">
        <f>+VLOOKUP(A479,Hoja2!$A$2:$X$2596,17,FALSE)</f>
        <v>#N/A</v>
      </c>
      <c r="O479" s="9" t="str">
        <f>+VLOOKUP(A479,Hoja2!$A$2:$X$2596,22,FALSE)</f>
        <v>#N/A</v>
      </c>
      <c r="P479" s="9" t="str">
        <f>+VLOOKUP(A479,Hoja2!$A$2:$X$2596,23,FALSE)</f>
        <v>#N/A</v>
      </c>
      <c r="Q479" s="9" t="str">
        <f>+VLOOKUP(A479,Hoja2!$A$2:$X$2596,24,FALSE)</f>
        <v>#N/A</v>
      </c>
    </row>
    <row r="480" ht="15.75" hidden="1" customHeight="1">
      <c r="A480" s="8">
        <v>2471415.0</v>
      </c>
      <c r="B480" s="8">
        <v>2471415.0</v>
      </c>
      <c r="C480" s="9" t="s">
        <v>17</v>
      </c>
      <c r="D480" s="8">
        <v>3.0</v>
      </c>
      <c r="E480" s="8">
        <v>0.0</v>
      </c>
      <c r="F480" s="8">
        <v>0.0</v>
      </c>
      <c r="G480" s="9" t="s">
        <v>21</v>
      </c>
      <c r="H480" s="10">
        <v>45203.84027677083</v>
      </c>
      <c r="I480" s="10">
        <v>45211.83294421296</v>
      </c>
      <c r="J480" s="8">
        <v>8.0</v>
      </c>
      <c r="K480" s="11">
        <v>1.879422615E7</v>
      </c>
      <c r="L480" s="8" t="str">
        <f>+VLOOKUP(A480,Hoja2!$A$2:$X$2596,19,FALSE)</f>
        <v>#N/A</v>
      </c>
      <c r="M480" s="9" t="str">
        <f>+VLOOKUP(A480,Hoja2!$A$2:$X$2596,15,FALSE)</f>
        <v>#N/A</v>
      </c>
      <c r="N480" s="9" t="str">
        <f>+VLOOKUP(A480,Hoja2!$A$2:$X$2596,17,FALSE)</f>
        <v>#N/A</v>
      </c>
      <c r="O480" s="9" t="str">
        <f>+VLOOKUP(A480,Hoja2!$A$2:$X$2596,22,FALSE)</f>
        <v>#N/A</v>
      </c>
      <c r="P480" s="9" t="str">
        <f>+VLOOKUP(A480,Hoja2!$A$2:$X$2596,23,FALSE)</f>
        <v>#N/A</v>
      </c>
      <c r="Q480" s="9" t="str">
        <f>+VLOOKUP(A480,Hoja2!$A$2:$X$2596,24,FALSE)</f>
        <v>#N/A</v>
      </c>
    </row>
    <row r="481" ht="15.75" hidden="1" customHeight="1">
      <c r="A481" s="8">
        <v>2473205.0</v>
      </c>
      <c r="B481" s="8">
        <v>2473205.0</v>
      </c>
      <c r="C481" s="9" t="s">
        <v>19</v>
      </c>
      <c r="D481" s="8">
        <v>4.0</v>
      </c>
      <c r="E481" s="8">
        <v>0.0</v>
      </c>
      <c r="F481" s="8">
        <v>0.0</v>
      </c>
      <c r="G481" s="9" t="s">
        <v>21</v>
      </c>
      <c r="H481" s="10">
        <v>44602.68540957176</v>
      </c>
      <c r="I481" s="10">
        <v>44684.709159756945</v>
      </c>
      <c r="J481" s="8">
        <v>82.0</v>
      </c>
      <c r="K481" s="11">
        <v>1.351201347E7</v>
      </c>
      <c r="L481" s="8" t="str">
        <f>+VLOOKUP(A481,Hoja2!$A$2:$X$2596,19,FALSE)</f>
        <v>#N/A</v>
      </c>
      <c r="M481" s="9" t="str">
        <f>+VLOOKUP(A481,Hoja2!$A$2:$X$2596,15,FALSE)</f>
        <v>#N/A</v>
      </c>
      <c r="N481" s="9" t="str">
        <f>+VLOOKUP(A481,Hoja2!$A$2:$X$2596,17,FALSE)</f>
        <v>#N/A</v>
      </c>
      <c r="O481" s="9" t="str">
        <f>+VLOOKUP(A481,Hoja2!$A$2:$X$2596,22,FALSE)</f>
        <v>#N/A</v>
      </c>
      <c r="P481" s="9" t="str">
        <f>+VLOOKUP(A481,Hoja2!$A$2:$X$2596,23,FALSE)</f>
        <v>#N/A</v>
      </c>
      <c r="Q481" s="9" t="str">
        <f>+VLOOKUP(A481,Hoja2!$A$2:$X$2596,24,FALSE)</f>
        <v>#N/A</v>
      </c>
    </row>
    <row r="482" ht="15.75" hidden="1" customHeight="1">
      <c r="A482" s="8">
        <v>2473205.0</v>
      </c>
      <c r="B482" s="8">
        <v>2473205.0</v>
      </c>
      <c r="C482" s="9" t="s">
        <v>17</v>
      </c>
      <c r="D482" s="8">
        <v>2.0</v>
      </c>
      <c r="E482" s="8">
        <v>0.0</v>
      </c>
      <c r="F482" s="8">
        <v>0.0</v>
      </c>
      <c r="G482" s="9" t="s">
        <v>21</v>
      </c>
      <c r="H482" s="10">
        <v>44721.63822025463</v>
      </c>
      <c r="I482" s="10">
        <v>44743.52616883102</v>
      </c>
      <c r="J482" s="8">
        <v>22.0</v>
      </c>
      <c r="K482" s="11">
        <v>1.351201347E7</v>
      </c>
      <c r="L482" s="8" t="str">
        <f>+VLOOKUP(A482,Hoja2!$A$2:$X$2596,19,FALSE)</f>
        <v>#N/A</v>
      </c>
      <c r="M482" s="9" t="str">
        <f>+VLOOKUP(A482,Hoja2!$A$2:$X$2596,15,FALSE)</f>
        <v>#N/A</v>
      </c>
      <c r="N482" s="9" t="str">
        <f>+VLOOKUP(A482,Hoja2!$A$2:$X$2596,17,FALSE)</f>
        <v>#N/A</v>
      </c>
      <c r="O482" s="9" t="str">
        <f>+VLOOKUP(A482,Hoja2!$A$2:$X$2596,22,FALSE)</f>
        <v>#N/A</v>
      </c>
      <c r="P482" s="9" t="str">
        <f>+VLOOKUP(A482,Hoja2!$A$2:$X$2596,23,FALSE)</f>
        <v>#N/A</v>
      </c>
      <c r="Q482" s="9" t="str">
        <f>+VLOOKUP(A482,Hoja2!$A$2:$X$2596,24,FALSE)</f>
        <v>#N/A</v>
      </c>
    </row>
    <row r="483" ht="15.75" hidden="1" customHeight="1">
      <c r="A483" s="8">
        <v>2473695.0</v>
      </c>
      <c r="B483" s="8">
        <v>2473695.0</v>
      </c>
      <c r="C483" s="9" t="s">
        <v>19</v>
      </c>
      <c r="D483" s="8">
        <v>5.0</v>
      </c>
      <c r="E483" s="8">
        <v>0.0</v>
      </c>
      <c r="F483" s="8">
        <v>0.0</v>
      </c>
      <c r="G483" s="9" t="s">
        <v>21</v>
      </c>
      <c r="H483" s="10">
        <v>44222.45642126157</v>
      </c>
      <c r="I483" s="10">
        <v>44519.602790081015</v>
      </c>
      <c r="J483" s="8">
        <v>297.0</v>
      </c>
      <c r="K483" s="11">
        <v>1.583954248E7</v>
      </c>
      <c r="L483" s="8" t="str">
        <f>+VLOOKUP(A483,Hoja2!$A$2:$X$2596,19,FALSE)</f>
        <v>En Ejecución</v>
      </c>
      <c r="M483" s="9">
        <f>+VLOOKUP(A483,Hoja2!$A$2:$X$2596,15,FALSE)</f>
        <v>16547585.76</v>
      </c>
      <c r="N483" s="9">
        <f>+VLOOKUP(A483,Hoja2!$A$2:$X$2596,17,FALSE)</f>
        <v>509000</v>
      </c>
      <c r="O483" s="9" t="str">
        <f>+VLOOKUP(A483,Hoja2!$A$2:$X$2596,22,FALSE)</f>
        <v/>
      </c>
      <c r="P483" s="9" t="str">
        <f>+VLOOKUP(A483,Hoja2!$A$2:$X$2596,23,FALSE)</f>
        <v/>
      </c>
      <c r="Q483" s="9" t="str">
        <f>+VLOOKUP(A483,Hoja2!$A$2:$X$2596,24,FALSE)</f>
        <v/>
      </c>
    </row>
    <row r="484" ht="15.75" customHeight="1">
      <c r="A484" s="8">
        <v>2473695.0</v>
      </c>
      <c r="B484" s="8">
        <v>2473695.0</v>
      </c>
      <c r="C484" s="9" t="s">
        <v>20</v>
      </c>
      <c r="D484" s="8">
        <v>3.0</v>
      </c>
      <c r="E484" s="8">
        <v>3.0</v>
      </c>
      <c r="F484" s="8">
        <v>0.0</v>
      </c>
      <c r="G484" s="9" t="s">
        <v>18</v>
      </c>
      <c r="H484" s="10">
        <v>44625.016008136576</v>
      </c>
      <c r="I484" s="10">
        <v>44694.67925462963</v>
      </c>
      <c r="J484" s="8">
        <v>69.0</v>
      </c>
      <c r="K484" s="11">
        <v>1.583954248E7</v>
      </c>
      <c r="L484" s="8" t="str">
        <f>+VLOOKUP(A484,Hoja2!$A$2:$X$2596,19,FALSE)</f>
        <v>En Ejecución</v>
      </c>
      <c r="M484" s="9">
        <f>+VLOOKUP(A484,Hoja2!$A$2:$X$2596,15,FALSE)</f>
        <v>16547585.76</v>
      </c>
      <c r="N484" s="9">
        <f>+VLOOKUP(A484,Hoja2!$A$2:$X$2596,17,FALSE)</f>
        <v>509000</v>
      </c>
      <c r="O484" s="9" t="str">
        <f>+VLOOKUP(A484,Hoja2!$A$2:$X$2596,22,FALSE)</f>
        <v/>
      </c>
      <c r="P484" s="9" t="str">
        <f>+VLOOKUP(A484,Hoja2!$A$2:$X$2596,23,FALSE)</f>
        <v/>
      </c>
      <c r="Q484" s="9" t="str">
        <f>+VLOOKUP(A484,Hoja2!$A$2:$X$2596,24,FALSE)</f>
        <v/>
      </c>
    </row>
    <row r="485" ht="15.75" hidden="1" customHeight="1">
      <c r="A485" s="8">
        <v>2474036.0</v>
      </c>
      <c r="B485" s="8">
        <v>2474036.0</v>
      </c>
      <c r="C485" s="9" t="s">
        <v>17</v>
      </c>
      <c r="D485" s="8">
        <v>2.0</v>
      </c>
      <c r="E485" s="8">
        <v>0.0</v>
      </c>
      <c r="F485" s="8">
        <v>0.0</v>
      </c>
      <c r="G485" s="9" t="s">
        <v>21</v>
      </c>
      <c r="H485" s="10">
        <v>44468.63799899306</v>
      </c>
      <c r="I485" s="10">
        <v>44483.43619965278</v>
      </c>
      <c r="J485" s="8">
        <v>15.0</v>
      </c>
      <c r="K485" s="11">
        <v>2.850479895E7</v>
      </c>
      <c r="L485" s="8" t="str">
        <f>+VLOOKUP(A485,Hoja2!$A$2:$X$2596,19,FALSE)</f>
        <v>#N/A</v>
      </c>
      <c r="M485" s="9" t="str">
        <f>+VLOOKUP(A485,Hoja2!$A$2:$X$2596,15,FALSE)</f>
        <v>#N/A</v>
      </c>
      <c r="N485" s="9" t="str">
        <f>+VLOOKUP(A485,Hoja2!$A$2:$X$2596,17,FALSE)</f>
        <v>#N/A</v>
      </c>
      <c r="O485" s="9" t="str">
        <f>+VLOOKUP(A485,Hoja2!$A$2:$X$2596,22,FALSE)</f>
        <v>#N/A</v>
      </c>
      <c r="P485" s="9" t="str">
        <f>+VLOOKUP(A485,Hoja2!$A$2:$X$2596,23,FALSE)</f>
        <v>#N/A</v>
      </c>
      <c r="Q485" s="9" t="str">
        <f>+VLOOKUP(A485,Hoja2!$A$2:$X$2596,24,FALSE)</f>
        <v>#N/A</v>
      </c>
    </row>
    <row r="486" ht="15.75" hidden="1" customHeight="1">
      <c r="A486" s="8">
        <v>2474036.0</v>
      </c>
      <c r="B486" s="8">
        <v>2474036.0</v>
      </c>
      <c r="C486" s="9" t="s">
        <v>17</v>
      </c>
      <c r="D486" s="8">
        <v>2.0</v>
      </c>
      <c r="E486" s="8">
        <v>0.0</v>
      </c>
      <c r="F486" s="8">
        <v>0.0</v>
      </c>
      <c r="G486" s="9" t="s">
        <v>21</v>
      </c>
      <c r="H486" s="10">
        <v>44532.458699965275</v>
      </c>
      <c r="I486" s="10">
        <v>44543.636788888885</v>
      </c>
      <c r="J486" s="8">
        <v>11.0</v>
      </c>
      <c r="K486" s="11">
        <v>2.850479895E7</v>
      </c>
      <c r="L486" s="8" t="str">
        <f>+VLOOKUP(A486,Hoja2!$A$2:$X$2596,19,FALSE)</f>
        <v>#N/A</v>
      </c>
      <c r="M486" s="9" t="str">
        <f>+VLOOKUP(A486,Hoja2!$A$2:$X$2596,15,FALSE)</f>
        <v>#N/A</v>
      </c>
      <c r="N486" s="9" t="str">
        <f>+VLOOKUP(A486,Hoja2!$A$2:$X$2596,17,FALSE)</f>
        <v>#N/A</v>
      </c>
      <c r="O486" s="9" t="str">
        <f>+VLOOKUP(A486,Hoja2!$A$2:$X$2596,22,FALSE)</f>
        <v>#N/A</v>
      </c>
      <c r="P486" s="9" t="str">
        <f>+VLOOKUP(A486,Hoja2!$A$2:$X$2596,23,FALSE)</f>
        <v>#N/A</v>
      </c>
      <c r="Q486" s="9" t="str">
        <f>+VLOOKUP(A486,Hoja2!$A$2:$X$2596,24,FALSE)</f>
        <v>#N/A</v>
      </c>
    </row>
    <row r="487" ht="15.75" hidden="1" customHeight="1">
      <c r="A487" s="8">
        <v>2474036.0</v>
      </c>
      <c r="B487" s="8">
        <v>2474036.0</v>
      </c>
      <c r="C487" s="9" t="s">
        <v>17</v>
      </c>
      <c r="D487" s="8">
        <v>2.0</v>
      </c>
      <c r="E487" s="8">
        <v>0.0</v>
      </c>
      <c r="F487" s="8">
        <v>0.0</v>
      </c>
      <c r="G487" s="9" t="s">
        <v>21</v>
      </c>
      <c r="H487" s="10">
        <v>44612.939710266204</v>
      </c>
      <c r="I487" s="10">
        <v>44620.7472556713</v>
      </c>
      <c r="J487" s="8">
        <v>8.0</v>
      </c>
      <c r="K487" s="11">
        <v>2.850479895E7</v>
      </c>
      <c r="L487" s="8" t="str">
        <f>+VLOOKUP(A487,Hoja2!$A$2:$X$2596,19,FALSE)</f>
        <v>#N/A</v>
      </c>
      <c r="M487" s="9" t="str">
        <f>+VLOOKUP(A487,Hoja2!$A$2:$X$2596,15,FALSE)</f>
        <v>#N/A</v>
      </c>
      <c r="N487" s="9" t="str">
        <f>+VLOOKUP(A487,Hoja2!$A$2:$X$2596,17,FALSE)</f>
        <v>#N/A</v>
      </c>
      <c r="O487" s="9" t="str">
        <f>+VLOOKUP(A487,Hoja2!$A$2:$X$2596,22,FALSE)</f>
        <v>#N/A</v>
      </c>
      <c r="P487" s="9" t="str">
        <f>+VLOOKUP(A487,Hoja2!$A$2:$X$2596,23,FALSE)</f>
        <v>#N/A</v>
      </c>
      <c r="Q487" s="9" t="str">
        <f>+VLOOKUP(A487,Hoja2!$A$2:$X$2596,24,FALSE)</f>
        <v>#N/A</v>
      </c>
    </row>
    <row r="488" ht="15.75" hidden="1" customHeight="1">
      <c r="A488" s="8">
        <v>2474036.0</v>
      </c>
      <c r="B488" s="8">
        <v>2474036.0</v>
      </c>
      <c r="C488" s="9" t="s">
        <v>17</v>
      </c>
      <c r="D488" s="8">
        <v>2.0</v>
      </c>
      <c r="E488" s="8">
        <v>0.0</v>
      </c>
      <c r="F488" s="8">
        <v>0.0</v>
      </c>
      <c r="G488" s="9" t="s">
        <v>21</v>
      </c>
      <c r="H488" s="10">
        <v>44923.60802225694</v>
      </c>
      <c r="I488" s="10">
        <v>44932.47429074074</v>
      </c>
      <c r="J488" s="8">
        <v>9.0</v>
      </c>
      <c r="K488" s="11">
        <v>2.850479895E7</v>
      </c>
      <c r="L488" s="8" t="str">
        <f>+VLOOKUP(A488,Hoja2!$A$2:$X$2596,19,FALSE)</f>
        <v>#N/A</v>
      </c>
      <c r="M488" s="9" t="str">
        <f>+VLOOKUP(A488,Hoja2!$A$2:$X$2596,15,FALSE)</f>
        <v>#N/A</v>
      </c>
      <c r="N488" s="9" t="str">
        <f>+VLOOKUP(A488,Hoja2!$A$2:$X$2596,17,FALSE)</f>
        <v>#N/A</v>
      </c>
      <c r="O488" s="9" t="str">
        <f>+VLOOKUP(A488,Hoja2!$A$2:$X$2596,22,FALSE)</f>
        <v>#N/A</v>
      </c>
      <c r="P488" s="9" t="str">
        <f>+VLOOKUP(A488,Hoja2!$A$2:$X$2596,23,FALSE)</f>
        <v>#N/A</v>
      </c>
      <c r="Q488" s="9" t="str">
        <f>+VLOOKUP(A488,Hoja2!$A$2:$X$2596,24,FALSE)</f>
        <v>#N/A</v>
      </c>
    </row>
    <row r="489" ht="15.75" hidden="1" customHeight="1">
      <c r="A489" s="8">
        <v>2474852.0</v>
      </c>
      <c r="B489" s="8">
        <v>2474852.0</v>
      </c>
      <c r="C489" s="9" t="s">
        <v>19</v>
      </c>
      <c r="D489" s="8">
        <v>5.0</v>
      </c>
      <c r="E489" s="8">
        <v>0.0</v>
      </c>
      <c r="F489" s="8">
        <v>0.0</v>
      </c>
      <c r="G489" s="9" t="s">
        <v>21</v>
      </c>
      <c r="H489" s="10">
        <v>44343.60083024306</v>
      </c>
      <c r="I489" s="10">
        <v>44419.661359722224</v>
      </c>
      <c r="J489" s="8">
        <v>76.0</v>
      </c>
      <c r="K489" s="11">
        <v>8.906853714E7</v>
      </c>
      <c r="L489" s="8" t="str">
        <f>+VLOOKUP(A489,Hoja2!$A$2:$X$2596,19,FALSE)</f>
        <v>#N/A</v>
      </c>
      <c r="M489" s="9" t="str">
        <f>+VLOOKUP(A489,Hoja2!$A$2:$X$2596,15,FALSE)</f>
        <v>#N/A</v>
      </c>
      <c r="N489" s="9" t="str">
        <f>+VLOOKUP(A489,Hoja2!$A$2:$X$2596,17,FALSE)</f>
        <v>#N/A</v>
      </c>
      <c r="O489" s="9" t="str">
        <f>+VLOOKUP(A489,Hoja2!$A$2:$X$2596,22,FALSE)</f>
        <v>#N/A</v>
      </c>
      <c r="P489" s="9" t="str">
        <f>+VLOOKUP(A489,Hoja2!$A$2:$X$2596,23,FALSE)</f>
        <v>#N/A</v>
      </c>
      <c r="Q489" s="9" t="str">
        <f>+VLOOKUP(A489,Hoja2!$A$2:$X$2596,24,FALSE)</f>
        <v>#N/A</v>
      </c>
    </row>
    <row r="490" ht="15.75" hidden="1" customHeight="1">
      <c r="A490" s="8">
        <v>2474852.0</v>
      </c>
      <c r="B490" s="8">
        <v>2474852.0</v>
      </c>
      <c r="C490" s="9" t="s">
        <v>19</v>
      </c>
      <c r="D490" s="8">
        <v>3.0</v>
      </c>
      <c r="E490" s="8">
        <v>0.0</v>
      </c>
      <c r="F490" s="8">
        <v>0.0</v>
      </c>
      <c r="G490" s="9" t="s">
        <v>21</v>
      </c>
      <c r="H490" s="10">
        <v>44440.64625034722</v>
      </c>
      <c r="I490" s="10">
        <v>44481.68702542824</v>
      </c>
      <c r="J490" s="8">
        <v>41.0</v>
      </c>
      <c r="K490" s="11">
        <v>8.906853714E7</v>
      </c>
      <c r="L490" s="8" t="str">
        <f>+VLOOKUP(A490,Hoja2!$A$2:$X$2596,19,FALSE)</f>
        <v>#N/A</v>
      </c>
      <c r="M490" s="9" t="str">
        <f>+VLOOKUP(A490,Hoja2!$A$2:$X$2596,15,FALSE)</f>
        <v>#N/A</v>
      </c>
      <c r="N490" s="9" t="str">
        <f>+VLOOKUP(A490,Hoja2!$A$2:$X$2596,17,FALSE)</f>
        <v>#N/A</v>
      </c>
      <c r="O490" s="9" t="str">
        <f>+VLOOKUP(A490,Hoja2!$A$2:$X$2596,22,FALSE)</f>
        <v>#N/A</v>
      </c>
      <c r="P490" s="9" t="str">
        <f>+VLOOKUP(A490,Hoja2!$A$2:$X$2596,23,FALSE)</f>
        <v>#N/A</v>
      </c>
      <c r="Q490" s="9" t="str">
        <f>+VLOOKUP(A490,Hoja2!$A$2:$X$2596,24,FALSE)</f>
        <v>#N/A</v>
      </c>
    </row>
    <row r="491" ht="15.75" hidden="1" customHeight="1">
      <c r="A491" s="8">
        <v>2477955.0</v>
      </c>
      <c r="B491" s="8">
        <v>2477955.0</v>
      </c>
      <c r="C491" s="9" t="s">
        <v>17</v>
      </c>
      <c r="D491" s="8">
        <v>2.0</v>
      </c>
      <c r="E491" s="8">
        <v>0.0</v>
      </c>
      <c r="F491" s="8">
        <v>0.0</v>
      </c>
      <c r="G491" s="9" t="s">
        <v>21</v>
      </c>
      <c r="H491" s="10">
        <v>44540.73645269676</v>
      </c>
      <c r="I491" s="10">
        <v>44565.709584525466</v>
      </c>
      <c r="J491" s="8">
        <v>25.0</v>
      </c>
      <c r="K491" s="11">
        <v>2478279.47</v>
      </c>
      <c r="L491" s="8" t="str">
        <f>+VLOOKUP(A491,Hoja2!$A$2:$X$2596,19,FALSE)</f>
        <v>#N/A</v>
      </c>
      <c r="M491" s="9" t="str">
        <f>+VLOOKUP(A491,Hoja2!$A$2:$X$2596,15,FALSE)</f>
        <v>#N/A</v>
      </c>
      <c r="N491" s="9" t="str">
        <f>+VLOOKUP(A491,Hoja2!$A$2:$X$2596,17,FALSE)</f>
        <v>#N/A</v>
      </c>
      <c r="O491" s="9" t="str">
        <f>+VLOOKUP(A491,Hoja2!$A$2:$X$2596,22,FALSE)</f>
        <v>#N/A</v>
      </c>
      <c r="P491" s="9" t="str">
        <f>+VLOOKUP(A491,Hoja2!$A$2:$X$2596,23,FALSE)</f>
        <v>#N/A</v>
      </c>
      <c r="Q491" s="9" t="str">
        <f>+VLOOKUP(A491,Hoja2!$A$2:$X$2596,24,FALSE)</f>
        <v>#N/A</v>
      </c>
    </row>
    <row r="492" ht="15.75" hidden="1" customHeight="1">
      <c r="A492" s="8">
        <v>2477955.0</v>
      </c>
      <c r="B492" s="8">
        <v>2477955.0</v>
      </c>
      <c r="C492" s="9" t="s">
        <v>17</v>
      </c>
      <c r="D492" s="8">
        <v>2.0</v>
      </c>
      <c r="E492" s="8">
        <v>0.0</v>
      </c>
      <c r="F492" s="8">
        <v>0.0</v>
      </c>
      <c r="G492" s="9" t="s">
        <v>21</v>
      </c>
      <c r="H492" s="10">
        <v>44608.576760613425</v>
      </c>
      <c r="I492" s="10">
        <v>44615.41726987268</v>
      </c>
      <c r="J492" s="8">
        <v>7.0</v>
      </c>
      <c r="K492" s="11">
        <v>2478279.47</v>
      </c>
      <c r="L492" s="8" t="str">
        <f>+VLOOKUP(A492,Hoja2!$A$2:$X$2596,19,FALSE)</f>
        <v>#N/A</v>
      </c>
      <c r="M492" s="9" t="str">
        <f>+VLOOKUP(A492,Hoja2!$A$2:$X$2596,15,FALSE)</f>
        <v>#N/A</v>
      </c>
      <c r="N492" s="9" t="str">
        <f>+VLOOKUP(A492,Hoja2!$A$2:$X$2596,17,FALSE)</f>
        <v>#N/A</v>
      </c>
      <c r="O492" s="9" t="str">
        <f>+VLOOKUP(A492,Hoja2!$A$2:$X$2596,22,FALSE)</f>
        <v>#N/A</v>
      </c>
      <c r="P492" s="9" t="str">
        <f>+VLOOKUP(A492,Hoja2!$A$2:$X$2596,23,FALSE)</f>
        <v>#N/A</v>
      </c>
      <c r="Q492" s="9" t="str">
        <f>+VLOOKUP(A492,Hoja2!$A$2:$X$2596,24,FALSE)</f>
        <v>#N/A</v>
      </c>
    </row>
    <row r="493" ht="15.75" hidden="1" customHeight="1">
      <c r="A493" s="8">
        <v>2477955.0</v>
      </c>
      <c r="B493" s="8">
        <v>2477955.0</v>
      </c>
      <c r="C493" s="9" t="s">
        <v>19</v>
      </c>
      <c r="D493" s="8">
        <v>3.0</v>
      </c>
      <c r="E493" s="8">
        <v>1.0</v>
      </c>
      <c r="F493" s="8">
        <v>0.0</v>
      </c>
      <c r="G493" s="9" t="s">
        <v>18</v>
      </c>
      <c r="H493" s="10">
        <v>44651.55239105324</v>
      </c>
      <c r="I493" s="10">
        <v>44726.3699090625</v>
      </c>
      <c r="J493" s="8">
        <v>75.0</v>
      </c>
      <c r="K493" s="11">
        <v>2478279.47</v>
      </c>
      <c r="L493" s="8" t="str">
        <f>+VLOOKUP(A493,Hoja2!$A$2:$X$2596,19,FALSE)</f>
        <v>#N/A</v>
      </c>
      <c r="M493" s="9" t="str">
        <f>+VLOOKUP(A493,Hoja2!$A$2:$X$2596,15,FALSE)</f>
        <v>#N/A</v>
      </c>
      <c r="N493" s="9" t="str">
        <f>+VLOOKUP(A493,Hoja2!$A$2:$X$2596,17,FALSE)</f>
        <v>#N/A</v>
      </c>
      <c r="O493" s="9" t="str">
        <f>+VLOOKUP(A493,Hoja2!$A$2:$X$2596,22,FALSE)</f>
        <v>#N/A</v>
      </c>
      <c r="P493" s="9" t="str">
        <f>+VLOOKUP(A493,Hoja2!$A$2:$X$2596,23,FALSE)</f>
        <v>#N/A</v>
      </c>
      <c r="Q493" s="9" t="str">
        <f>+VLOOKUP(A493,Hoja2!$A$2:$X$2596,24,FALSE)</f>
        <v>#N/A</v>
      </c>
    </row>
    <row r="494" ht="15.75" hidden="1" customHeight="1">
      <c r="A494" s="8">
        <v>2477955.0</v>
      </c>
      <c r="B494" s="8">
        <v>2477955.0</v>
      </c>
      <c r="C494" s="9" t="s">
        <v>17</v>
      </c>
      <c r="D494" s="8">
        <v>3.0</v>
      </c>
      <c r="E494" s="8">
        <v>0.0</v>
      </c>
      <c r="F494" s="8">
        <v>0.0</v>
      </c>
      <c r="G494" s="9" t="s">
        <v>21</v>
      </c>
      <c r="H494" s="10">
        <v>44886.42285771991</v>
      </c>
      <c r="I494" s="10">
        <v>44929.3999753125</v>
      </c>
      <c r="J494" s="8">
        <v>43.0</v>
      </c>
      <c r="K494" s="11">
        <v>2478279.47</v>
      </c>
      <c r="L494" s="8" t="str">
        <f>+VLOOKUP(A494,Hoja2!$A$2:$X$2596,19,FALSE)</f>
        <v>#N/A</v>
      </c>
      <c r="M494" s="9" t="str">
        <f>+VLOOKUP(A494,Hoja2!$A$2:$X$2596,15,FALSE)</f>
        <v>#N/A</v>
      </c>
      <c r="N494" s="9" t="str">
        <f>+VLOOKUP(A494,Hoja2!$A$2:$X$2596,17,FALSE)</f>
        <v>#N/A</v>
      </c>
      <c r="O494" s="9" t="str">
        <f>+VLOOKUP(A494,Hoja2!$A$2:$X$2596,22,FALSE)</f>
        <v>#N/A</v>
      </c>
      <c r="P494" s="9" t="str">
        <f>+VLOOKUP(A494,Hoja2!$A$2:$X$2596,23,FALSE)</f>
        <v>#N/A</v>
      </c>
      <c r="Q494" s="9" t="str">
        <f>+VLOOKUP(A494,Hoja2!$A$2:$X$2596,24,FALSE)</f>
        <v>#N/A</v>
      </c>
    </row>
    <row r="495" ht="15.75" hidden="1" customHeight="1">
      <c r="A495" s="8">
        <v>2477955.0</v>
      </c>
      <c r="B495" s="8">
        <v>2477955.0</v>
      </c>
      <c r="C495" s="9" t="s">
        <v>19</v>
      </c>
      <c r="D495" s="8">
        <v>2.0</v>
      </c>
      <c r="E495" s="8">
        <v>1.0</v>
      </c>
      <c r="F495" s="8">
        <v>0.0</v>
      </c>
      <c r="G495" s="9" t="s">
        <v>18</v>
      </c>
      <c r="H495" s="10">
        <v>45019.68174262731</v>
      </c>
      <c r="I495" s="10">
        <v>45063.407594525466</v>
      </c>
      <c r="J495" s="8">
        <v>44.0</v>
      </c>
      <c r="K495" s="11">
        <v>2478279.47</v>
      </c>
      <c r="L495" s="8" t="str">
        <f>+VLOOKUP(A495,Hoja2!$A$2:$X$2596,19,FALSE)</f>
        <v>#N/A</v>
      </c>
      <c r="M495" s="9" t="str">
        <f>+VLOOKUP(A495,Hoja2!$A$2:$X$2596,15,FALSE)</f>
        <v>#N/A</v>
      </c>
      <c r="N495" s="9" t="str">
        <f>+VLOOKUP(A495,Hoja2!$A$2:$X$2596,17,FALSE)</f>
        <v>#N/A</v>
      </c>
      <c r="O495" s="9" t="str">
        <f>+VLOOKUP(A495,Hoja2!$A$2:$X$2596,22,FALSE)</f>
        <v>#N/A</v>
      </c>
      <c r="P495" s="9" t="str">
        <f>+VLOOKUP(A495,Hoja2!$A$2:$X$2596,23,FALSE)</f>
        <v>#N/A</v>
      </c>
      <c r="Q495" s="9" t="str">
        <f>+VLOOKUP(A495,Hoja2!$A$2:$X$2596,24,FALSE)</f>
        <v>#N/A</v>
      </c>
    </row>
    <row r="496" ht="15.75" hidden="1" customHeight="1">
      <c r="A496" s="8">
        <v>2477955.0</v>
      </c>
      <c r="B496" s="8">
        <v>2477955.0</v>
      </c>
      <c r="C496" s="9" t="s">
        <v>19</v>
      </c>
      <c r="D496" s="8">
        <v>2.0</v>
      </c>
      <c r="E496" s="8">
        <v>1.0</v>
      </c>
      <c r="F496" s="8">
        <v>0.0</v>
      </c>
      <c r="G496" s="9" t="s">
        <v>18</v>
      </c>
      <c r="H496" s="10">
        <v>45223.67444918981</v>
      </c>
      <c r="I496" s="10">
        <v>45296.61057334491</v>
      </c>
      <c r="J496" s="8">
        <v>73.0</v>
      </c>
      <c r="K496" s="11">
        <v>2478279.47</v>
      </c>
      <c r="L496" s="8" t="str">
        <f>+VLOOKUP(A496,Hoja2!$A$2:$X$2596,19,FALSE)</f>
        <v>#N/A</v>
      </c>
      <c r="M496" s="9" t="str">
        <f>+VLOOKUP(A496,Hoja2!$A$2:$X$2596,15,FALSE)</f>
        <v>#N/A</v>
      </c>
      <c r="N496" s="9" t="str">
        <f>+VLOOKUP(A496,Hoja2!$A$2:$X$2596,17,FALSE)</f>
        <v>#N/A</v>
      </c>
      <c r="O496" s="9" t="str">
        <f>+VLOOKUP(A496,Hoja2!$A$2:$X$2596,22,FALSE)</f>
        <v>#N/A</v>
      </c>
      <c r="P496" s="9" t="str">
        <f>+VLOOKUP(A496,Hoja2!$A$2:$X$2596,23,FALSE)</f>
        <v>#N/A</v>
      </c>
      <c r="Q496" s="9" t="str">
        <f>+VLOOKUP(A496,Hoja2!$A$2:$X$2596,24,FALSE)</f>
        <v>#N/A</v>
      </c>
    </row>
    <row r="497" ht="15.75" hidden="1" customHeight="1">
      <c r="A497" s="8">
        <v>2478031.0</v>
      </c>
      <c r="B497" s="8">
        <v>2478031.0</v>
      </c>
      <c r="C497" s="9" t="s">
        <v>17</v>
      </c>
      <c r="D497" s="8">
        <v>2.0</v>
      </c>
      <c r="E497" s="8">
        <v>0.0</v>
      </c>
      <c r="F497" s="8">
        <v>0.0</v>
      </c>
      <c r="G497" s="9" t="s">
        <v>21</v>
      </c>
      <c r="H497" s="10">
        <v>44575.39884667824</v>
      </c>
      <c r="I497" s="10">
        <v>44575.704315358795</v>
      </c>
      <c r="J497" s="8">
        <v>0.0</v>
      </c>
      <c r="K497" s="11">
        <v>3793503.59</v>
      </c>
      <c r="L497" s="8" t="str">
        <f>+VLOOKUP(A497,Hoja2!$A$2:$X$2596,19,FALSE)</f>
        <v>#N/A</v>
      </c>
      <c r="M497" s="9" t="str">
        <f>+VLOOKUP(A497,Hoja2!$A$2:$X$2596,15,FALSE)</f>
        <v>#N/A</v>
      </c>
      <c r="N497" s="9" t="str">
        <f>+VLOOKUP(A497,Hoja2!$A$2:$X$2596,17,FALSE)</f>
        <v>#N/A</v>
      </c>
      <c r="O497" s="9" t="str">
        <f>+VLOOKUP(A497,Hoja2!$A$2:$X$2596,22,FALSE)</f>
        <v>#N/A</v>
      </c>
      <c r="P497" s="9" t="str">
        <f>+VLOOKUP(A497,Hoja2!$A$2:$X$2596,23,FALSE)</f>
        <v>#N/A</v>
      </c>
      <c r="Q497" s="9" t="str">
        <f>+VLOOKUP(A497,Hoja2!$A$2:$X$2596,24,FALSE)</f>
        <v>#N/A</v>
      </c>
    </row>
    <row r="498" ht="15.75" hidden="1" customHeight="1">
      <c r="A498" s="8">
        <v>2478031.0</v>
      </c>
      <c r="B498" s="8">
        <v>2478031.0</v>
      </c>
      <c r="C498" s="9" t="s">
        <v>17</v>
      </c>
      <c r="D498" s="8">
        <v>2.0</v>
      </c>
      <c r="E498" s="8">
        <v>0.0</v>
      </c>
      <c r="F498" s="8">
        <v>0.0</v>
      </c>
      <c r="G498" s="9" t="s">
        <v>21</v>
      </c>
      <c r="H498" s="10">
        <v>44615.739151041664</v>
      </c>
      <c r="I498" s="10">
        <v>44617.67526736111</v>
      </c>
      <c r="J498" s="8">
        <v>2.0</v>
      </c>
      <c r="K498" s="11">
        <v>3793503.59</v>
      </c>
      <c r="L498" s="8" t="str">
        <f>+VLOOKUP(A498,Hoja2!$A$2:$X$2596,19,FALSE)</f>
        <v>#N/A</v>
      </c>
      <c r="M498" s="9" t="str">
        <f>+VLOOKUP(A498,Hoja2!$A$2:$X$2596,15,FALSE)</f>
        <v>#N/A</v>
      </c>
      <c r="N498" s="9" t="str">
        <f>+VLOOKUP(A498,Hoja2!$A$2:$X$2596,17,FALSE)</f>
        <v>#N/A</v>
      </c>
      <c r="O498" s="9" t="str">
        <f>+VLOOKUP(A498,Hoja2!$A$2:$X$2596,22,FALSE)</f>
        <v>#N/A</v>
      </c>
      <c r="P498" s="9" t="str">
        <f>+VLOOKUP(A498,Hoja2!$A$2:$X$2596,23,FALSE)</f>
        <v>#N/A</v>
      </c>
      <c r="Q498" s="9" t="str">
        <f>+VLOOKUP(A498,Hoja2!$A$2:$X$2596,24,FALSE)</f>
        <v>#N/A</v>
      </c>
    </row>
    <row r="499" ht="15.75" hidden="1" customHeight="1">
      <c r="A499" s="8">
        <v>2478031.0</v>
      </c>
      <c r="B499" s="8">
        <v>2478031.0</v>
      </c>
      <c r="C499" s="9" t="s">
        <v>19</v>
      </c>
      <c r="D499" s="8">
        <v>3.0</v>
      </c>
      <c r="E499" s="8">
        <v>1.0</v>
      </c>
      <c r="F499" s="8">
        <v>0.0</v>
      </c>
      <c r="G499" s="9" t="s">
        <v>18</v>
      </c>
      <c r="H499" s="10">
        <v>44664.41973707176</v>
      </c>
      <c r="I499" s="10">
        <v>44734.72246230324</v>
      </c>
      <c r="J499" s="8">
        <v>70.0</v>
      </c>
      <c r="K499" s="11">
        <v>3793503.59</v>
      </c>
      <c r="L499" s="8" t="str">
        <f>+VLOOKUP(A499,Hoja2!$A$2:$X$2596,19,FALSE)</f>
        <v>#N/A</v>
      </c>
      <c r="M499" s="9" t="str">
        <f>+VLOOKUP(A499,Hoja2!$A$2:$X$2596,15,FALSE)</f>
        <v>#N/A</v>
      </c>
      <c r="N499" s="9" t="str">
        <f>+VLOOKUP(A499,Hoja2!$A$2:$X$2596,17,FALSE)</f>
        <v>#N/A</v>
      </c>
      <c r="O499" s="9" t="str">
        <f>+VLOOKUP(A499,Hoja2!$A$2:$X$2596,22,FALSE)</f>
        <v>#N/A</v>
      </c>
      <c r="P499" s="9" t="str">
        <f>+VLOOKUP(A499,Hoja2!$A$2:$X$2596,23,FALSE)</f>
        <v>#N/A</v>
      </c>
      <c r="Q499" s="9" t="str">
        <f>+VLOOKUP(A499,Hoja2!$A$2:$X$2596,24,FALSE)</f>
        <v>#N/A</v>
      </c>
    </row>
    <row r="500" ht="15.75" hidden="1" customHeight="1">
      <c r="A500" s="8">
        <v>2478031.0</v>
      </c>
      <c r="B500" s="8">
        <v>2478031.0</v>
      </c>
      <c r="C500" s="9" t="s">
        <v>17</v>
      </c>
      <c r="D500" s="8">
        <v>2.0</v>
      </c>
      <c r="E500" s="8">
        <v>0.0</v>
      </c>
      <c r="F500" s="8">
        <v>0.0</v>
      </c>
      <c r="G500" s="9" t="s">
        <v>21</v>
      </c>
      <c r="H500" s="10">
        <v>44921.623725081015</v>
      </c>
      <c r="I500" s="10">
        <v>44930.74746990741</v>
      </c>
      <c r="J500" s="8">
        <v>9.0</v>
      </c>
      <c r="K500" s="11">
        <v>3793503.59</v>
      </c>
      <c r="L500" s="8" t="str">
        <f>+VLOOKUP(A500,Hoja2!$A$2:$X$2596,19,FALSE)</f>
        <v>#N/A</v>
      </c>
      <c r="M500" s="9" t="str">
        <f>+VLOOKUP(A500,Hoja2!$A$2:$X$2596,15,FALSE)</f>
        <v>#N/A</v>
      </c>
      <c r="N500" s="9" t="str">
        <f>+VLOOKUP(A500,Hoja2!$A$2:$X$2596,17,FALSE)</f>
        <v>#N/A</v>
      </c>
      <c r="O500" s="9" t="str">
        <f>+VLOOKUP(A500,Hoja2!$A$2:$X$2596,22,FALSE)</f>
        <v>#N/A</v>
      </c>
      <c r="P500" s="9" t="str">
        <f>+VLOOKUP(A500,Hoja2!$A$2:$X$2596,23,FALSE)</f>
        <v>#N/A</v>
      </c>
      <c r="Q500" s="9" t="str">
        <f>+VLOOKUP(A500,Hoja2!$A$2:$X$2596,24,FALSE)</f>
        <v>#N/A</v>
      </c>
    </row>
    <row r="501" ht="15.75" hidden="1" customHeight="1">
      <c r="A501" s="8">
        <v>2479381.0</v>
      </c>
      <c r="B501" s="8">
        <v>2479381.0</v>
      </c>
      <c r="C501" s="9" t="s">
        <v>19</v>
      </c>
      <c r="D501" s="8">
        <v>2.0</v>
      </c>
      <c r="E501" s="8">
        <v>0.0</v>
      </c>
      <c r="F501" s="8">
        <v>0.0</v>
      </c>
      <c r="G501" s="9" t="s">
        <v>21</v>
      </c>
      <c r="H501" s="10">
        <v>44274.476203391205</v>
      </c>
      <c r="I501" s="10">
        <v>44284.5318806713</v>
      </c>
      <c r="J501" s="8">
        <v>10.0</v>
      </c>
      <c r="K501" s="11">
        <v>1.083518129E7</v>
      </c>
      <c r="L501" s="8" t="str">
        <f>+VLOOKUP(A501,Hoja2!$A$2:$X$2596,19,FALSE)</f>
        <v>#N/A</v>
      </c>
      <c r="M501" s="9" t="str">
        <f>+VLOOKUP(A501,Hoja2!$A$2:$X$2596,15,FALSE)</f>
        <v>#N/A</v>
      </c>
      <c r="N501" s="9" t="str">
        <f>+VLOOKUP(A501,Hoja2!$A$2:$X$2596,17,FALSE)</f>
        <v>#N/A</v>
      </c>
      <c r="O501" s="9" t="str">
        <f>+VLOOKUP(A501,Hoja2!$A$2:$X$2596,22,FALSE)</f>
        <v>#N/A</v>
      </c>
      <c r="P501" s="9" t="str">
        <f>+VLOOKUP(A501,Hoja2!$A$2:$X$2596,23,FALSE)</f>
        <v>#N/A</v>
      </c>
      <c r="Q501" s="9" t="str">
        <f>+VLOOKUP(A501,Hoja2!$A$2:$X$2596,24,FALSE)</f>
        <v>#N/A</v>
      </c>
    </row>
    <row r="502" ht="15.75" hidden="1" customHeight="1">
      <c r="A502" s="8">
        <v>2479632.0</v>
      </c>
      <c r="B502" s="8">
        <v>2479632.0</v>
      </c>
      <c r="C502" s="9" t="s">
        <v>19</v>
      </c>
      <c r="D502" s="8">
        <v>5.0</v>
      </c>
      <c r="E502" s="8">
        <v>0.0</v>
      </c>
      <c r="F502" s="8">
        <v>0.0</v>
      </c>
      <c r="G502" s="9" t="s">
        <v>21</v>
      </c>
      <c r="H502" s="10">
        <v>44651.847980011575</v>
      </c>
      <c r="I502" s="10">
        <v>44722.49054212963</v>
      </c>
      <c r="J502" s="8">
        <v>71.0</v>
      </c>
      <c r="K502" s="11">
        <v>1.298041429E7</v>
      </c>
      <c r="L502" s="8" t="str">
        <f>+VLOOKUP(A502,Hoja2!$A$2:$X$2596,19,FALSE)</f>
        <v>#N/A</v>
      </c>
      <c r="M502" s="9" t="str">
        <f>+VLOOKUP(A502,Hoja2!$A$2:$X$2596,15,FALSE)</f>
        <v>#N/A</v>
      </c>
      <c r="N502" s="9" t="str">
        <f>+VLOOKUP(A502,Hoja2!$A$2:$X$2596,17,FALSE)</f>
        <v>#N/A</v>
      </c>
      <c r="O502" s="9" t="str">
        <f>+VLOOKUP(A502,Hoja2!$A$2:$X$2596,22,FALSE)</f>
        <v>#N/A</v>
      </c>
      <c r="P502" s="9" t="str">
        <f>+VLOOKUP(A502,Hoja2!$A$2:$X$2596,23,FALSE)</f>
        <v>#N/A</v>
      </c>
      <c r="Q502" s="9" t="str">
        <f>+VLOOKUP(A502,Hoja2!$A$2:$X$2596,24,FALSE)</f>
        <v>#N/A</v>
      </c>
    </row>
    <row r="503" ht="15.75" hidden="1" customHeight="1">
      <c r="A503" s="8">
        <v>2480661.0</v>
      </c>
      <c r="B503" s="8">
        <v>2480661.0</v>
      </c>
      <c r="C503" s="9" t="s">
        <v>19</v>
      </c>
      <c r="D503" s="8">
        <v>3.0</v>
      </c>
      <c r="E503" s="8">
        <v>0.0</v>
      </c>
      <c r="F503" s="8">
        <v>0.0</v>
      </c>
      <c r="G503" s="9" t="s">
        <v>21</v>
      </c>
      <c r="H503" s="10">
        <v>44292.812282638886</v>
      </c>
      <c r="I503" s="10">
        <v>44308.48818460648</v>
      </c>
      <c r="J503" s="8">
        <v>16.0</v>
      </c>
      <c r="K503" s="11">
        <v>1.930551391E7</v>
      </c>
      <c r="L503" s="8" t="str">
        <f>+VLOOKUP(A503,Hoja2!$A$2:$X$2596,19,FALSE)</f>
        <v>#N/A</v>
      </c>
      <c r="M503" s="9" t="str">
        <f>+VLOOKUP(A503,Hoja2!$A$2:$X$2596,15,FALSE)</f>
        <v>#N/A</v>
      </c>
      <c r="N503" s="9" t="str">
        <f>+VLOOKUP(A503,Hoja2!$A$2:$X$2596,17,FALSE)</f>
        <v>#N/A</v>
      </c>
      <c r="O503" s="9" t="str">
        <f>+VLOOKUP(A503,Hoja2!$A$2:$X$2596,22,FALSE)</f>
        <v>#N/A</v>
      </c>
      <c r="P503" s="9" t="str">
        <f>+VLOOKUP(A503,Hoja2!$A$2:$X$2596,23,FALSE)</f>
        <v>#N/A</v>
      </c>
      <c r="Q503" s="9" t="str">
        <f>+VLOOKUP(A503,Hoja2!$A$2:$X$2596,24,FALSE)</f>
        <v>#N/A</v>
      </c>
    </row>
    <row r="504" ht="15.75" hidden="1" customHeight="1">
      <c r="A504" s="8">
        <v>2480661.0</v>
      </c>
      <c r="B504" s="8">
        <v>2480661.0</v>
      </c>
      <c r="C504" s="9" t="s">
        <v>17</v>
      </c>
      <c r="D504" s="8">
        <v>2.0</v>
      </c>
      <c r="E504" s="8">
        <v>0.0</v>
      </c>
      <c r="F504" s="8">
        <v>0.0</v>
      </c>
      <c r="G504" s="9" t="s">
        <v>21</v>
      </c>
      <c r="H504" s="10">
        <v>44375.84937577546</v>
      </c>
      <c r="I504" s="10">
        <v>44384.525771099536</v>
      </c>
      <c r="J504" s="8">
        <v>9.0</v>
      </c>
      <c r="K504" s="11">
        <v>1.930551391E7</v>
      </c>
      <c r="L504" s="8" t="str">
        <f>+VLOOKUP(A504,Hoja2!$A$2:$X$2596,19,FALSE)</f>
        <v>#N/A</v>
      </c>
      <c r="M504" s="9" t="str">
        <f>+VLOOKUP(A504,Hoja2!$A$2:$X$2596,15,FALSE)</f>
        <v>#N/A</v>
      </c>
      <c r="N504" s="9" t="str">
        <f>+VLOOKUP(A504,Hoja2!$A$2:$X$2596,17,FALSE)</f>
        <v>#N/A</v>
      </c>
      <c r="O504" s="9" t="str">
        <f>+VLOOKUP(A504,Hoja2!$A$2:$X$2596,22,FALSE)</f>
        <v>#N/A</v>
      </c>
      <c r="P504" s="9" t="str">
        <f>+VLOOKUP(A504,Hoja2!$A$2:$X$2596,23,FALSE)</f>
        <v>#N/A</v>
      </c>
      <c r="Q504" s="9" t="str">
        <f>+VLOOKUP(A504,Hoja2!$A$2:$X$2596,24,FALSE)</f>
        <v>#N/A</v>
      </c>
    </row>
    <row r="505" ht="15.75" hidden="1" customHeight="1">
      <c r="A505" s="8">
        <v>2480661.0</v>
      </c>
      <c r="B505" s="8">
        <v>2480661.0</v>
      </c>
      <c r="C505" s="9" t="s">
        <v>19</v>
      </c>
      <c r="D505" s="8">
        <v>8.0</v>
      </c>
      <c r="E505" s="8">
        <v>3.0</v>
      </c>
      <c r="F505" s="8">
        <v>0.0</v>
      </c>
      <c r="G505" s="9" t="s">
        <v>18</v>
      </c>
      <c r="H505" s="10">
        <v>44425.56820810185</v>
      </c>
      <c r="I505" s="10">
        <v>44579.472073993056</v>
      </c>
      <c r="J505" s="8">
        <v>154.0</v>
      </c>
      <c r="K505" s="11">
        <v>1.930551391E7</v>
      </c>
      <c r="L505" s="8" t="str">
        <f>+VLOOKUP(A505,Hoja2!$A$2:$X$2596,19,FALSE)</f>
        <v>#N/A</v>
      </c>
      <c r="M505" s="9" t="str">
        <f>+VLOOKUP(A505,Hoja2!$A$2:$X$2596,15,FALSE)</f>
        <v>#N/A</v>
      </c>
      <c r="N505" s="9" t="str">
        <f>+VLOOKUP(A505,Hoja2!$A$2:$X$2596,17,FALSE)</f>
        <v>#N/A</v>
      </c>
      <c r="O505" s="9" t="str">
        <f>+VLOOKUP(A505,Hoja2!$A$2:$X$2596,22,FALSE)</f>
        <v>#N/A</v>
      </c>
      <c r="P505" s="9" t="str">
        <f>+VLOOKUP(A505,Hoja2!$A$2:$X$2596,23,FALSE)</f>
        <v>#N/A</v>
      </c>
      <c r="Q505" s="9" t="str">
        <f>+VLOOKUP(A505,Hoja2!$A$2:$X$2596,24,FALSE)</f>
        <v>#N/A</v>
      </c>
    </row>
    <row r="506" ht="15.75" hidden="1" customHeight="1">
      <c r="A506" s="8">
        <v>2480661.0</v>
      </c>
      <c r="B506" s="8">
        <v>2480661.0</v>
      </c>
      <c r="C506" s="9" t="s">
        <v>19</v>
      </c>
      <c r="D506" s="8">
        <v>6.0</v>
      </c>
      <c r="E506" s="8">
        <v>0.0</v>
      </c>
      <c r="F506" s="8">
        <v>0.0</v>
      </c>
      <c r="G506" s="9" t="s">
        <v>21</v>
      </c>
      <c r="H506" s="10">
        <v>44634.34264232639</v>
      </c>
      <c r="I506" s="10">
        <v>44704.40690833333</v>
      </c>
      <c r="J506" s="8">
        <v>70.0</v>
      </c>
      <c r="K506" s="11">
        <v>1.930551391E7</v>
      </c>
      <c r="L506" s="8" t="str">
        <f>+VLOOKUP(A506,Hoja2!$A$2:$X$2596,19,FALSE)</f>
        <v>#N/A</v>
      </c>
      <c r="M506" s="9" t="str">
        <f>+VLOOKUP(A506,Hoja2!$A$2:$X$2596,15,FALSE)</f>
        <v>#N/A</v>
      </c>
      <c r="N506" s="9" t="str">
        <f>+VLOOKUP(A506,Hoja2!$A$2:$X$2596,17,FALSE)</f>
        <v>#N/A</v>
      </c>
      <c r="O506" s="9" t="str">
        <f>+VLOOKUP(A506,Hoja2!$A$2:$X$2596,22,FALSE)</f>
        <v>#N/A</v>
      </c>
      <c r="P506" s="9" t="str">
        <f>+VLOOKUP(A506,Hoja2!$A$2:$X$2596,23,FALSE)</f>
        <v>#N/A</v>
      </c>
      <c r="Q506" s="9" t="str">
        <f>+VLOOKUP(A506,Hoja2!$A$2:$X$2596,24,FALSE)</f>
        <v>#N/A</v>
      </c>
    </row>
    <row r="507" ht="15.75" hidden="1" customHeight="1">
      <c r="A507" s="8">
        <v>2480661.0</v>
      </c>
      <c r="B507" s="8">
        <v>2480661.0</v>
      </c>
      <c r="C507" s="9" t="s">
        <v>19</v>
      </c>
      <c r="D507" s="8">
        <v>5.0</v>
      </c>
      <c r="E507" s="8">
        <v>1.0</v>
      </c>
      <c r="F507" s="8">
        <v>0.0</v>
      </c>
      <c r="G507" s="9" t="s">
        <v>18</v>
      </c>
      <c r="H507" s="10">
        <v>44776.451986921296</v>
      </c>
      <c r="I507" s="10">
        <v>44871.88083657408</v>
      </c>
      <c r="J507" s="8">
        <v>95.0</v>
      </c>
      <c r="K507" s="11">
        <v>1.930551391E7</v>
      </c>
      <c r="L507" s="8" t="str">
        <f>+VLOOKUP(A507,Hoja2!$A$2:$X$2596,19,FALSE)</f>
        <v>#N/A</v>
      </c>
      <c r="M507" s="9" t="str">
        <f>+VLOOKUP(A507,Hoja2!$A$2:$X$2596,15,FALSE)</f>
        <v>#N/A</v>
      </c>
      <c r="N507" s="9" t="str">
        <f>+VLOOKUP(A507,Hoja2!$A$2:$X$2596,17,FALSE)</f>
        <v>#N/A</v>
      </c>
      <c r="O507" s="9" t="str">
        <f>+VLOOKUP(A507,Hoja2!$A$2:$X$2596,22,FALSE)</f>
        <v>#N/A</v>
      </c>
      <c r="P507" s="9" t="str">
        <f>+VLOOKUP(A507,Hoja2!$A$2:$X$2596,23,FALSE)</f>
        <v>#N/A</v>
      </c>
      <c r="Q507" s="9" t="str">
        <f>+VLOOKUP(A507,Hoja2!$A$2:$X$2596,24,FALSE)</f>
        <v>#N/A</v>
      </c>
    </row>
    <row r="508" ht="15.75" hidden="1" customHeight="1">
      <c r="A508" s="8">
        <v>2480661.0</v>
      </c>
      <c r="B508" s="8">
        <v>2480661.0</v>
      </c>
      <c r="C508" s="9" t="s">
        <v>17</v>
      </c>
      <c r="D508" s="8">
        <v>5.0</v>
      </c>
      <c r="E508" s="8">
        <v>0.0</v>
      </c>
      <c r="F508" s="8">
        <v>0.0</v>
      </c>
      <c r="G508" s="9" t="s">
        <v>21</v>
      </c>
      <c r="H508" s="10">
        <v>44960.9912121875</v>
      </c>
      <c r="I508" s="10">
        <v>45007.72644684028</v>
      </c>
      <c r="J508" s="8">
        <v>47.0</v>
      </c>
      <c r="K508" s="11">
        <v>1.930551391E7</v>
      </c>
      <c r="L508" s="8" t="str">
        <f>+VLOOKUP(A508,Hoja2!$A$2:$X$2596,19,FALSE)</f>
        <v>#N/A</v>
      </c>
      <c r="M508" s="9" t="str">
        <f>+VLOOKUP(A508,Hoja2!$A$2:$X$2596,15,FALSE)</f>
        <v>#N/A</v>
      </c>
      <c r="N508" s="9" t="str">
        <f>+VLOOKUP(A508,Hoja2!$A$2:$X$2596,17,FALSE)</f>
        <v>#N/A</v>
      </c>
      <c r="O508" s="9" t="str">
        <f>+VLOOKUP(A508,Hoja2!$A$2:$X$2596,22,FALSE)</f>
        <v>#N/A</v>
      </c>
      <c r="P508" s="9" t="str">
        <f>+VLOOKUP(A508,Hoja2!$A$2:$X$2596,23,FALSE)</f>
        <v>#N/A</v>
      </c>
      <c r="Q508" s="9" t="str">
        <f>+VLOOKUP(A508,Hoja2!$A$2:$X$2596,24,FALSE)</f>
        <v>#N/A</v>
      </c>
    </row>
    <row r="509" ht="15.75" hidden="1" customHeight="1">
      <c r="A509" s="8">
        <v>2480661.0</v>
      </c>
      <c r="B509" s="8">
        <v>2480661.0</v>
      </c>
      <c r="C509" s="9" t="s">
        <v>17</v>
      </c>
      <c r="D509" s="8">
        <v>4.0</v>
      </c>
      <c r="E509" s="8">
        <v>0.0</v>
      </c>
      <c r="F509" s="8">
        <v>0.0</v>
      </c>
      <c r="G509" s="9" t="s">
        <v>21</v>
      </c>
      <c r="H509" s="10">
        <v>45148.87619737269</v>
      </c>
      <c r="I509" s="10">
        <v>45205.46979811342</v>
      </c>
      <c r="J509" s="8">
        <v>57.0</v>
      </c>
      <c r="K509" s="11">
        <v>1.930551391E7</v>
      </c>
      <c r="L509" s="8" t="str">
        <f>+VLOOKUP(A509,Hoja2!$A$2:$X$2596,19,FALSE)</f>
        <v>#N/A</v>
      </c>
      <c r="M509" s="9" t="str">
        <f>+VLOOKUP(A509,Hoja2!$A$2:$X$2596,15,FALSE)</f>
        <v>#N/A</v>
      </c>
      <c r="N509" s="9" t="str">
        <f>+VLOOKUP(A509,Hoja2!$A$2:$X$2596,17,FALSE)</f>
        <v>#N/A</v>
      </c>
      <c r="O509" s="9" t="str">
        <f>+VLOOKUP(A509,Hoja2!$A$2:$X$2596,22,FALSE)</f>
        <v>#N/A</v>
      </c>
      <c r="P509" s="9" t="str">
        <f>+VLOOKUP(A509,Hoja2!$A$2:$X$2596,23,FALSE)</f>
        <v>#N/A</v>
      </c>
      <c r="Q509" s="9" t="str">
        <f>+VLOOKUP(A509,Hoja2!$A$2:$X$2596,24,FALSE)</f>
        <v>#N/A</v>
      </c>
    </row>
    <row r="510" ht="15.75" hidden="1" customHeight="1">
      <c r="A510" s="8">
        <v>2480661.0</v>
      </c>
      <c r="B510" s="8">
        <v>2480661.0</v>
      </c>
      <c r="C510" s="9" t="s">
        <v>19</v>
      </c>
      <c r="D510" s="8">
        <v>1.0</v>
      </c>
      <c r="E510" s="8">
        <v>1.0</v>
      </c>
      <c r="F510" s="8">
        <v>0.0</v>
      </c>
      <c r="G510" s="9" t="s">
        <v>18</v>
      </c>
      <c r="H510" s="10">
        <v>45257.85958318287</v>
      </c>
      <c r="I510" s="10">
        <v>45313.71668568287</v>
      </c>
      <c r="J510" s="8">
        <v>56.0</v>
      </c>
      <c r="K510" s="11">
        <v>1.930551391E7</v>
      </c>
      <c r="L510" s="8" t="str">
        <f>+VLOOKUP(A510,Hoja2!$A$2:$X$2596,19,FALSE)</f>
        <v>#N/A</v>
      </c>
      <c r="M510" s="9" t="str">
        <f>+VLOOKUP(A510,Hoja2!$A$2:$X$2596,15,FALSE)</f>
        <v>#N/A</v>
      </c>
      <c r="N510" s="9" t="str">
        <f>+VLOOKUP(A510,Hoja2!$A$2:$X$2596,17,FALSE)</f>
        <v>#N/A</v>
      </c>
      <c r="O510" s="9" t="str">
        <f>+VLOOKUP(A510,Hoja2!$A$2:$X$2596,22,FALSE)</f>
        <v>#N/A</v>
      </c>
      <c r="P510" s="9" t="str">
        <f>+VLOOKUP(A510,Hoja2!$A$2:$X$2596,23,FALSE)</f>
        <v>#N/A</v>
      </c>
      <c r="Q510" s="9" t="str">
        <f>+VLOOKUP(A510,Hoja2!$A$2:$X$2596,24,FALSE)</f>
        <v>#N/A</v>
      </c>
    </row>
    <row r="511" ht="15.75" hidden="1" customHeight="1">
      <c r="A511" s="8">
        <v>2480661.0</v>
      </c>
      <c r="B511" s="8">
        <v>2480661.0</v>
      </c>
      <c r="C511" s="9" t="s">
        <v>19</v>
      </c>
      <c r="D511" s="8">
        <v>2.0</v>
      </c>
      <c r="E511" s="8">
        <v>2.0</v>
      </c>
      <c r="F511" s="8">
        <v>0.0</v>
      </c>
      <c r="G511" s="9" t="s">
        <v>18</v>
      </c>
      <c r="H511" s="10">
        <v>45628.50599340278</v>
      </c>
      <c r="I511" s="10">
        <v>45707.37538090278</v>
      </c>
      <c r="J511" s="8">
        <v>79.0</v>
      </c>
      <c r="K511" s="11">
        <v>1.930551391E7</v>
      </c>
      <c r="L511" s="8" t="str">
        <f>+VLOOKUP(A511,Hoja2!$A$2:$X$2596,19,FALSE)</f>
        <v>#N/A</v>
      </c>
      <c r="M511" s="9" t="str">
        <f>+VLOOKUP(A511,Hoja2!$A$2:$X$2596,15,FALSE)</f>
        <v>#N/A</v>
      </c>
      <c r="N511" s="9" t="str">
        <f>+VLOOKUP(A511,Hoja2!$A$2:$X$2596,17,FALSE)</f>
        <v>#N/A</v>
      </c>
      <c r="O511" s="9" t="str">
        <f>+VLOOKUP(A511,Hoja2!$A$2:$X$2596,22,FALSE)</f>
        <v>#N/A</v>
      </c>
      <c r="P511" s="9" t="str">
        <f>+VLOOKUP(A511,Hoja2!$A$2:$X$2596,23,FALSE)</f>
        <v>#N/A</v>
      </c>
      <c r="Q511" s="9" t="str">
        <f>+VLOOKUP(A511,Hoja2!$A$2:$X$2596,24,FALSE)</f>
        <v>#N/A</v>
      </c>
    </row>
    <row r="512" ht="15.75" hidden="1" customHeight="1">
      <c r="A512" s="8">
        <v>2481618.0</v>
      </c>
      <c r="B512" s="8">
        <v>2481618.0</v>
      </c>
      <c r="C512" s="9" t="s">
        <v>19</v>
      </c>
      <c r="D512" s="8">
        <v>3.0</v>
      </c>
      <c r="E512" s="8">
        <v>0.0</v>
      </c>
      <c r="F512" s="8">
        <v>0.0</v>
      </c>
      <c r="G512" s="9" t="s">
        <v>21</v>
      </c>
      <c r="H512" s="10">
        <v>45495.422727233796</v>
      </c>
      <c r="I512" s="10">
        <v>45707.52566813657</v>
      </c>
      <c r="J512" s="8">
        <v>212.0</v>
      </c>
      <c r="K512" s="11">
        <v>8195384.67</v>
      </c>
      <c r="L512" s="8" t="str">
        <f>+VLOOKUP(A512,Hoja2!$A$2:$X$2596,19,FALSE)</f>
        <v>#N/A</v>
      </c>
      <c r="M512" s="9" t="str">
        <f>+VLOOKUP(A512,Hoja2!$A$2:$X$2596,15,FALSE)</f>
        <v>#N/A</v>
      </c>
      <c r="N512" s="9" t="str">
        <f>+VLOOKUP(A512,Hoja2!$A$2:$X$2596,17,FALSE)</f>
        <v>#N/A</v>
      </c>
      <c r="O512" s="9" t="str">
        <f>+VLOOKUP(A512,Hoja2!$A$2:$X$2596,22,FALSE)</f>
        <v>#N/A</v>
      </c>
      <c r="P512" s="9" t="str">
        <f>+VLOOKUP(A512,Hoja2!$A$2:$X$2596,23,FALSE)</f>
        <v>#N/A</v>
      </c>
      <c r="Q512" s="9" t="str">
        <f>+VLOOKUP(A512,Hoja2!$A$2:$X$2596,24,FALSE)</f>
        <v>#N/A</v>
      </c>
    </row>
    <row r="513" ht="15.75" hidden="1" customHeight="1">
      <c r="A513" s="8">
        <v>2482536.0</v>
      </c>
      <c r="B513" s="8">
        <v>2482536.0</v>
      </c>
      <c r="C513" s="9" t="s">
        <v>19</v>
      </c>
      <c r="D513" s="8">
        <v>3.0</v>
      </c>
      <c r="E513" s="8">
        <v>0.0</v>
      </c>
      <c r="F513" s="8">
        <v>0.0</v>
      </c>
      <c r="G513" s="9" t="s">
        <v>21</v>
      </c>
      <c r="H513" s="10">
        <v>44278.800008680555</v>
      </c>
      <c r="I513" s="10">
        <v>44376.48142751157</v>
      </c>
      <c r="J513" s="8">
        <v>98.0</v>
      </c>
      <c r="K513" s="11">
        <v>9925890.48</v>
      </c>
      <c r="L513" s="8" t="str">
        <f>+VLOOKUP(A513,Hoja2!$A$2:$X$2596,19,FALSE)</f>
        <v>Concluido</v>
      </c>
      <c r="M513" s="9">
        <f>+VLOOKUP(A513,Hoja2!$A$2:$X$2596,15,FALSE)</f>
        <v>9744105.52</v>
      </c>
      <c r="N513" s="9">
        <f>+VLOOKUP(A513,Hoja2!$A$2:$X$2596,17,FALSE)</f>
        <v>696945</v>
      </c>
      <c r="O513" s="9" t="str">
        <f>+VLOOKUP(A513,Hoja2!$A$2:$X$2596,22,FALSE)</f>
        <v/>
      </c>
      <c r="P513" s="9" t="str">
        <f>+VLOOKUP(A513,Hoja2!$A$2:$X$2596,23,FALSE)</f>
        <v/>
      </c>
      <c r="Q513" s="9" t="str">
        <f>+VLOOKUP(A513,Hoja2!$A$2:$X$2596,24,FALSE)</f>
        <v/>
      </c>
    </row>
    <row r="514" ht="15.75" hidden="1" customHeight="1">
      <c r="A514" s="8">
        <v>2482536.0</v>
      </c>
      <c r="B514" s="8">
        <v>2482536.0</v>
      </c>
      <c r="C514" s="9" t="s">
        <v>19</v>
      </c>
      <c r="D514" s="8">
        <v>3.0</v>
      </c>
      <c r="E514" s="8">
        <v>5.0</v>
      </c>
      <c r="F514" s="8">
        <v>0.0</v>
      </c>
      <c r="G514" s="9" t="s">
        <v>18</v>
      </c>
      <c r="H514" s="10">
        <v>44581.10657369213</v>
      </c>
      <c r="I514" s="10">
        <v>44731.9413440162</v>
      </c>
      <c r="J514" s="8">
        <v>150.0</v>
      </c>
      <c r="K514" s="11">
        <v>9925890.48</v>
      </c>
      <c r="L514" s="8" t="str">
        <f>+VLOOKUP(A514,Hoja2!$A$2:$X$2596,19,FALSE)</f>
        <v>Concluido</v>
      </c>
      <c r="M514" s="9">
        <f>+VLOOKUP(A514,Hoja2!$A$2:$X$2596,15,FALSE)</f>
        <v>9744105.52</v>
      </c>
      <c r="N514" s="9">
        <f>+VLOOKUP(A514,Hoja2!$A$2:$X$2596,17,FALSE)</f>
        <v>696945</v>
      </c>
      <c r="O514" s="9" t="str">
        <f>+VLOOKUP(A514,Hoja2!$A$2:$X$2596,22,FALSE)</f>
        <v/>
      </c>
      <c r="P514" s="9" t="str">
        <f>+VLOOKUP(A514,Hoja2!$A$2:$X$2596,23,FALSE)</f>
        <v/>
      </c>
      <c r="Q514" s="9" t="str">
        <f>+VLOOKUP(A514,Hoja2!$A$2:$X$2596,24,FALSE)</f>
        <v/>
      </c>
    </row>
    <row r="515" ht="15.75" customHeight="1">
      <c r="A515" s="8">
        <v>2482536.0</v>
      </c>
      <c r="B515" s="8">
        <v>2482536.0</v>
      </c>
      <c r="C515" s="9" t="s">
        <v>20</v>
      </c>
      <c r="D515" s="8">
        <v>1.0</v>
      </c>
      <c r="E515" s="8">
        <v>8.0</v>
      </c>
      <c r="F515" s="8">
        <v>0.0</v>
      </c>
      <c r="G515" s="9" t="s">
        <v>18</v>
      </c>
      <c r="H515" s="10">
        <v>44733.76521130787</v>
      </c>
      <c r="I515" s="10">
        <v>44747.964658530094</v>
      </c>
      <c r="J515" s="8">
        <v>14.0</v>
      </c>
      <c r="K515" s="11">
        <v>9925890.48</v>
      </c>
      <c r="L515" s="8" t="str">
        <f>+VLOOKUP(A515,Hoja2!$A$2:$X$2596,19,FALSE)</f>
        <v>Concluido</v>
      </c>
      <c r="M515" s="9">
        <f>+VLOOKUP(A515,Hoja2!$A$2:$X$2596,15,FALSE)</f>
        <v>9744105.52</v>
      </c>
      <c r="N515" s="9">
        <f>+VLOOKUP(A515,Hoja2!$A$2:$X$2596,17,FALSE)</f>
        <v>696945</v>
      </c>
      <c r="O515" s="9" t="str">
        <f>+VLOOKUP(A515,Hoja2!$A$2:$X$2596,22,FALSE)</f>
        <v/>
      </c>
      <c r="P515" s="9" t="str">
        <f>+VLOOKUP(A515,Hoja2!$A$2:$X$2596,23,FALSE)</f>
        <v/>
      </c>
      <c r="Q515" s="9" t="str">
        <f>+VLOOKUP(A515,Hoja2!$A$2:$X$2596,24,FALSE)</f>
        <v/>
      </c>
    </row>
    <row r="516" ht="15.75" hidden="1" customHeight="1">
      <c r="A516" s="8">
        <v>2483010.0</v>
      </c>
      <c r="B516" s="8">
        <v>2483010.0</v>
      </c>
      <c r="C516" s="9" t="s">
        <v>19</v>
      </c>
      <c r="D516" s="8">
        <v>4.0</v>
      </c>
      <c r="E516" s="8">
        <v>0.0</v>
      </c>
      <c r="F516" s="8">
        <v>0.0</v>
      </c>
      <c r="G516" s="9" t="s">
        <v>21</v>
      </c>
      <c r="H516" s="10">
        <v>44279.764813229165</v>
      </c>
      <c r="I516" s="10">
        <v>44363.626938043984</v>
      </c>
      <c r="J516" s="8">
        <v>84.0</v>
      </c>
      <c r="K516" s="11">
        <v>4.656459381E7</v>
      </c>
      <c r="L516" s="8" t="str">
        <f>+VLOOKUP(A516,Hoja2!$A$2:$X$2596,19,FALSE)</f>
        <v>En Ejecución</v>
      </c>
      <c r="M516" s="9">
        <f>+VLOOKUP(A516,Hoja2!$A$2:$X$2596,15,FALSE)</f>
        <v>47000000</v>
      </c>
      <c r="N516" s="9">
        <f>+VLOOKUP(A516,Hoja2!$A$2:$X$2596,17,FALSE)</f>
        <v>2015493.41</v>
      </c>
      <c r="O516" s="9" t="str">
        <f>+VLOOKUP(A516,Hoja2!$A$2:$X$2596,22,FALSE)</f>
        <v/>
      </c>
      <c r="P516" s="9" t="str">
        <f>+VLOOKUP(A516,Hoja2!$A$2:$X$2596,23,FALSE)</f>
        <v/>
      </c>
      <c r="Q516" s="9" t="str">
        <f>+VLOOKUP(A516,Hoja2!$A$2:$X$2596,24,FALSE)</f>
        <v/>
      </c>
    </row>
    <row r="517" ht="15.75" hidden="1" customHeight="1">
      <c r="A517" s="8">
        <v>2483010.0</v>
      </c>
      <c r="B517" s="8">
        <v>2483010.0</v>
      </c>
      <c r="C517" s="9" t="s">
        <v>19</v>
      </c>
      <c r="D517" s="8">
        <v>2.0</v>
      </c>
      <c r="E517" s="8">
        <v>3.0</v>
      </c>
      <c r="F517" s="8">
        <v>0.0</v>
      </c>
      <c r="G517" s="9" t="s">
        <v>18</v>
      </c>
      <c r="H517" s="10">
        <v>44456.55201917824</v>
      </c>
      <c r="I517" s="10">
        <v>44602.59228603009</v>
      </c>
      <c r="J517" s="8">
        <v>146.0</v>
      </c>
      <c r="K517" s="11">
        <v>4.656459381E7</v>
      </c>
      <c r="L517" s="8" t="str">
        <f>+VLOOKUP(A517,Hoja2!$A$2:$X$2596,19,FALSE)</f>
        <v>En Ejecución</v>
      </c>
      <c r="M517" s="9">
        <f>+VLOOKUP(A517,Hoja2!$A$2:$X$2596,15,FALSE)</f>
        <v>47000000</v>
      </c>
      <c r="N517" s="9">
        <f>+VLOOKUP(A517,Hoja2!$A$2:$X$2596,17,FALSE)</f>
        <v>2015493.41</v>
      </c>
      <c r="O517" s="9" t="str">
        <f>+VLOOKUP(A517,Hoja2!$A$2:$X$2596,22,FALSE)</f>
        <v/>
      </c>
      <c r="P517" s="9" t="str">
        <f>+VLOOKUP(A517,Hoja2!$A$2:$X$2596,23,FALSE)</f>
        <v/>
      </c>
      <c r="Q517" s="9" t="str">
        <f>+VLOOKUP(A517,Hoja2!$A$2:$X$2596,24,FALSE)</f>
        <v/>
      </c>
    </row>
    <row r="518" ht="15.75" customHeight="1">
      <c r="A518" s="8">
        <v>2483010.0</v>
      </c>
      <c r="B518" s="8">
        <v>2483010.0</v>
      </c>
      <c r="C518" s="9" t="s">
        <v>20</v>
      </c>
      <c r="D518" s="8">
        <v>1.0</v>
      </c>
      <c r="E518" s="8">
        <v>3.0</v>
      </c>
      <c r="F518" s="8">
        <v>0.0</v>
      </c>
      <c r="G518" s="9" t="s">
        <v>18</v>
      </c>
      <c r="H518" s="10">
        <v>44628.74494189815</v>
      </c>
      <c r="I518" s="10">
        <v>44671.78355231482</v>
      </c>
      <c r="J518" s="8">
        <v>43.0</v>
      </c>
      <c r="K518" s="11">
        <v>4.656459381E7</v>
      </c>
      <c r="L518" s="8" t="str">
        <f>+VLOOKUP(A518,Hoja2!$A$2:$X$2596,19,FALSE)</f>
        <v>En Ejecución</v>
      </c>
      <c r="M518" s="9">
        <f>+VLOOKUP(A518,Hoja2!$A$2:$X$2596,15,FALSE)</f>
        <v>47000000</v>
      </c>
      <c r="N518" s="9">
        <f>+VLOOKUP(A518,Hoja2!$A$2:$X$2596,17,FALSE)</f>
        <v>2015493.41</v>
      </c>
      <c r="O518" s="9" t="str">
        <f>+VLOOKUP(A518,Hoja2!$A$2:$X$2596,22,FALSE)</f>
        <v/>
      </c>
      <c r="P518" s="9" t="str">
        <f>+VLOOKUP(A518,Hoja2!$A$2:$X$2596,23,FALSE)</f>
        <v/>
      </c>
      <c r="Q518" s="9" t="str">
        <f>+VLOOKUP(A518,Hoja2!$A$2:$X$2596,24,FALSE)</f>
        <v/>
      </c>
    </row>
    <row r="519" ht="15.75" hidden="1" customHeight="1">
      <c r="A519" s="8">
        <v>2483597.0</v>
      </c>
      <c r="B519" s="8">
        <v>2483597.0</v>
      </c>
      <c r="C519" s="9" t="s">
        <v>17</v>
      </c>
      <c r="D519" s="8">
        <v>2.0</v>
      </c>
      <c r="E519" s="8">
        <v>0.0</v>
      </c>
      <c r="F519" s="8">
        <v>0.0</v>
      </c>
      <c r="G519" s="9" t="s">
        <v>21</v>
      </c>
      <c r="H519" s="10">
        <v>44321.880779513885</v>
      </c>
      <c r="I519" s="10">
        <v>44335.40257028935</v>
      </c>
      <c r="J519" s="8">
        <v>14.0</v>
      </c>
      <c r="K519" s="11">
        <v>1.0676521221E8</v>
      </c>
      <c r="L519" s="8" t="str">
        <f>+VLOOKUP(A519,Hoja2!$A$2:$X$2596,19,FALSE)</f>
        <v>#N/A</v>
      </c>
      <c r="M519" s="9" t="str">
        <f>+VLOOKUP(A519,Hoja2!$A$2:$X$2596,15,FALSE)</f>
        <v>#N/A</v>
      </c>
      <c r="N519" s="9" t="str">
        <f>+VLOOKUP(A519,Hoja2!$A$2:$X$2596,17,FALSE)</f>
        <v>#N/A</v>
      </c>
      <c r="O519" s="9" t="str">
        <f>+VLOOKUP(A519,Hoja2!$A$2:$X$2596,22,FALSE)</f>
        <v>#N/A</v>
      </c>
      <c r="P519" s="9" t="str">
        <f>+VLOOKUP(A519,Hoja2!$A$2:$X$2596,23,FALSE)</f>
        <v>#N/A</v>
      </c>
      <c r="Q519" s="9" t="str">
        <f>+VLOOKUP(A519,Hoja2!$A$2:$X$2596,24,FALSE)</f>
        <v>#N/A</v>
      </c>
    </row>
    <row r="520" ht="15.75" hidden="1" customHeight="1">
      <c r="A520" s="8">
        <v>2483597.0</v>
      </c>
      <c r="B520" s="8">
        <v>2483597.0</v>
      </c>
      <c r="C520" s="9" t="s">
        <v>19</v>
      </c>
      <c r="D520" s="8">
        <v>6.0</v>
      </c>
      <c r="E520" s="8">
        <v>2.0</v>
      </c>
      <c r="F520" s="8">
        <v>0.0</v>
      </c>
      <c r="G520" s="9" t="s">
        <v>18</v>
      </c>
      <c r="H520" s="10">
        <v>44393.75721319445</v>
      </c>
      <c r="I520" s="10">
        <v>44551.709054479164</v>
      </c>
      <c r="J520" s="8">
        <v>158.0</v>
      </c>
      <c r="K520" s="11">
        <v>1.0676521221E8</v>
      </c>
      <c r="L520" s="8" t="str">
        <f>+VLOOKUP(A520,Hoja2!$A$2:$X$2596,19,FALSE)</f>
        <v>#N/A</v>
      </c>
      <c r="M520" s="9" t="str">
        <f>+VLOOKUP(A520,Hoja2!$A$2:$X$2596,15,FALSE)</f>
        <v>#N/A</v>
      </c>
      <c r="N520" s="9" t="str">
        <f>+VLOOKUP(A520,Hoja2!$A$2:$X$2596,17,FALSE)</f>
        <v>#N/A</v>
      </c>
      <c r="O520" s="9" t="str">
        <f>+VLOOKUP(A520,Hoja2!$A$2:$X$2596,22,FALSE)</f>
        <v>#N/A</v>
      </c>
      <c r="P520" s="9" t="str">
        <f>+VLOOKUP(A520,Hoja2!$A$2:$X$2596,23,FALSE)</f>
        <v>#N/A</v>
      </c>
      <c r="Q520" s="9" t="str">
        <f>+VLOOKUP(A520,Hoja2!$A$2:$X$2596,24,FALSE)</f>
        <v>#N/A</v>
      </c>
    </row>
    <row r="521" ht="15.75" hidden="1" customHeight="1">
      <c r="A521" s="8">
        <v>2483597.0</v>
      </c>
      <c r="B521" s="8">
        <v>2483597.0</v>
      </c>
      <c r="C521" s="9" t="s">
        <v>17</v>
      </c>
      <c r="D521" s="8">
        <v>4.0</v>
      </c>
      <c r="E521" s="8">
        <v>0.0</v>
      </c>
      <c r="F521" s="8">
        <v>0.0</v>
      </c>
      <c r="G521" s="9" t="s">
        <v>21</v>
      </c>
      <c r="H521" s="10">
        <v>44639.81809247685</v>
      </c>
      <c r="I521" s="10">
        <v>44671.51447488426</v>
      </c>
      <c r="J521" s="8">
        <v>32.0</v>
      </c>
      <c r="K521" s="11">
        <v>1.0676521221E8</v>
      </c>
      <c r="L521" s="8" t="str">
        <f>+VLOOKUP(A521,Hoja2!$A$2:$X$2596,19,FALSE)</f>
        <v>#N/A</v>
      </c>
      <c r="M521" s="9" t="str">
        <f>+VLOOKUP(A521,Hoja2!$A$2:$X$2596,15,FALSE)</f>
        <v>#N/A</v>
      </c>
      <c r="N521" s="9" t="str">
        <f>+VLOOKUP(A521,Hoja2!$A$2:$X$2596,17,FALSE)</f>
        <v>#N/A</v>
      </c>
      <c r="O521" s="9" t="str">
        <f>+VLOOKUP(A521,Hoja2!$A$2:$X$2596,22,FALSE)</f>
        <v>#N/A</v>
      </c>
      <c r="P521" s="9" t="str">
        <f>+VLOOKUP(A521,Hoja2!$A$2:$X$2596,23,FALSE)</f>
        <v>#N/A</v>
      </c>
      <c r="Q521" s="9" t="str">
        <f>+VLOOKUP(A521,Hoja2!$A$2:$X$2596,24,FALSE)</f>
        <v>#N/A</v>
      </c>
    </row>
    <row r="522" ht="15.75" hidden="1" customHeight="1">
      <c r="A522" s="8">
        <v>2483597.0</v>
      </c>
      <c r="B522" s="8">
        <v>2483597.0</v>
      </c>
      <c r="C522" s="9" t="s">
        <v>19</v>
      </c>
      <c r="D522" s="8">
        <v>2.0</v>
      </c>
      <c r="E522" s="8">
        <v>0.0</v>
      </c>
      <c r="F522" s="8">
        <v>0.0</v>
      </c>
      <c r="G522" s="9" t="s">
        <v>21</v>
      </c>
      <c r="H522" s="10">
        <v>45757.36156006945</v>
      </c>
      <c r="I522" s="10">
        <v>45771.70955667824</v>
      </c>
      <c r="J522" s="8">
        <v>14.0</v>
      </c>
      <c r="K522" s="11">
        <v>1.0676521221E8</v>
      </c>
      <c r="L522" s="8" t="str">
        <f>+VLOOKUP(A522,Hoja2!$A$2:$X$2596,19,FALSE)</f>
        <v>#N/A</v>
      </c>
      <c r="M522" s="9" t="str">
        <f>+VLOOKUP(A522,Hoja2!$A$2:$X$2596,15,FALSE)</f>
        <v>#N/A</v>
      </c>
      <c r="N522" s="9" t="str">
        <f>+VLOOKUP(A522,Hoja2!$A$2:$X$2596,17,FALSE)</f>
        <v>#N/A</v>
      </c>
      <c r="O522" s="9" t="str">
        <f>+VLOOKUP(A522,Hoja2!$A$2:$X$2596,22,FALSE)</f>
        <v>#N/A</v>
      </c>
      <c r="P522" s="9" t="str">
        <f>+VLOOKUP(A522,Hoja2!$A$2:$X$2596,23,FALSE)</f>
        <v>#N/A</v>
      </c>
      <c r="Q522" s="9" t="str">
        <f>+VLOOKUP(A522,Hoja2!$A$2:$X$2596,24,FALSE)</f>
        <v>#N/A</v>
      </c>
    </row>
    <row r="523" ht="15.75" hidden="1" customHeight="1">
      <c r="A523" s="8">
        <v>2483597.0</v>
      </c>
      <c r="B523" s="8">
        <v>2483597.0</v>
      </c>
      <c r="C523" s="9" t="s">
        <v>22</v>
      </c>
      <c r="D523" s="8">
        <v>2.0</v>
      </c>
      <c r="E523" s="8">
        <v>0.0</v>
      </c>
      <c r="F523" s="8">
        <v>0.0</v>
      </c>
      <c r="G523" s="9" t="s">
        <v>21</v>
      </c>
      <c r="H523" s="10">
        <v>45894.51436091435</v>
      </c>
      <c r="I523" s="10">
        <v>45904.39103313658</v>
      </c>
      <c r="J523" s="8">
        <v>10.0</v>
      </c>
      <c r="K523" s="11">
        <v>1.0676521221E8</v>
      </c>
      <c r="L523" s="8" t="str">
        <f>+VLOOKUP(A523,Hoja2!$A$2:$X$2596,19,FALSE)</f>
        <v>#N/A</v>
      </c>
      <c r="M523" s="9" t="str">
        <f>+VLOOKUP(A523,Hoja2!$A$2:$X$2596,15,FALSE)</f>
        <v>#N/A</v>
      </c>
      <c r="N523" s="9" t="str">
        <f>+VLOOKUP(A523,Hoja2!$A$2:$X$2596,17,FALSE)</f>
        <v>#N/A</v>
      </c>
      <c r="O523" s="9" t="str">
        <f>+VLOOKUP(A523,Hoja2!$A$2:$X$2596,22,FALSE)</f>
        <v>#N/A</v>
      </c>
      <c r="P523" s="9" t="str">
        <f>+VLOOKUP(A523,Hoja2!$A$2:$X$2596,23,FALSE)</f>
        <v>#N/A</v>
      </c>
      <c r="Q523" s="9" t="str">
        <f>+VLOOKUP(A523,Hoja2!$A$2:$X$2596,24,FALSE)</f>
        <v>#N/A</v>
      </c>
    </row>
    <row r="524" ht="15.75" hidden="1" customHeight="1">
      <c r="A524" s="8">
        <v>2483650.0</v>
      </c>
      <c r="B524" s="8">
        <v>2483650.0</v>
      </c>
      <c r="C524" s="9" t="s">
        <v>17</v>
      </c>
      <c r="D524" s="8">
        <v>2.0</v>
      </c>
      <c r="E524" s="8">
        <v>0.0</v>
      </c>
      <c r="F524" s="8">
        <v>0.0</v>
      </c>
      <c r="G524" s="9" t="s">
        <v>21</v>
      </c>
      <c r="H524" s="10">
        <v>44399.51637939815</v>
      </c>
      <c r="I524" s="10">
        <v>44411.453673344906</v>
      </c>
      <c r="J524" s="8">
        <v>12.0</v>
      </c>
      <c r="K524" s="11">
        <v>8.633770351E7</v>
      </c>
      <c r="L524" s="8" t="str">
        <f>+VLOOKUP(A524,Hoja2!$A$2:$X$2596,19,FALSE)</f>
        <v>#N/A</v>
      </c>
      <c r="M524" s="9" t="str">
        <f>+VLOOKUP(A524,Hoja2!$A$2:$X$2596,15,FALSE)</f>
        <v>#N/A</v>
      </c>
      <c r="N524" s="9" t="str">
        <f>+VLOOKUP(A524,Hoja2!$A$2:$X$2596,17,FALSE)</f>
        <v>#N/A</v>
      </c>
      <c r="O524" s="9" t="str">
        <f>+VLOOKUP(A524,Hoja2!$A$2:$X$2596,22,FALSE)</f>
        <v>#N/A</v>
      </c>
      <c r="P524" s="9" t="str">
        <f>+VLOOKUP(A524,Hoja2!$A$2:$X$2596,23,FALSE)</f>
        <v>#N/A</v>
      </c>
      <c r="Q524" s="9" t="str">
        <f>+VLOOKUP(A524,Hoja2!$A$2:$X$2596,24,FALSE)</f>
        <v>#N/A</v>
      </c>
    </row>
    <row r="525" ht="15.75" hidden="1" customHeight="1">
      <c r="A525" s="8">
        <v>2483650.0</v>
      </c>
      <c r="B525" s="8">
        <v>2483650.0</v>
      </c>
      <c r="C525" s="9" t="s">
        <v>19</v>
      </c>
      <c r="D525" s="8">
        <v>3.0</v>
      </c>
      <c r="E525" s="8">
        <v>0.0</v>
      </c>
      <c r="F525" s="8">
        <v>0.0</v>
      </c>
      <c r="G525" s="9" t="s">
        <v>21</v>
      </c>
      <c r="H525" s="10">
        <v>44450.61067337963</v>
      </c>
      <c r="I525" s="10">
        <v>44505.77835778935</v>
      </c>
      <c r="J525" s="8">
        <v>55.0</v>
      </c>
      <c r="K525" s="11">
        <v>8.633770351E7</v>
      </c>
      <c r="L525" s="8" t="str">
        <f>+VLOOKUP(A525,Hoja2!$A$2:$X$2596,19,FALSE)</f>
        <v>#N/A</v>
      </c>
      <c r="M525" s="9" t="str">
        <f>+VLOOKUP(A525,Hoja2!$A$2:$X$2596,15,FALSE)</f>
        <v>#N/A</v>
      </c>
      <c r="N525" s="9" t="str">
        <f>+VLOOKUP(A525,Hoja2!$A$2:$X$2596,17,FALSE)</f>
        <v>#N/A</v>
      </c>
      <c r="O525" s="9" t="str">
        <f>+VLOOKUP(A525,Hoja2!$A$2:$X$2596,22,FALSE)</f>
        <v>#N/A</v>
      </c>
      <c r="P525" s="9" t="str">
        <f>+VLOOKUP(A525,Hoja2!$A$2:$X$2596,23,FALSE)</f>
        <v>#N/A</v>
      </c>
      <c r="Q525" s="9" t="str">
        <f>+VLOOKUP(A525,Hoja2!$A$2:$X$2596,24,FALSE)</f>
        <v>#N/A</v>
      </c>
    </row>
    <row r="526" ht="15.75" hidden="1" customHeight="1">
      <c r="A526" s="8">
        <v>2483650.0</v>
      </c>
      <c r="B526" s="8">
        <v>2483650.0</v>
      </c>
      <c r="C526" s="9" t="s">
        <v>17</v>
      </c>
      <c r="D526" s="8">
        <v>2.0</v>
      </c>
      <c r="E526" s="8">
        <v>0.0</v>
      </c>
      <c r="F526" s="8">
        <v>0.0</v>
      </c>
      <c r="G526" s="9" t="s">
        <v>21</v>
      </c>
      <c r="H526" s="10">
        <v>44525.30477815972</v>
      </c>
      <c r="I526" s="10">
        <v>44531.35312103009</v>
      </c>
      <c r="J526" s="8">
        <v>6.0</v>
      </c>
      <c r="K526" s="11">
        <v>8.633770351E7</v>
      </c>
      <c r="L526" s="8" t="str">
        <f>+VLOOKUP(A526,Hoja2!$A$2:$X$2596,19,FALSE)</f>
        <v>#N/A</v>
      </c>
      <c r="M526" s="9" t="str">
        <f>+VLOOKUP(A526,Hoja2!$A$2:$X$2596,15,FALSE)</f>
        <v>#N/A</v>
      </c>
      <c r="N526" s="9" t="str">
        <f>+VLOOKUP(A526,Hoja2!$A$2:$X$2596,17,FALSE)</f>
        <v>#N/A</v>
      </c>
      <c r="O526" s="9" t="str">
        <f>+VLOOKUP(A526,Hoja2!$A$2:$X$2596,22,FALSE)</f>
        <v>#N/A</v>
      </c>
      <c r="P526" s="9" t="str">
        <f>+VLOOKUP(A526,Hoja2!$A$2:$X$2596,23,FALSE)</f>
        <v>#N/A</v>
      </c>
      <c r="Q526" s="9" t="str">
        <f>+VLOOKUP(A526,Hoja2!$A$2:$X$2596,24,FALSE)</f>
        <v>#N/A</v>
      </c>
    </row>
    <row r="527" ht="15.75" hidden="1" customHeight="1">
      <c r="A527" s="8">
        <v>2483650.0</v>
      </c>
      <c r="B527" s="8">
        <v>2483650.0</v>
      </c>
      <c r="C527" s="9" t="s">
        <v>19</v>
      </c>
      <c r="D527" s="8">
        <v>3.0</v>
      </c>
      <c r="E527" s="8">
        <v>1.0</v>
      </c>
      <c r="F527" s="8">
        <v>0.0</v>
      </c>
      <c r="G527" s="9" t="s">
        <v>18</v>
      </c>
      <c r="H527" s="10">
        <v>44672.65406292824</v>
      </c>
      <c r="I527" s="10">
        <v>44783.326189733794</v>
      </c>
      <c r="J527" s="8">
        <v>111.0</v>
      </c>
      <c r="K527" s="11">
        <v>8.633770351E7</v>
      </c>
      <c r="L527" s="8" t="str">
        <f>+VLOOKUP(A527,Hoja2!$A$2:$X$2596,19,FALSE)</f>
        <v>#N/A</v>
      </c>
      <c r="M527" s="9" t="str">
        <f>+VLOOKUP(A527,Hoja2!$A$2:$X$2596,15,FALSE)</f>
        <v>#N/A</v>
      </c>
      <c r="N527" s="9" t="str">
        <f>+VLOOKUP(A527,Hoja2!$A$2:$X$2596,17,FALSE)</f>
        <v>#N/A</v>
      </c>
      <c r="O527" s="9" t="str">
        <f>+VLOOKUP(A527,Hoja2!$A$2:$X$2596,22,FALSE)</f>
        <v>#N/A</v>
      </c>
      <c r="P527" s="9" t="str">
        <f>+VLOOKUP(A527,Hoja2!$A$2:$X$2596,23,FALSE)</f>
        <v>#N/A</v>
      </c>
      <c r="Q527" s="9" t="str">
        <f>+VLOOKUP(A527,Hoja2!$A$2:$X$2596,24,FALSE)</f>
        <v>#N/A</v>
      </c>
    </row>
    <row r="528" ht="15.75" hidden="1" customHeight="1">
      <c r="A528" s="8">
        <v>2484068.0</v>
      </c>
      <c r="B528" s="8">
        <v>2484068.0</v>
      </c>
      <c r="C528" s="9" t="s">
        <v>19</v>
      </c>
      <c r="D528" s="8">
        <v>5.0</v>
      </c>
      <c r="E528" s="8">
        <v>0.0</v>
      </c>
      <c r="F528" s="8">
        <v>0.0</v>
      </c>
      <c r="G528" s="9" t="s">
        <v>21</v>
      </c>
      <c r="H528" s="10">
        <v>44519.80059409722</v>
      </c>
      <c r="I528" s="10">
        <v>44622.496874502314</v>
      </c>
      <c r="J528" s="8">
        <v>103.0</v>
      </c>
      <c r="K528" s="11">
        <v>6847418.46</v>
      </c>
      <c r="L528" s="8" t="str">
        <f>+VLOOKUP(A528,Hoja2!$A$2:$X$2596,19,FALSE)</f>
        <v>#N/A</v>
      </c>
      <c r="M528" s="9" t="str">
        <f>+VLOOKUP(A528,Hoja2!$A$2:$X$2596,15,FALSE)</f>
        <v>#N/A</v>
      </c>
      <c r="N528" s="9" t="str">
        <f>+VLOOKUP(A528,Hoja2!$A$2:$X$2596,17,FALSE)</f>
        <v>#N/A</v>
      </c>
      <c r="O528" s="9" t="str">
        <f>+VLOOKUP(A528,Hoja2!$A$2:$X$2596,22,FALSE)</f>
        <v>#N/A</v>
      </c>
      <c r="P528" s="9" t="str">
        <f>+VLOOKUP(A528,Hoja2!$A$2:$X$2596,23,FALSE)</f>
        <v>#N/A</v>
      </c>
      <c r="Q528" s="9" t="str">
        <f>+VLOOKUP(A528,Hoja2!$A$2:$X$2596,24,FALSE)</f>
        <v>#N/A</v>
      </c>
    </row>
    <row r="529" ht="15.75" hidden="1" customHeight="1">
      <c r="A529" s="8">
        <v>2484068.0</v>
      </c>
      <c r="B529" s="8">
        <v>2484068.0</v>
      </c>
      <c r="C529" s="9" t="s">
        <v>17</v>
      </c>
      <c r="D529" s="8">
        <v>3.0</v>
      </c>
      <c r="E529" s="8">
        <v>0.0</v>
      </c>
      <c r="F529" s="8">
        <v>0.0</v>
      </c>
      <c r="G529" s="9" t="s">
        <v>21</v>
      </c>
      <c r="H529" s="10">
        <v>44664.35284421296</v>
      </c>
      <c r="I529" s="10">
        <v>44705.622003206016</v>
      </c>
      <c r="J529" s="8">
        <v>41.0</v>
      </c>
      <c r="K529" s="11">
        <v>6847418.46</v>
      </c>
      <c r="L529" s="8" t="str">
        <f>+VLOOKUP(A529,Hoja2!$A$2:$X$2596,19,FALSE)</f>
        <v>#N/A</v>
      </c>
      <c r="M529" s="9" t="str">
        <f>+VLOOKUP(A529,Hoja2!$A$2:$X$2596,15,FALSE)</f>
        <v>#N/A</v>
      </c>
      <c r="N529" s="9" t="str">
        <f>+VLOOKUP(A529,Hoja2!$A$2:$X$2596,17,FALSE)</f>
        <v>#N/A</v>
      </c>
      <c r="O529" s="9" t="str">
        <f>+VLOOKUP(A529,Hoja2!$A$2:$X$2596,22,FALSE)</f>
        <v>#N/A</v>
      </c>
      <c r="P529" s="9" t="str">
        <f>+VLOOKUP(A529,Hoja2!$A$2:$X$2596,23,FALSE)</f>
        <v>#N/A</v>
      </c>
      <c r="Q529" s="9" t="str">
        <f>+VLOOKUP(A529,Hoja2!$A$2:$X$2596,24,FALSE)</f>
        <v>#N/A</v>
      </c>
    </row>
    <row r="530" ht="15.75" hidden="1" customHeight="1">
      <c r="A530" s="8">
        <v>2487144.0</v>
      </c>
      <c r="B530" s="8">
        <v>2487144.0</v>
      </c>
      <c r="C530" s="9" t="s">
        <v>17</v>
      </c>
      <c r="D530" s="8">
        <v>3.0</v>
      </c>
      <c r="E530" s="8">
        <v>0.0</v>
      </c>
      <c r="F530" s="8">
        <v>0.0</v>
      </c>
      <c r="G530" s="9" t="s">
        <v>21</v>
      </c>
      <c r="H530" s="10">
        <v>44498.636488888886</v>
      </c>
      <c r="I530" s="10">
        <v>44547.75846056713</v>
      </c>
      <c r="J530" s="8">
        <v>49.0</v>
      </c>
      <c r="K530" s="11">
        <v>6.580149296E7</v>
      </c>
      <c r="L530" s="8" t="str">
        <f>+VLOOKUP(A530,Hoja2!$A$2:$X$2596,19,FALSE)</f>
        <v>#N/A</v>
      </c>
      <c r="M530" s="9" t="str">
        <f>+VLOOKUP(A530,Hoja2!$A$2:$X$2596,15,FALSE)</f>
        <v>#N/A</v>
      </c>
      <c r="N530" s="9" t="str">
        <f>+VLOOKUP(A530,Hoja2!$A$2:$X$2596,17,FALSE)</f>
        <v>#N/A</v>
      </c>
      <c r="O530" s="9" t="str">
        <f>+VLOOKUP(A530,Hoja2!$A$2:$X$2596,22,FALSE)</f>
        <v>#N/A</v>
      </c>
      <c r="P530" s="9" t="str">
        <f>+VLOOKUP(A530,Hoja2!$A$2:$X$2596,23,FALSE)</f>
        <v>#N/A</v>
      </c>
      <c r="Q530" s="9" t="str">
        <f>+VLOOKUP(A530,Hoja2!$A$2:$X$2596,24,FALSE)</f>
        <v>#N/A</v>
      </c>
    </row>
    <row r="531" ht="15.75" hidden="1" customHeight="1">
      <c r="A531" s="8">
        <v>2487565.0</v>
      </c>
      <c r="B531" s="8">
        <v>2487565.0</v>
      </c>
      <c r="C531" s="9" t="s">
        <v>19</v>
      </c>
      <c r="D531" s="8">
        <v>4.0</v>
      </c>
      <c r="E531" s="8">
        <v>0.0</v>
      </c>
      <c r="F531" s="8">
        <v>0.0</v>
      </c>
      <c r="G531" s="9" t="s">
        <v>21</v>
      </c>
      <c r="H531" s="10">
        <v>44204.49504059028</v>
      </c>
      <c r="I531" s="10">
        <v>44362.377038969906</v>
      </c>
      <c r="J531" s="8">
        <v>158.0</v>
      </c>
      <c r="K531" s="11">
        <v>5.193700532E7</v>
      </c>
      <c r="L531" s="8" t="str">
        <f>+VLOOKUP(A531,Hoja2!$A$2:$X$2596,19,FALSE)</f>
        <v>#N/A</v>
      </c>
      <c r="M531" s="9" t="str">
        <f>+VLOOKUP(A531,Hoja2!$A$2:$X$2596,15,FALSE)</f>
        <v>#N/A</v>
      </c>
      <c r="N531" s="9" t="str">
        <f>+VLOOKUP(A531,Hoja2!$A$2:$X$2596,17,FALSE)</f>
        <v>#N/A</v>
      </c>
      <c r="O531" s="9" t="str">
        <f>+VLOOKUP(A531,Hoja2!$A$2:$X$2596,22,FALSE)</f>
        <v>#N/A</v>
      </c>
      <c r="P531" s="9" t="str">
        <f>+VLOOKUP(A531,Hoja2!$A$2:$X$2596,23,FALSE)</f>
        <v>#N/A</v>
      </c>
      <c r="Q531" s="9" t="str">
        <f>+VLOOKUP(A531,Hoja2!$A$2:$X$2596,24,FALSE)</f>
        <v>#N/A</v>
      </c>
    </row>
    <row r="532" ht="15.75" hidden="1" customHeight="1">
      <c r="A532" s="8">
        <v>2487565.0</v>
      </c>
      <c r="B532" s="8">
        <v>2487565.0</v>
      </c>
      <c r="C532" s="9" t="s">
        <v>17</v>
      </c>
      <c r="D532" s="8">
        <v>2.0</v>
      </c>
      <c r="E532" s="8">
        <v>1.0</v>
      </c>
      <c r="F532" s="8">
        <v>0.0</v>
      </c>
      <c r="G532" s="9" t="s">
        <v>18</v>
      </c>
      <c r="H532" s="10">
        <v>44570.722163541664</v>
      </c>
      <c r="I532" s="10">
        <v>44631.416060069445</v>
      </c>
      <c r="J532" s="8">
        <v>61.0</v>
      </c>
      <c r="K532" s="11">
        <v>5.193700532E7</v>
      </c>
      <c r="L532" s="8" t="str">
        <f>+VLOOKUP(A532,Hoja2!$A$2:$X$2596,19,FALSE)</f>
        <v>#N/A</v>
      </c>
      <c r="M532" s="9" t="str">
        <f>+VLOOKUP(A532,Hoja2!$A$2:$X$2596,15,FALSE)</f>
        <v>#N/A</v>
      </c>
      <c r="N532" s="9" t="str">
        <f>+VLOOKUP(A532,Hoja2!$A$2:$X$2596,17,FALSE)</f>
        <v>#N/A</v>
      </c>
      <c r="O532" s="9" t="str">
        <f>+VLOOKUP(A532,Hoja2!$A$2:$X$2596,22,FALSE)</f>
        <v>#N/A</v>
      </c>
      <c r="P532" s="9" t="str">
        <f>+VLOOKUP(A532,Hoja2!$A$2:$X$2596,23,FALSE)</f>
        <v>#N/A</v>
      </c>
      <c r="Q532" s="9" t="str">
        <f>+VLOOKUP(A532,Hoja2!$A$2:$X$2596,24,FALSE)</f>
        <v>#N/A</v>
      </c>
    </row>
    <row r="533" ht="15.75" hidden="1" customHeight="1">
      <c r="A533" s="8">
        <v>2487565.0</v>
      </c>
      <c r="B533" s="8">
        <v>2487565.0</v>
      </c>
      <c r="C533" s="9" t="s">
        <v>19</v>
      </c>
      <c r="D533" s="8">
        <v>1.0</v>
      </c>
      <c r="E533" s="8">
        <v>2.0</v>
      </c>
      <c r="F533" s="8">
        <v>0.0</v>
      </c>
      <c r="G533" s="9" t="s">
        <v>18</v>
      </c>
      <c r="H533" s="10">
        <v>44763.400347766205</v>
      </c>
      <c r="I533" s="10">
        <v>44918.72072438657</v>
      </c>
      <c r="J533" s="8">
        <v>155.0</v>
      </c>
      <c r="K533" s="11">
        <v>5.193700532E7</v>
      </c>
      <c r="L533" s="8" t="str">
        <f>+VLOOKUP(A533,Hoja2!$A$2:$X$2596,19,FALSE)</f>
        <v>#N/A</v>
      </c>
      <c r="M533" s="9" t="str">
        <f>+VLOOKUP(A533,Hoja2!$A$2:$X$2596,15,FALSE)</f>
        <v>#N/A</v>
      </c>
      <c r="N533" s="9" t="str">
        <f>+VLOOKUP(A533,Hoja2!$A$2:$X$2596,17,FALSE)</f>
        <v>#N/A</v>
      </c>
      <c r="O533" s="9" t="str">
        <f>+VLOOKUP(A533,Hoja2!$A$2:$X$2596,22,FALSE)</f>
        <v>#N/A</v>
      </c>
      <c r="P533" s="9" t="str">
        <f>+VLOOKUP(A533,Hoja2!$A$2:$X$2596,23,FALSE)</f>
        <v>#N/A</v>
      </c>
      <c r="Q533" s="9" t="str">
        <f>+VLOOKUP(A533,Hoja2!$A$2:$X$2596,24,FALSE)</f>
        <v>#N/A</v>
      </c>
    </row>
    <row r="534" ht="15.75" hidden="1" customHeight="1">
      <c r="A534" s="8">
        <v>2487565.0</v>
      </c>
      <c r="B534" s="8">
        <v>2487565.0</v>
      </c>
      <c r="C534" s="9" t="s">
        <v>19</v>
      </c>
      <c r="D534" s="8">
        <v>1.0</v>
      </c>
      <c r="E534" s="8">
        <v>1.0</v>
      </c>
      <c r="F534" s="8">
        <v>0.0</v>
      </c>
      <c r="G534" s="9" t="s">
        <v>18</v>
      </c>
      <c r="H534" s="10">
        <v>45099.58807071759</v>
      </c>
      <c r="I534" s="10">
        <v>45146.54636431713</v>
      </c>
      <c r="J534" s="8">
        <v>47.0</v>
      </c>
      <c r="K534" s="11">
        <v>5.193700532E7</v>
      </c>
      <c r="L534" s="8" t="str">
        <f>+VLOOKUP(A534,Hoja2!$A$2:$X$2596,19,FALSE)</f>
        <v>#N/A</v>
      </c>
      <c r="M534" s="9" t="str">
        <f>+VLOOKUP(A534,Hoja2!$A$2:$X$2596,15,FALSE)</f>
        <v>#N/A</v>
      </c>
      <c r="N534" s="9" t="str">
        <f>+VLOOKUP(A534,Hoja2!$A$2:$X$2596,17,FALSE)</f>
        <v>#N/A</v>
      </c>
      <c r="O534" s="9" t="str">
        <f>+VLOOKUP(A534,Hoja2!$A$2:$X$2596,22,FALSE)</f>
        <v>#N/A</v>
      </c>
      <c r="P534" s="9" t="str">
        <f>+VLOOKUP(A534,Hoja2!$A$2:$X$2596,23,FALSE)</f>
        <v>#N/A</v>
      </c>
      <c r="Q534" s="9" t="str">
        <f>+VLOOKUP(A534,Hoja2!$A$2:$X$2596,24,FALSE)</f>
        <v>#N/A</v>
      </c>
    </row>
    <row r="535" ht="15.75" hidden="1" customHeight="1">
      <c r="A535" s="8">
        <v>2487565.0</v>
      </c>
      <c r="B535" s="8">
        <v>2487565.0</v>
      </c>
      <c r="C535" s="9" t="s">
        <v>19</v>
      </c>
      <c r="D535" s="8">
        <v>2.0</v>
      </c>
      <c r="E535" s="8">
        <v>0.0</v>
      </c>
      <c r="F535" s="8">
        <v>0.0</v>
      </c>
      <c r="G535" s="9" t="s">
        <v>21</v>
      </c>
      <c r="H535" s="10">
        <v>45728.39400894676</v>
      </c>
      <c r="I535" s="10">
        <v>45758.661683136575</v>
      </c>
      <c r="J535" s="8">
        <v>30.0</v>
      </c>
      <c r="K535" s="11">
        <v>5.193700532E7</v>
      </c>
      <c r="L535" s="8" t="str">
        <f>+VLOOKUP(A535,Hoja2!$A$2:$X$2596,19,FALSE)</f>
        <v>#N/A</v>
      </c>
      <c r="M535" s="9" t="str">
        <f>+VLOOKUP(A535,Hoja2!$A$2:$X$2596,15,FALSE)</f>
        <v>#N/A</v>
      </c>
      <c r="N535" s="9" t="str">
        <f>+VLOOKUP(A535,Hoja2!$A$2:$X$2596,17,FALSE)</f>
        <v>#N/A</v>
      </c>
      <c r="O535" s="9" t="str">
        <f>+VLOOKUP(A535,Hoja2!$A$2:$X$2596,22,FALSE)</f>
        <v>#N/A</v>
      </c>
      <c r="P535" s="9" t="str">
        <f>+VLOOKUP(A535,Hoja2!$A$2:$X$2596,23,FALSE)</f>
        <v>#N/A</v>
      </c>
      <c r="Q535" s="9" t="str">
        <f>+VLOOKUP(A535,Hoja2!$A$2:$X$2596,24,FALSE)</f>
        <v>#N/A</v>
      </c>
    </row>
    <row r="536" ht="15.75" hidden="1" customHeight="1">
      <c r="A536" s="8">
        <v>2489265.0</v>
      </c>
      <c r="B536" s="8">
        <v>2489265.0</v>
      </c>
      <c r="C536" s="9" t="s">
        <v>17</v>
      </c>
      <c r="D536" s="8">
        <v>2.0</v>
      </c>
      <c r="E536" s="8">
        <v>0.0</v>
      </c>
      <c r="F536" s="8">
        <v>0.0</v>
      </c>
      <c r="G536" s="9" t="s">
        <v>21</v>
      </c>
      <c r="H536" s="10">
        <v>44316.71429409722</v>
      </c>
      <c r="I536" s="10">
        <v>44347.41128850695</v>
      </c>
      <c r="J536" s="8">
        <v>31.0</v>
      </c>
      <c r="K536" s="11">
        <v>7661840.47</v>
      </c>
      <c r="L536" s="8" t="str">
        <f>+VLOOKUP(A536,Hoja2!$A$2:$X$2596,19,FALSE)</f>
        <v>#N/A</v>
      </c>
      <c r="M536" s="9" t="str">
        <f>+VLOOKUP(A536,Hoja2!$A$2:$X$2596,15,FALSE)</f>
        <v>#N/A</v>
      </c>
      <c r="N536" s="9" t="str">
        <f>+VLOOKUP(A536,Hoja2!$A$2:$X$2596,17,FALSE)</f>
        <v>#N/A</v>
      </c>
      <c r="O536" s="9" t="str">
        <f>+VLOOKUP(A536,Hoja2!$A$2:$X$2596,22,FALSE)</f>
        <v>#N/A</v>
      </c>
      <c r="P536" s="9" t="str">
        <f>+VLOOKUP(A536,Hoja2!$A$2:$X$2596,23,FALSE)</f>
        <v>#N/A</v>
      </c>
      <c r="Q536" s="9" t="str">
        <f>+VLOOKUP(A536,Hoja2!$A$2:$X$2596,24,FALSE)</f>
        <v>#N/A</v>
      </c>
    </row>
    <row r="537" ht="15.75" hidden="1" customHeight="1">
      <c r="A537" s="8">
        <v>2489265.0</v>
      </c>
      <c r="B537" s="8">
        <v>2489265.0</v>
      </c>
      <c r="C537" s="9" t="s">
        <v>19</v>
      </c>
      <c r="D537" s="8">
        <v>4.0</v>
      </c>
      <c r="E537" s="8">
        <v>0.0</v>
      </c>
      <c r="F537" s="8">
        <v>0.0</v>
      </c>
      <c r="G537" s="9" t="s">
        <v>21</v>
      </c>
      <c r="H537" s="10">
        <v>44488.81264429398</v>
      </c>
      <c r="I537" s="10">
        <v>44537.916901585646</v>
      </c>
      <c r="J537" s="8">
        <v>49.0</v>
      </c>
      <c r="K537" s="11">
        <v>7661840.47</v>
      </c>
      <c r="L537" s="8" t="str">
        <f>+VLOOKUP(A537,Hoja2!$A$2:$X$2596,19,FALSE)</f>
        <v>#N/A</v>
      </c>
      <c r="M537" s="9" t="str">
        <f>+VLOOKUP(A537,Hoja2!$A$2:$X$2596,15,FALSE)</f>
        <v>#N/A</v>
      </c>
      <c r="N537" s="9" t="str">
        <f>+VLOOKUP(A537,Hoja2!$A$2:$X$2596,17,FALSE)</f>
        <v>#N/A</v>
      </c>
      <c r="O537" s="9" t="str">
        <f>+VLOOKUP(A537,Hoja2!$A$2:$X$2596,22,FALSE)</f>
        <v>#N/A</v>
      </c>
      <c r="P537" s="9" t="str">
        <f>+VLOOKUP(A537,Hoja2!$A$2:$X$2596,23,FALSE)</f>
        <v>#N/A</v>
      </c>
      <c r="Q537" s="9" t="str">
        <f>+VLOOKUP(A537,Hoja2!$A$2:$X$2596,24,FALSE)</f>
        <v>#N/A</v>
      </c>
    </row>
    <row r="538" ht="15.75" hidden="1" customHeight="1">
      <c r="A538" s="8">
        <v>2489265.0</v>
      </c>
      <c r="B538" s="8">
        <v>2489265.0</v>
      </c>
      <c r="C538" s="9" t="s">
        <v>17</v>
      </c>
      <c r="D538" s="8">
        <v>2.0</v>
      </c>
      <c r="E538" s="8">
        <v>0.0</v>
      </c>
      <c r="F538" s="8">
        <v>0.0</v>
      </c>
      <c r="G538" s="9" t="s">
        <v>21</v>
      </c>
      <c r="H538" s="10">
        <v>44707.78651813657</v>
      </c>
      <c r="I538" s="10">
        <v>44714.69510871528</v>
      </c>
      <c r="J538" s="8">
        <v>7.0</v>
      </c>
      <c r="K538" s="11">
        <v>7661840.47</v>
      </c>
      <c r="L538" s="8" t="str">
        <f>+VLOOKUP(A538,Hoja2!$A$2:$X$2596,19,FALSE)</f>
        <v>#N/A</v>
      </c>
      <c r="M538" s="9" t="str">
        <f>+VLOOKUP(A538,Hoja2!$A$2:$X$2596,15,FALSE)</f>
        <v>#N/A</v>
      </c>
      <c r="N538" s="9" t="str">
        <f>+VLOOKUP(A538,Hoja2!$A$2:$X$2596,17,FALSE)</f>
        <v>#N/A</v>
      </c>
      <c r="O538" s="9" t="str">
        <f>+VLOOKUP(A538,Hoja2!$A$2:$X$2596,22,FALSE)</f>
        <v>#N/A</v>
      </c>
      <c r="P538" s="9" t="str">
        <f>+VLOOKUP(A538,Hoja2!$A$2:$X$2596,23,FALSE)</f>
        <v>#N/A</v>
      </c>
      <c r="Q538" s="9" t="str">
        <f>+VLOOKUP(A538,Hoja2!$A$2:$X$2596,24,FALSE)</f>
        <v>#N/A</v>
      </c>
    </row>
    <row r="539" ht="15.75" hidden="1" customHeight="1">
      <c r="A539" s="8">
        <v>2489265.0</v>
      </c>
      <c r="B539" s="8">
        <v>2489265.0</v>
      </c>
      <c r="C539" s="9" t="s">
        <v>17</v>
      </c>
      <c r="D539" s="8">
        <v>3.0</v>
      </c>
      <c r="E539" s="8">
        <v>0.0</v>
      </c>
      <c r="F539" s="8">
        <v>0.0</v>
      </c>
      <c r="G539" s="9" t="s">
        <v>21</v>
      </c>
      <c r="H539" s="10">
        <v>45428.52876450231</v>
      </c>
      <c r="I539" s="10">
        <v>45436.515679247685</v>
      </c>
      <c r="J539" s="8">
        <v>8.0</v>
      </c>
      <c r="K539" s="11">
        <v>7661840.47</v>
      </c>
      <c r="L539" s="8" t="str">
        <f>+VLOOKUP(A539,Hoja2!$A$2:$X$2596,19,FALSE)</f>
        <v>#N/A</v>
      </c>
      <c r="M539" s="9" t="str">
        <f>+VLOOKUP(A539,Hoja2!$A$2:$X$2596,15,FALSE)</f>
        <v>#N/A</v>
      </c>
      <c r="N539" s="9" t="str">
        <f>+VLOOKUP(A539,Hoja2!$A$2:$X$2596,17,FALSE)</f>
        <v>#N/A</v>
      </c>
      <c r="O539" s="9" t="str">
        <f>+VLOOKUP(A539,Hoja2!$A$2:$X$2596,22,FALSE)</f>
        <v>#N/A</v>
      </c>
      <c r="P539" s="9" t="str">
        <f>+VLOOKUP(A539,Hoja2!$A$2:$X$2596,23,FALSE)</f>
        <v>#N/A</v>
      </c>
      <c r="Q539" s="9" t="str">
        <f>+VLOOKUP(A539,Hoja2!$A$2:$X$2596,24,FALSE)</f>
        <v>#N/A</v>
      </c>
    </row>
    <row r="540" ht="15.75" hidden="1" customHeight="1">
      <c r="A540" s="8">
        <v>2489265.0</v>
      </c>
      <c r="B540" s="8">
        <v>2489265.0</v>
      </c>
      <c r="C540" s="9" t="s">
        <v>17</v>
      </c>
      <c r="D540" s="8">
        <v>3.0</v>
      </c>
      <c r="E540" s="8">
        <v>0.0</v>
      </c>
      <c r="F540" s="8">
        <v>0.0</v>
      </c>
      <c r="G540" s="9" t="s">
        <v>21</v>
      </c>
      <c r="H540" s="10">
        <v>45475.77568329861</v>
      </c>
      <c r="I540" s="10">
        <v>45492.43409332176</v>
      </c>
      <c r="J540" s="8">
        <v>17.0</v>
      </c>
      <c r="K540" s="11">
        <v>7661840.47</v>
      </c>
      <c r="L540" s="8" t="str">
        <f>+VLOOKUP(A540,Hoja2!$A$2:$X$2596,19,FALSE)</f>
        <v>#N/A</v>
      </c>
      <c r="M540" s="9" t="str">
        <f>+VLOOKUP(A540,Hoja2!$A$2:$X$2596,15,FALSE)</f>
        <v>#N/A</v>
      </c>
      <c r="N540" s="9" t="str">
        <f>+VLOOKUP(A540,Hoja2!$A$2:$X$2596,17,FALSE)</f>
        <v>#N/A</v>
      </c>
      <c r="O540" s="9" t="str">
        <f>+VLOOKUP(A540,Hoja2!$A$2:$X$2596,22,FALSE)</f>
        <v>#N/A</v>
      </c>
      <c r="P540" s="9" t="str">
        <f>+VLOOKUP(A540,Hoja2!$A$2:$X$2596,23,FALSE)</f>
        <v>#N/A</v>
      </c>
      <c r="Q540" s="9" t="str">
        <f>+VLOOKUP(A540,Hoja2!$A$2:$X$2596,24,FALSE)</f>
        <v>#N/A</v>
      </c>
    </row>
    <row r="541" ht="15.75" hidden="1" customHeight="1">
      <c r="A541" s="8">
        <v>2489265.0</v>
      </c>
      <c r="B541" s="8">
        <v>2489265.0</v>
      </c>
      <c r="C541" s="9" t="s">
        <v>22</v>
      </c>
      <c r="D541" s="8">
        <v>2.0</v>
      </c>
      <c r="E541" s="8">
        <v>0.0</v>
      </c>
      <c r="F541" s="8">
        <v>0.0</v>
      </c>
      <c r="G541" s="9" t="s">
        <v>21</v>
      </c>
      <c r="H541" s="10">
        <v>45881.503410763886</v>
      </c>
      <c r="I541" s="10">
        <v>45890.72330385417</v>
      </c>
      <c r="J541" s="8">
        <v>9.0</v>
      </c>
      <c r="K541" s="11">
        <v>7661840.47</v>
      </c>
      <c r="L541" s="8" t="str">
        <f>+VLOOKUP(A541,Hoja2!$A$2:$X$2596,19,FALSE)</f>
        <v>#N/A</v>
      </c>
      <c r="M541" s="9" t="str">
        <f>+VLOOKUP(A541,Hoja2!$A$2:$X$2596,15,FALSE)</f>
        <v>#N/A</v>
      </c>
      <c r="N541" s="9" t="str">
        <f>+VLOOKUP(A541,Hoja2!$A$2:$X$2596,17,FALSE)</f>
        <v>#N/A</v>
      </c>
      <c r="O541" s="9" t="str">
        <f>+VLOOKUP(A541,Hoja2!$A$2:$X$2596,22,FALSE)</f>
        <v>#N/A</v>
      </c>
      <c r="P541" s="9" t="str">
        <f>+VLOOKUP(A541,Hoja2!$A$2:$X$2596,23,FALSE)</f>
        <v>#N/A</v>
      </c>
      <c r="Q541" s="9" t="str">
        <f>+VLOOKUP(A541,Hoja2!$A$2:$X$2596,24,FALSE)</f>
        <v>#N/A</v>
      </c>
    </row>
    <row r="542" ht="15.75" hidden="1" customHeight="1">
      <c r="A542" s="8">
        <v>2489467.0</v>
      </c>
      <c r="B542" s="8">
        <v>2489467.0</v>
      </c>
      <c r="C542" s="9" t="s">
        <v>17</v>
      </c>
      <c r="D542" s="8">
        <v>2.0</v>
      </c>
      <c r="E542" s="8">
        <v>0.0</v>
      </c>
      <c r="F542" s="8">
        <v>0.0</v>
      </c>
      <c r="G542" s="9" t="s">
        <v>21</v>
      </c>
      <c r="H542" s="10">
        <v>45254.474792280096</v>
      </c>
      <c r="I542" s="10">
        <v>45260.65091096065</v>
      </c>
      <c r="J542" s="8">
        <v>6.0</v>
      </c>
      <c r="K542" s="11">
        <v>2.917872751E7</v>
      </c>
      <c r="L542" s="8" t="str">
        <f>+VLOOKUP(A542,Hoja2!$A$2:$X$2596,19,FALSE)</f>
        <v>#N/A</v>
      </c>
      <c r="M542" s="9" t="str">
        <f>+VLOOKUP(A542,Hoja2!$A$2:$X$2596,15,FALSE)</f>
        <v>#N/A</v>
      </c>
      <c r="N542" s="9" t="str">
        <f>+VLOOKUP(A542,Hoja2!$A$2:$X$2596,17,FALSE)</f>
        <v>#N/A</v>
      </c>
      <c r="O542" s="9" t="str">
        <f>+VLOOKUP(A542,Hoja2!$A$2:$X$2596,22,FALSE)</f>
        <v>#N/A</v>
      </c>
      <c r="P542" s="9" t="str">
        <f>+VLOOKUP(A542,Hoja2!$A$2:$X$2596,23,FALSE)</f>
        <v>#N/A</v>
      </c>
      <c r="Q542" s="9" t="str">
        <f>+VLOOKUP(A542,Hoja2!$A$2:$X$2596,24,FALSE)</f>
        <v>#N/A</v>
      </c>
    </row>
    <row r="543" ht="15.75" hidden="1" customHeight="1">
      <c r="A543" s="8">
        <v>2489467.0</v>
      </c>
      <c r="B543" s="8">
        <v>2489467.0</v>
      </c>
      <c r="C543" s="9" t="s">
        <v>27</v>
      </c>
      <c r="D543" s="8">
        <v>1.0</v>
      </c>
      <c r="E543" s="8">
        <v>0.0</v>
      </c>
      <c r="F543" s="8">
        <v>0.0</v>
      </c>
      <c r="G543" s="9" t="s">
        <v>21</v>
      </c>
      <c r="H543" s="10">
        <v>45955.07223619213</v>
      </c>
      <c r="I543" s="10">
        <v>45955.07223619213</v>
      </c>
      <c r="J543" s="8">
        <v>0.0</v>
      </c>
      <c r="K543" s="11">
        <v>2.917872751E7</v>
      </c>
      <c r="L543" s="8" t="str">
        <f>+VLOOKUP(A543,Hoja2!$A$2:$X$2596,19,FALSE)</f>
        <v>#N/A</v>
      </c>
      <c r="M543" s="9" t="str">
        <f>+VLOOKUP(A543,Hoja2!$A$2:$X$2596,15,FALSE)</f>
        <v>#N/A</v>
      </c>
      <c r="N543" s="9" t="str">
        <f>+VLOOKUP(A543,Hoja2!$A$2:$X$2596,17,FALSE)</f>
        <v>#N/A</v>
      </c>
      <c r="O543" s="9" t="str">
        <f>+VLOOKUP(A543,Hoja2!$A$2:$X$2596,22,FALSE)</f>
        <v>#N/A</v>
      </c>
      <c r="P543" s="9" t="str">
        <f>+VLOOKUP(A543,Hoja2!$A$2:$X$2596,23,FALSE)</f>
        <v>#N/A</v>
      </c>
      <c r="Q543" s="9" t="str">
        <f>+VLOOKUP(A543,Hoja2!$A$2:$X$2596,24,FALSE)</f>
        <v>#N/A</v>
      </c>
    </row>
    <row r="544" ht="15.75" hidden="1" customHeight="1">
      <c r="A544" s="8">
        <v>2489760.0</v>
      </c>
      <c r="B544" s="8">
        <v>2489760.0</v>
      </c>
      <c r="C544" s="9" t="s">
        <v>17</v>
      </c>
      <c r="D544" s="8">
        <v>2.0</v>
      </c>
      <c r="E544" s="8">
        <v>0.0</v>
      </c>
      <c r="F544" s="8">
        <v>0.0</v>
      </c>
      <c r="G544" s="9" t="s">
        <v>21</v>
      </c>
      <c r="H544" s="10">
        <v>44748.69869027778</v>
      </c>
      <c r="I544" s="10">
        <v>44753.394325</v>
      </c>
      <c r="J544" s="8">
        <v>5.0</v>
      </c>
      <c r="K544" s="11">
        <v>581800.98</v>
      </c>
      <c r="L544" s="8" t="str">
        <f>+VLOOKUP(A544,Hoja2!$A$2:$X$2596,19,FALSE)</f>
        <v>#N/A</v>
      </c>
      <c r="M544" s="9" t="str">
        <f>+VLOOKUP(A544,Hoja2!$A$2:$X$2596,15,FALSE)</f>
        <v>#N/A</v>
      </c>
      <c r="N544" s="9" t="str">
        <f>+VLOOKUP(A544,Hoja2!$A$2:$X$2596,17,FALSE)</f>
        <v>#N/A</v>
      </c>
      <c r="O544" s="9" t="str">
        <f>+VLOOKUP(A544,Hoja2!$A$2:$X$2596,22,FALSE)</f>
        <v>#N/A</v>
      </c>
      <c r="P544" s="9" t="str">
        <f>+VLOOKUP(A544,Hoja2!$A$2:$X$2596,23,FALSE)</f>
        <v>#N/A</v>
      </c>
      <c r="Q544" s="9" t="str">
        <f>+VLOOKUP(A544,Hoja2!$A$2:$X$2596,24,FALSE)</f>
        <v>#N/A</v>
      </c>
    </row>
    <row r="545" ht="15.75" hidden="1" customHeight="1">
      <c r="A545" s="8">
        <v>2490205.0</v>
      </c>
      <c r="B545" s="8">
        <v>2490205.0</v>
      </c>
      <c r="C545" s="9" t="s">
        <v>19</v>
      </c>
      <c r="D545" s="8">
        <v>6.0</v>
      </c>
      <c r="E545" s="8">
        <v>0.0</v>
      </c>
      <c r="F545" s="8">
        <v>0.0</v>
      </c>
      <c r="G545" s="9" t="s">
        <v>21</v>
      </c>
      <c r="H545" s="10">
        <v>45814.73980509259</v>
      </c>
      <c r="I545" s="10">
        <v>45931.6362400463</v>
      </c>
      <c r="J545" s="8">
        <v>117.0</v>
      </c>
      <c r="K545" s="11">
        <v>9.236395544E7</v>
      </c>
      <c r="L545" s="8" t="str">
        <f>+VLOOKUP(A545,Hoja2!$A$2:$X$2596,19,FALSE)</f>
        <v>#N/A</v>
      </c>
      <c r="M545" s="9" t="str">
        <f>+VLOOKUP(A545,Hoja2!$A$2:$X$2596,15,FALSE)</f>
        <v>#N/A</v>
      </c>
      <c r="N545" s="9" t="str">
        <f>+VLOOKUP(A545,Hoja2!$A$2:$X$2596,17,FALSE)</f>
        <v>#N/A</v>
      </c>
      <c r="O545" s="9" t="str">
        <f>+VLOOKUP(A545,Hoja2!$A$2:$X$2596,22,FALSE)</f>
        <v>#N/A</v>
      </c>
      <c r="P545" s="9" t="str">
        <f>+VLOOKUP(A545,Hoja2!$A$2:$X$2596,23,FALSE)</f>
        <v>#N/A</v>
      </c>
      <c r="Q545" s="9" t="str">
        <f>+VLOOKUP(A545,Hoja2!$A$2:$X$2596,24,FALSE)</f>
        <v>#N/A</v>
      </c>
    </row>
    <row r="546" ht="15.75" hidden="1" customHeight="1">
      <c r="A546" s="8">
        <v>2490205.0</v>
      </c>
      <c r="B546" s="8">
        <v>2490205.0</v>
      </c>
      <c r="C546" s="9" t="s">
        <v>27</v>
      </c>
      <c r="D546" s="8">
        <v>1.0</v>
      </c>
      <c r="E546" s="8">
        <v>0.0</v>
      </c>
      <c r="F546" s="8">
        <v>0.0</v>
      </c>
      <c r="G546" s="9" t="s">
        <v>21</v>
      </c>
      <c r="H546" s="10">
        <v>45960.379625891204</v>
      </c>
      <c r="I546" s="10">
        <v>45960.379625891204</v>
      </c>
      <c r="J546" s="8">
        <v>0.0</v>
      </c>
      <c r="K546" s="11">
        <v>9.236395544E7</v>
      </c>
      <c r="L546" s="8" t="str">
        <f>+VLOOKUP(A546,Hoja2!$A$2:$X$2596,19,FALSE)</f>
        <v>#N/A</v>
      </c>
      <c r="M546" s="9" t="str">
        <f>+VLOOKUP(A546,Hoja2!$A$2:$X$2596,15,FALSE)</f>
        <v>#N/A</v>
      </c>
      <c r="N546" s="9" t="str">
        <f>+VLOOKUP(A546,Hoja2!$A$2:$X$2596,17,FALSE)</f>
        <v>#N/A</v>
      </c>
      <c r="O546" s="9" t="str">
        <f>+VLOOKUP(A546,Hoja2!$A$2:$X$2596,22,FALSE)</f>
        <v>#N/A</v>
      </c>
      <c r="P546" s="9" t="str">
        <f>+VLOOKUP(A546,Hoja2!$A$2:$X$2596,23,FALSE)</f>
        <v>#N/A</v>
      </c>
      <c r="Q546" s="9" t="str">
        <f>+VLOOKUP(A546,Hoja2!$A$2:$X$2596,24,FALSE)</f>
        <v>#N/A</v>
      </c>
    </row>
    <row r="547" ht="15.75" hidden="1" customHeight="1">
      <c r="A547" s="8">
        <v>2490993.0</v>
      </c>
      <c r="B547" s="8">
        <v>2490993.0</v>
      </c>
      <c r="C547" s="9" t="s">
        <v>19</v>
      </c>
      <c r="D547" s="8">
        <v>5.0</v>
      </c>
      <c r="E547" s="8">
        <v>1.0</v>
      </c>
      <c r="F547" s="8">
        <v>0.0</v>
      </c>
      <c r="G547" s="9" t="s">
        <v>18</v>
      </c>
      <c r="H547" s="10">
        <v>45160.96659795139</v>
      </c>
      <c r="I547" s="10">
        <v>45315.732229629626</v>
      </c>
      <c r="J547" s="8">
        <v>155.0</v>
      </c>
      <c r="K547" s="11">
        <v>3.9783004436E8</v>
      </c>
      <c r="L547" s="8" t="str">
        <f>+VLOOKUP(A547,Hoja2!$A$2:$X$2596,19,FALSE)</f>
        <v>#N/A</v>
      </c>
      <c r="M547" s="9" t="str">
        <f>+VLOOKUP(A547,Hoja2!$A$2:$X$2596,15,FALSE)</f>
        <v>#N/A</v>
      </c>
      <c r="N547" s="9" t="str">
        <f>+VLOOKUP(A547,Hoja2!$A$2:$X$2596,17,FALSE)</f>
        <v>#N/A</v>
      </c>
      <c r="O547" s="9" t="str">
        <f>+VLOOKUP(A547,Hoja2!$A$2:$X$2596,22,FALSE)</f>
        <v>#N/A</v>
      </c>
      <c r="P547" s="9" t="str">
        <f>+VLOOKUP(A547,Hoja2!$A$2:$X$2596,23,FALSE)</f>
        <v>#N/A</v>
      </c>
      <c r="Q547" s="9" t="str">
        <f>+VLOOKUP(A547,Hoja2!$A$2:$X$2596,24,FALSE)</f>
        <v>#N/A</v>
      </c>
    </row>
    <row r="548" ht="15.75" hidden="1" customHeight="1">
      <c r="A548" s="8">
        <v>2491144.0</v>
      </c>
      <c r="B548" s="8">
        <v>2491144.0</v>
      </c>
      <c r="C548" s="9" t="s">
        <v>17</v>
      </c>
      <c r="D548" s="8">
        <v>3.0</v>
      </c>
      <c r="E548" s="8">
        <v>0.0</v>
      </c>
      <c r="F548" s="8">
        <v>0.0</v>
      </c>
      <c r="G548" s="9" t="s">
        <v>21</v>
      </c>
      <c r="H548" s="10">
        <v>44401.45944849537</v>
      </c>
      <c r="I548" s="10">
        <v>44412.41416516204</v>
      </c>
      <c r="J548" s="8">
        <v>11.0</v>
      </c>
      <c r="K548" s="11">
        <v>2.687080645E7</v>
      </c>
      <c r="L548" s="8" t="str">
        <f>+VLOOKUP(A548,Hoja2!$A$2:$X$2596,19,FALSE)</f>
        <v>#N/A</v>
      </c>
      <c r="M548" s="9" t="str">
        <f>+VLOOKUP(A548,Hoja2!$A$2:$X$2596,15,FALSE)</f>
        <v>#N/A</v>
      </c>
      <c r="N548" s="9" t="str">
        <f>+VLOOKUP(A548,Hoja2!$A$2:$X$2596,17,FALSE)</f>
        <v>#N/A</v>
      </c>
      <c r="O548" s="9" t="str">
        <f>+VLOOKUP(A548,Hoja2!$A$2:$X$2596,22,FALSE)</f>
        <v>#N/A</v>
      </c>
      <c r="P548" s="9" t="str">
        <f>+VLOOKUP(A548,Hoja2!$A$2:$X$2596,23,FALSE)</f>
        <v>#N/A</v>
      </c>
      <c r="Q548" s="9" t="str">
        <f>+VLOOKUP(A548,Hoja2!$A$2:$X$2596,24,FALSE)</f>
        <v>#N/A</v>
      </c>
    </row>
    <row r="549" ht="15.75" hidden="1" customHeight="1">
      <c r="A549" s="8">
        <v>2492442.0</v>
      </c>
      <c r="B549" s="8">
        <v>2492442.0</v>
      </c>
      <c r="C549" s="9" t="s">
        <v>17</v>
      </c>
      <c r="D549" s="8">
        <v>4.0</v>
      </c>
      <c r="E549" s="8">
        <v>1.0</v>
      </c>
      <c r="F549" s="8">
        <v>0.0</v>
      </c>
      <c r="G549" s="9" t="s">
        <v>18</v>
      </c>
      <c r="H549" s="10">
        <v>44418.33334861111</v>
      </c>
      <c r="I549" s="10">
        <v>44509.9537625</v>
      </c>
      <c r="J549" s="8">
        <v>91.0</v>
      </c>
      <c r="K549" s="11">
        <v>1.512450176E7</v>
      </c>
      <c r="L549" s="8" t="str">
        <f>+VLOOKUP(A549,Hoja2!$A$2:$X$2596,19,FALSE)</f>
        <v>#N/A</v>
      </c>
      <c r="M549" s="9" t="str">
        <f>+VLOOKUP(A549,Hoja2!$A$2:$X$2596,15,FALSE)</f>
        <v>#N/A</v>
      </c>
      <c r="N549" s="9" t="str">
        <f>+VLOOKUP(A549,Hoja2!$A$2:$X$2596,17,FALSE)</f>
        <v>#N/A</v>
      </c>
      <c r="O549" s="9" t="str">
        <f>+VLOOKUP(A549,Hoja2!$A$2:$X$2596,22,FALSE)</f>
        <v>#N/A</v>
      </c>
      <c r="P549" s="9" t="str">
        <f>+VLOOKUP(A549,Hoja2!$A$2:$X$2596,23,FALSE)</f>
        <v>#N/A</v>
      </c>
      <c r="Q549" s="9" t="str">
        <f>+VLOOKUP(A549,Hoja2!$A$2:$X$2596,24,FALSE)</f>
        <v>#N/A</v>
      </c>
    </row>
    <row r="550" ht="15.75" hidden="1" customHeight="1">
      <c r="A550" s="8">
        <v>2493475.0</v>
      </c>
      <c r="B550" s="8">
        <v>2493475.0</v>
      </c>
      <c r="C550" s="9" t="s">
        <v>19</v>
      </c>
      <c r="D550" s="8">
        <v>4.0</v>
      </c>
      <c r="E550" s="8">
        <v>0.0</v>
      </c>
      <c r="F550" s="8">
        <v>0.0</v>
      </c>
      <c r="G550" s="9" t="s">
        <v>21</v>
      </c>
      <c r="H550" s="10">
        <v>44914.75790008102</v>
      </c>
      <c r="I550" s="10">
        <v>44988.78089710648</v>
      </c>
      <c r="J550" s="8">
        <v>74.0</v>
      </c>
      <c r="K550" s="11">
        <v>8.194375039E7</v>
      </c>
      <c r="L550" s="8" t="str">
        <f>+VLOOKUP(A550,Hoja2!$A$2:$X$2596,19,FALSE)</f>
        <v>#N/A</v>
      </c>
      <c r="M550" s="9" t="str">
        <f>+VLOOKUP(A550,Hoja2!$A$2:$X$2596,15,FALSE)</f>
        <v>#N/A</v>
      </c>
      <c r="N550" s="9" t="str">
        <f>+VLOOKUP(A550,Hoja2!$A$2:$X$2596,17,FALSE)</f>
        <v>#N/A</v>
      </c>
      <c r="O550" s="9" t="str">
        <f>+VLOOKUP(A550,Hoja2!$A$2:$X$2596,22,FALSE)</f>
        <v>#N/A</v>
      </c>
      <c r="P550" s="9" t="str">
        <f>+VLOOKUP(A550,Hoja2!$A$2:$X$2596,23,FALSE)</f>
        <v>#N/A</v>
      </c>
      <c r="Q550" s="9" t="str">
        <f>+VLOOKUP(A550,Hoja2!$A$2:$X$2596,24,FALSE)</f>
        <v>#N/A</v>
      </c>
    </row>
    <row r="551" ht="15.75" hidden="1" customHeight="1">
      <c r="A551" s="8">
        <v>2493617.0</v>
      </c>
      <c r="B551" s="8">
        <v>2493617.0</v>
      </c>
      <c r="C551" s="9" t="s">
        <v>24</v>
      </c>
      <c r="D551" s="8">
        <v>2.0</v>
      </c>
      <c r="E551" s="8">
        <v>0.0</v>
      </c>
      <c r="F551" s="8">
        <v>0.0</v>
      </c>
      <c r="G551" s="9" t="s">
        <v>21</v>
      </c>
      <c r="H551" s="10">
        <v>44924.3165625</v>
      </c>
      <c r="I551" s="10">
        <v>44958.66822662037</v>
      </c>
      <c r="J551" s="8">
        <v>34.0</v>
      </c>
      <c r="K551" s="11">
        <v>1.427923618E7</v>
      </c>
      <c r="L551" s="8" t="str">
        <f>+VLOOKUP(A551,Hoja2!$A$2:$X$2596,19,FALSE)</f>
        <v>#N/A</v>
      </c>
      <c r="M551" s="9" t="str">
        <f>+VLOOKUP(A551,Hoja2!$A$2:$X$2596,15,FALSE)</f>
        <v>#N/A</v>
      </c>
      <c r="N551" s="9" t="str">
        <f>+VLOOKUP(A551,Hoja2!$A$2:$X$2596,17,FALSE)</f>
        <v>#N/A</v>
      </c>
      <c r="O551" s="9" t="str">
        <f>+VLOOKUP(A551,Hoja2!$A$2:$X$2596,22,FALSE)</f>
        <v>#N/A</v>
      </c>
      <c r="P551" s="9" t="str">
        <f>+VLOOKUP(A551,Hoja2!$A$2:$X$2596,23,FALSE)</f>
        <v>#N/A</v>
      </c>
      <c r="Q551" s="9" t="str">
        <f>+VLOOKUP(A551,Hoja2!$A$2:$X$2596,24,FALSE)</f>
        <v>#N/A</v>
      </c>
    </row>
    <row r="552" ht="15.75" hidden="1" customHeight="1">
      <c r="A552" s="8">
        <v>2493866.0</v>
      </c>
      <c r="B552" s="8">
        <v>2493866.0</v>
      </c>
      <c r="C552" s="9" t="s">
        <v>17</v>
      </c>
      <c r="D552" s="8">
        <v>2.0</v>
      </c>
      <c r="E552" s="8">
        <v>0.0</v>
      </c>
      <c r="F552" s="8">
        <v>0.0</v>
      </c>
      <c r="G552" s="9" t="s">
        <v>21</v>
      </c>
      <c r="H552" s="10">
        <v>44799.50260868055</v>
      </c>
      <c r="I552" s="10">
        <v>44804.72829039352</v>
      </c>
      <c r="J552" s="8">
        <v>5.0</v>
      </c>
      <c r="K552" s="11">
        <v>3.252141921E7</v>
      </c>
      <c r="L552" s="8" t="str">
        <f>+VLOOKUP(A552,Hoja2!$A$2:$X$2596,19,FALSE)</f>
        <v>#N/A</v>
      </c>
      <c r="M552" s="9" t="str">
        <f>+VLOOKUP(A552,Hoja2!$A$2:$X$2596,15,FALSE)</f>
        <v>#N/A</v>
      </c>
      <c r="N552" s="9" t="str">
        <f>+VLOOKUP(A552,Hoja2!$A$2:$X$2596,17,FALSE)</f>
        <v>#N/A</v>
      </c>
      <c r="O552" s="9" t="str">
        <f>+VLOOKUP(A552,Hoja2!$A$2:$X$2596,22,FALSE)</f>
        <v>#N/A</v>
      </c>
      <c r="P552" s="9" t="str">
        <f>+VLOOKUP(A552,Hoja2!$A$2:$X$2596,23,FALSE)</f>
        <v>#N/A</v>
      </c>
      <c r="Q552" s="9" t="str">
        <f>+VLOOKUP(A552,Hoja2!$A$2:$X$2596,24,FALSE)</f>
        <v>#N/A</v>
      </c>
    </row>
    <row r="553" ht="15.75" hidden="1" customHeight="1">
      <c r="A553" s="8">
        <v>2493866.0</v>
      </c>
      <c r="B553" s="8">
        <v>2493866.0</v>
      </c>
      <c r="C553" s="9" t="s">
        <v>17</v>
      </c>
      <c r="D553" s="8">
        <v>4.0</v>
      </c>
      <c r="E553" s="8">
        <v>0.0</v>
      </c>
      <c r="F553" s="8">
        <v>0.0</v>
      </c>
      <c r="G553" s="9" t="s">
        <v>21</v>
      </c>
      <c r="H553" s="10">
        <v>45078.79108993056</v>
      </c>
      <c r="I553" s="10">
        <v>45121.6633915162</v>
      </c>
      <c r="J553" s="8">
        <v>43.0</v>
      </c>
      <c r="K553" s="11">
        <v>3.252141921E7</v>
      </c>
      <c r="L553" s="8" t="str">
        <f>+VLOOKUP(A553,Hoja2!$A$2:$X$2596,19,FALSE)</f>
        <v>#N/A</v>
      </c>
      <c r="M553" s="9" t="str">
        <f>+VLOOKUP(A553,Hoja2!$A$2:$X$2596,15,FALSE)</f>
        <v>#N/A</v>
      </c>
      <c r="N553" s="9" t="str">
        <f>+VLOOKUP(A553,Hoja2!$A$2:$X$2596,17,FALSE)</f>
        <v>#N/A</v>
      </c>
      <c r="O553" s="9" t="str">
        <f>+VLOOKUP(A553,Hoja2!$A$2:$X$2596,22,FALSE)</f>
        <v>#N/A</v>
      </c>
      <c r="P553" s="9" t="str">
        <f>+VLOOKUP(A553,Hoja2!$A$2:$X$2596,23,FALSE)</f>
        <v>#N/A</v>
      </c>
      <c r="Q553" s="9" t="str">
        <f>+VLOOKUP(A553,Hoja2!$A$2:$X$2596,24,FALSE)</f>
        <v>#N/A</v>
      </c>
    </row>
    <row r="554" ht="15.75" hidden="1" customHeight="1">
      <c r="A554" s="8">
        <v>2493866.0</v>
      </c>
      <c r="B554" s="8">
        <v>2493866.0</v>
      </c>
      <c r="C554" s="9" t="s">
        <v>24</v>
      </c>
      <c r="D554" s="8">
        <v>2.0</v>
      </c>
      <c r="E554" s="8">
        <v>4.0</v>
      </c>
      <c r="F554" s="8">
        <v>0.0</v>
      </c>
      <c r="G554" s="9" t="s">
        <v>18</v>
      </c>
      <c r="H554" s="10">
        <v>45286.56016709491</v>
      </c>
      <c r="I554" s="10">
        <v>45383.50593306713</v>
      </c>
      <c r="J554" s="8">
        <v>97.0</v>
      </c>
      <c r="K554" s="11">
        <v>3.252141921E7</v>
      </c>
      <c r="L554" s="8" t="str">
        <f>+VLOOKUP(A554,Hoja2!$A$2:$X$2596,19,FALSE)</f>
        <v>#N/A</v>
      </c>
      <c r="M554" s="9" t="str">
        <f>+VLOOKUP(A554,Hoja2!$A$2:$X$2596,15,FALSE)</f>
        <v>#N/A</v>
      </c>
      <c r="N554" s="9" t="str">
        <f>+VLOOKUP(A554,Hoja2!$A$2:$X$2596,17,FALSE)</f>
        <v>#N/A</v>
      </c>
      <c r="O554" s="9" t="str">
        <f>+VLOOKUP(A554,Hoja2!$A$2:$X$2596,22,FALSE)</f>
        <v>#N/A</v>
      </c>
      <c r="P554" s="9" t="str">
        <f>+VLOOKUP(A554,Hoja2!$A$2:$X$2596,23,FALSE)</f>
        <v>#N/A</v>
      </c>
      <c r="Q554" s="9" t="str">
        <f>+VLOOKUP(A554,Hoja2!$A$2:$X$2596,24,FALSE)</f>
        <v>#N/A</v>
      </c>
    </row>
    <row r="555" ht="15.75" hidden="1" customHeight="1">
      <c r="A555" s="8">
        <v>2496730.0</v>
      </c>
      <c r="B555" s="8">
        <v>2496730.0</v>
      </c>
      <c r="C555" s="9" t="s">
        <v>17</v>
      </c>
      <c r="D555" s="8">
        <v>2.0</v>
      </c>
      <c r="E555" s="8">
        <v>0.0</v>
      </c>
      <c r="F555" s="8">
        <v>0.0</v>
      </c>
      <c r="G555" s="9" t="s">
        <v>21</v>
      </c>
      <c r="H555" s="10">
        <v>44434.51639984953</v>
      </c>
      <c r="I555" s="10">
        <v>44446.44627627315</v>
      </c>
      <c r="J555" s="8">
        <v>12.0</v>
      </c>
      <c r="K555" s="11">
        <v>1.810380233E7</v>
      </c>
      <c r="L555" s="8" t="str">
        <f>+VLOOKUP(A555,Hoja2!$A$2:$X$2596,19,FALSE)</f>
        <v>#N/A</v>
      </c>
      <c r="M555" s="9" t="str">
        <f>+VLOOKUP(A555,Hoja2!$A$2:$X$2596,15,FALSE)</f>
        <v>#N/A</v>
      </c>
      <c r="N555" s="9" t="str">
        <f>+VLOOKUP(A555,Hoja2!$A$2:$X$2596,17,FALSE)</f>
        <v>#N/A</v>
      </c>
      <c r="O555" s="9" t="str">
        <f>+VLOOKUP(A555,Hoja2!$A$2:$X$2596,22,FALSE)</f>
        <v>#N/A</v>
      </c>
      <c r="P555" s="9" t="str">
        <f>+VLOOKUP(A555,Hoja2!$A$2:$X$2596,23,FALSE)</f>
        <v>#N/A</v>
      </c>
      <c r="Q555" s="9" t="str">
        <f>+VLOOKUP(A555,Hoja2!$A$2:$X$2596,24,FALSE)</f>
        <v>#N/A</v>
      </c>
    </row>
    <row r="556" ht="15.75" hidden="1" customHeight="1">
      <c r="A556" s="8">
        <v>2496730.0</v>
      </c>
      <c r="B556" s="8">
        <v>2496730.0</v>
      </c>
      <c r="C556" s="9" t="s">
        <v>17</v>
      </c>
      <c r="D556" s="8">
        <v>2.0</v>
      </c>
      <c r="E556" s="8">
        <v>0.0</v>
      </c>
      <c r="F556" s="8">
        <v>0.0</v>
      </c>
      <c r="G556" s="9" t="s">
        <v>21</v>
      </c>
      <c r="H556" s="10">
        <v>44628.804296724535</v>
      </c>
      <c r="I556" s="10">
        <v>44637.37002149306</v>
      </c>
      <c r="J556" s="8">
        <v>9.0</v>
      </c>
      <c r="K556" s="11">
        <v>1.810380233E7</v>
      </c>
      <c r="L556" s="8" t="str">
        <f>+VLOOKUP(A556,Hoja2!$A$2:$X$2596,19,FALSE)</f>
        <v>#N/A</v>
      </c>
      <c r="M556" s="9" t="str">
        <f>+VLOOKUP(A556,Hoja2!$A$2:$X$2596,15,FALSE)</f>
        <v>#N/A</v>
      </c>
      <c r="N556" s="9" t="str">
        <f>+VLOOKUP(A556,Hoja2!$A$2:$X$2596,17,FALSE)</f>
        <v>#N/A</v>
      </c>
      <c r="O556" s="9" t="str">
        <f>+VLOOKUP(A556,Hoja2!$A$2:$X$2596,22,FALSE)</f>
        <v>#N/A</v>
      </c>
      <c r="P556" s="9" t="str">
        <f>+VLOOKUP(A556,Hoja2!$A$2:$X$2596,23,FALSE)</f>
        <v>#N/A</v>
      </c>
      <c r="Q556" s="9" t="str">
        <f>+VLOOKUP(A556,Hoja2!$A$2:$X$2596,24,FALSE)</f>
        <v>#N/A</v>
      </c>
    </row>
    <row r="557" ht="15.75" hidden="1" customHeight="1">
      <c r="A557" s="8">
        <v>2496730.0</v>
      </c>
      <c r="B557" s="8">
        <v>2496730.0</v>
      </c>
      <c r="C557" s="9" t="s">
        <v>17</v>
      </c>
      <c r="D557" s="8">
        <v>2.0</v>
      </c>
      <c r="E557" s="8">
        <v>0.0</v>
      </c>
      <c r="F557" s="8">
        <v>0.0</v>
      </c>
      <c r="G557" s="9" t="s">
        <v>21</v>
      </c>
      <c r="H557" s="10">
        <v>44860.650669560186</v>
      </c>
      <c r="I557" s="10">
        <v>44869.74789633102</v>
      </c>
      <c r="J557" s="8">
        <v>9.0</v>
      </c>
      <c r="K557" s="11">
        <v>1.810380233E7</v>
      </c>
      <c r="L557" s="8" t="str">
        <f>+VLOOKUP(A557,Hoja2!$A$2:$X$2596,19,FALSE)</f>
        <v>#N/A</v>
      </c>
      <c r="M557" s="9" t="str">
        <f>+VLOOKUP(A557,Hoja2!$A$2:$X$2596,15,FALSE)</f>
        <v>#N/A</v>
      </c>
      <c r="N557" s="9" t="str">
        <f>+VLOOKUP(A557,Hoja2!$A$2:$X$2596,17,FALSE)</f>
        <v>#N/A</v>
      </c>
      <c r="O557" s="9" t="str">
        <f>+VLOOKUP(A557,Hoja2!$A$2:$X$2596,22,FALSE)</f>
        <v>#N/A</v>
      </c>
      <c r="P557" s="9" t="str">
        <f>+VLOOKUP(A557,Hoja2!$A$2:$X$2596,23,FALSE)</f>
        <v>#N/A</v>
      </c>
      <c r="Q557" s="9" t="str">
        <f>+VLOOKUP(A557,Hoja2!$A$2:$X$2596,24,FALSE)</f>
        <v>#N/A</v>
      </c>
    </row>
    <row r="558" ht="15.75" hidden="1" customHeight="1">
      <c r="A558" s="8">
        <v>2496730.0</v>
      </c>
      <c r="B558" s="8">
        <v>2496730.0</v>
      </c>
      <c r="C558" s="9" t="s">
        <v>17</v>
      </c>
      <c r="D558" s="8">
        <v>3.0</v>
      </c>
      <c r="E558" s="8">
        <v>0.0</v>
      </c>
      <c r="F558" s="8">
        <v>0.0</v>
      </c>
      <c r="G558" s="9" t="s">
        <v>21</v>
      </c>
      <c r="H558" s="10">
        <v>45247.44735671296</v>
      </c>
      <c r="I558" s="10">
        <v>45253.62071130787</v>
      </c>
      <c r="J558" s="8">
        <v>6.0</v>
      </c>
      <c r="K558" s="11">
        <v>1.810380233E7</v>
      </c>
      <c r="L558" s="8" t="str">
        <f>+VLOOKUP(A558,Hoja2!$A$2:$X$2596,19,FALSE)</f>
        <v>#N/A</v>
      </c>
      <c r="M558" s="9" t="str">
        <f>+VLOOKUP(A558,Hoja2!$A$2:$X$2596,15,FALSE)</f>
        <v>#N/A</v>
      </c>
      <c r="N558" s="9" t="str">
        <f>+VLOOKUP(A558,Hoja2!$A$2:$X$2596,17,FALSE)</f>
        <v>#N/A</v>
      </c>
      <c r="O558" s="9" t="str">
        <f>+VLOOKUP(A558,Hoja2!$A$2:$X$2596,22,FALSE)</f>
        <v>#N/A</v>
      </c>
      <c r="P558" s="9" t="str">
        <f>+VLOOKUP(A558,Hoja2!$A$2:$X$2596,23,FALSE)</f>
        <v>#N/A</v>
      </c>
      <c r="Q558" s="9" t="str">
        <f>+VLOOKUP(A558,Hoja2!$A$2:$X$2596,24,FALSE)</f>
        <v>#N/A</v>
      </c>
    </row>
    <row r="559" ht="15.75" hidden="1" customHeight="1">
      <c r="A559" s="8">
        <v>2496730.0</v>
      </c>
      <c r="B559" s="8">
        <v>2496730.0</v>
      </c>
      <c r="C559" s="9" t="s">
        <v>17</v>
      </c>
      <c r="D559" s="8">
        <v>2.0</v>
      </c>
      <c r="E559" s="8">
        <v>0.0</v>
      </c>
      <c r="F559" s="8">
        <v>0.0</v>
      </c>
      <c r="G559" s="9" t="s">
        <v>21</v>
      </c>
      <c r="H559" s="10">
        <v>45540.63616681713</v>
      </c>
      <c r="I559" s="10">
        <v>45548.490548842594</v>
      </c>
      <c r="J559" s="8">
        <v>8.0</v>
      </c>
      <c r="K559" s="11">
        <v>1.810380233E7</v>
      </c>
      <c r="L559" s="8" t="str">
        <f>+VLOOKUP(A559,Hoja2!$A$2:$X$2596,19,FALSE)</f>
        <v>#N/A</v>
      </c>
      <c r="M559" s="9" t="str">
        <f>+VLOOKUP(A559,Hoja2!$A$2:$X$2596,15,FALSE)</f>
        <v>#N/A</v>
      </c>
      <c r="N559" s="9" t="str">
        <f>+VLOOKUP(A559,Hoja2!$A$2:$X$2596,17,FALSE)</f>
        <v>#N/A</v>
      </c>
      <c r="O559" s="9" t="str">
        <f>+VLOOKUP(A559,Hoja2!$A$2:$X$2596,22,FALSE)</f>
        <v>#N/A</v>
      </c>
      <c r="P559" s="9" t="str">
        <f>+VLOOKUP(A559,Hoja2!$A$2:$X$2596,23,FALSE)</f>
        <v>#N/A</v>
      </c>
      <c r="Q559" s="9" t="str">
        <f>+VLOOKUP(A559,Hoja2!$A$2:$X$2596,24,FALSE)</f>
        <v>#N/A</v>
      </c>
    </row>
    <row r="560" ht="15.75" hidden="1" customHeight="1">
      <c r="A560" s="8">
        <v>2496883.0</v>
      </c>
      <c r="B560" s="8">
        <v>2496883.0</v>
      </c>
      <c r="C560" s="9" t="s">
        <v>19</v>
      </c>
      <c r="D560" s="8">
        <v>3.0</v>
      </c>
      <c r="E560" s="8">
        <v>0.0</v>
      </c>
      <c r="F560" s="8">
        <v>0.0</v>
      </c>
      <c r="G560" s="9" t="s">
        <v>21</v>
      </c>
      <c r="H560" s="10">
        <v>45603.35148244213</v>
      </c>
      <c r="I560" s="10">
        <v>45687.651308368055</v>
      </c>
      <c r="J560" s="8">
        <v>84.0</v>
      </c>
      <c r="K560" s="11">
        <v>4946316.48</v>
      </c>
      <c r="L560" s="8" t="str">
        <f>+VLOOKUP(A560,Hoja2!$A$2:$X$2596,19,FALSE)</f>
        <v>#N/A</v>
      </c>
      <c r="M560" s="9" t="str">
        <f>+VLOOKUP(A560,Hoja2!$A$2:$X$2596,15,FALSE)</f>
        <v>#N/A</v>
      </c>
      <c r="N560" s="9" t="str">
        <f>+VLOOKUP(A560,Hoja2!$A$2:$X$2596,17,FALSE)</f>
        <v>#N/A</v>
      </c>
      <c r="O560" s="9" t="str">
        <f>+VLOOKUP(A560,Hoja2!$A$2:$X$2596,22,FALSE)</f>
        <v>#N/A</v>
      </c>
      <c r="P560" s="9" t="str">
        <f>+VLOOKUP(A560,Hoja2!$A$2:$X$2596,23,FALSE)</f>
        <v>#N/A</v>
      </c>
      <c r="Q560" s="9" t="str">
        <f>+VLOOKUP(A560,Hoja2!$A$2:$X$2596,24,FALSE)</f>
        <v>#N/A</v>
      </c>
    </row>
    <row r="561" ht="15.75" hidden="1" customHeight="1">
      <c r="A561" s="8">
        <v>2496883.0</v>
      </c>
      <c r="B561" s="8">
        <v>2496883.0</v>
      </c>
      <c r="C561" s="9" t="s">
        <v>19</v>
      </c>
      <c r="D561" s="8">
        <v>3.0</v>
      </c>
      <c r="E561" s="8">
        <v>1.0</v>
      </c>
      <c r="F561" s="8">
        <v>0.0</v>
      </c>
      <c r="G561" s="9" t="s">
        <v>18</v>
      </c>
      <c r="H561" s="10">
        <v>45741.48636304398</v>
      </c>
      <c r="I561" s="10">
        <v>45807.69507357639</v>
      </c>
      <c r="J561" s="8">
        <v>66.0</v>
      </c>
      <c r="K561" s="11">
        <v>4946316.48</v>
      </c>
      <c r="L561" s="8" t="str">
        <f>+VLOOKUP(A561,Hoja2!$A$2:$X$2596,19,FALSE)</f>
        <v>#N/A</v>
      </c>
      <c r="M561" s="9" t="str">
        <f>+VLOOKUP(A561,Hoja2!$A$2:$X$2596,15,FALSE)</f>
        <v>#N/A</v>
      </c>
      <c r="N561" s="9" t="str">
        <f>+VLOOKUP(A561,Hoja2!$A$2:$X$2596,17,FALSE)</f>
        <v>#N/A</v>
      </c>
      <c r="O561" s="9" t="str">
        <f>+VLOOKUP(A561,Hoja2!$A$2:$X$2596,22,FALSE)</f>
        <v>#N/A</v>
      </c>
      <c r="P561" s="9" t="str">
        <f>+VLOOKUP(A561,Hoja2!$A$2:$X$2596,23,FALSE)</f>
        <v>#N/A</v>
      </c>
      <c r="Q561" s="9" t="str">
        <f>+VLOOKUP(A561,Hoja2!$A$2:$X$2596,24,FALSE)</f>
        <v>#N/A</v>
      </c>
    </row>
    <row r="562" ht="15.75" hidden="1" customHeight="1">
      <c r="A562" s="8">
        <v>2498119.0</v>
      </c>
      <c r="B562" s="8">
        <v>2498119.0</v>
      </c>
      <c r="C562" s="9" t="s">
        <v>19</v>
      </c>
      <c r="D562" s="8">
        <v>2.0</v>
      </c>
      <c r="E562" s="8">
        <v>0.0</v>
      </c>
      <c r="F562" s="8">
        <v>0.0</v>
      </c>
      <c r="G562" s="9" t="s">
        <v>21</v>
      </c>
      <c r="H562" s="10">
        <v>44238.74267334491</v>
      </c>
      <c r="I562" s="10">
        <v>44250.49309065972</v>
      </c>
      <c r="J562" s="8">
        <v>12.0</v>
      </c>
      <c r="K562" s="11">
        <v>4.023204489E7</v>
      </c>
      <c r="L562" s="8" t="str">
        <f>+VLOOKUP(A562,Hoja2!$A$2:$X$2596,19,FALSE)</f>
        <v>#N/A</v>
      </c>
      <c r="M562" s="9" t="str">
        <f>+VLOOKUP(A562,Hoja2!$A$2:$X$2596,15,FALSE)</f>
        <v>#N/A</v>
      </c>
      <c r="N562" s="9" t="str">
        <f>+VLOOKUP(A562,Hoja2!$A$2:$X$2596,17,FALSE)</f>
        <v>#N/A</v>
      </c>
      <c r="O562" s="9" t="str">
        <f>+VLOOKUP(A562,Hoja2!$A$2:$X$2596,22,FALSE)</f>
        <v>#N/A</v>
      </c>
      <c r="P562" s="9" t="str">
        <f>+VLOOKUP(A562,Hoja2!$A$2:$X$2596,23,FALSE)</f>
        <v>#N/A</v>
      </c>
      <c r="Q562" s="9" t="str">
        <f>+VLOOKUP(A562,Hoja2!$A$2:$X$2596,24,FALSE)</f>
        <v>#N/A</v>
      </c>
    </row>
    <row r="563" ht="15.75" hidden="1" customHeight="1">
      <c r="A563" s="8">
        <v>2500355.0</v>
      </c>
      <c r="B563" s="8">
        <v>2500355.0</v>
      </c>
      <c r="C563" s="9" t="s">
        <v>19</v>
      </c>
      <c r="D563" s="8">
        <v>4.0</v>
      </c>
      <c r="E563" s="8">
        <v>0.0</v>
      </c>
      <c r="F563" s="8">
        <v>0.0</v>
      </c>
      <c r="G563" s="9" t="s">
        <v>21</v>
      </c>
      <c r="H563" s="10">
        <v>44456.382967164354</v>
      </c>
      <c r="I563" s="10">
        <v>44505.70666215278</v>
      </c>
      <c r="J563" s="8">
        <v>49.0</v>
      </c>
      <c r="K563" s="11">
        <v>8145780.0</v>
      </c>
      <c r="L563" s="8" t="str">
        <f>+VLOOKUP(A563,Hoja2!$A$2:$X$2596,19,FALSE)</f>
        <v>#N/A</v>
      </c>
      <c r="M563" s="9" t="str">
        <f>+VLOOKUP(A563,Hoja2!$A$2:$X$2596,15,FALSE)</f>
        <v>#N/A</v>
      </c>
      <c r="N563" s="9" t="str">
        <f>+VLOOKUP(A563,Hoja2!$A$2:$X$2596,17,FALSE)</f>
        <v>#N/A</v>
      </c>
      <c r="O563" s="9" t="str">
        <f>+VLOOKUP(A563,Hoja2!$A$2:$X$2596,22,FALSE)</f>
        <v>#N/A</v>
      </c>
      <c r="P563" s="9" t="str">
        <f>+VLOOKUP(A563,Hoja2!$A$2:$X$2596,23,FALSE)</f>
        <v>#N/A</v>
      </c>
      <c r="Q563" s="9" t="str">
        <f>+VLOOKUP(A563,Hoja2!$A$2:$X$2596,24,FALSE)</f>
        <v>#N/A</v>
      </c>
    </row>
    <row r="564" ht="15.75" hidden="1" customHeight="1">
      <c r="A564" s="8">
        <v>2500355.0</v>
      </c>
      <c r="B564" s="8">
        <v>2500355.0</v>
      </c>
      <c r="C564" s="9" t="s">
        <v>19</v>
      </c>
      <c r="D564" s="8">
        <v>3.0</v>
      </c>
      <c r="E564" s="8">
        <v>0.0</v>
      </c>
      <c r="F564" s="8">
        <v>0.0</v>
      </c>
      <c r="G564" s="9" t="s">
        <v>21</v>
      </c>
      <c r="H564" s="10">
        <v>44585.40307040509</v>
      </c>
      <c r="I564" s="10">
        <v>44621.9533366088</v>
      </c>
      <c r="J564" s="8">
        <v>36.0</v>
      </c>
      <c r="K564" s="11">
        <v>8145780.0</v>
      </c>
      <c r="L564" s="8" t="str">
        <f>+VLOOKUP(A564,Hoja2!$A$2:$X$2596,19,FALSE)</f>
        <v>#N/A</v>
      </c>
      <c r="M564" s="9" t="str">
        <f>+VLOOKUP(A564,Hoja2!$A$2:$X$2596,15,FALSE)</f>
        <v>#N/A</v>
      </c>
      <c r="N564" s="9" t="str">
        <f>+VLOOKUP(A564,Hoja2!$A$2:$X$2596,17,FALSE)</f>
        <v>#N/A</v>
      </c>
      <c r="O564" s="9" t="str">
        <f>+VLOOKUP(A564,Hoja2!$A$2:$X$2596,22,FALSE)</f>
        <v>#N/A</v>
      </c>
      <c r="P564" s="9" t="str">
        <f>+VLOOKUP(A564,Hoja2!$A$2:$X$2596,23,FALSE)</f>
        <v>#N/A</v>
      </c>
      <c r="Q564" s="9" t="str">
        <f>+VLOOKUP(A564,Hoja2!$A$2:$X$2596,24,FALSE)</f>
        <v>#N/A</v>
      </c>
    </row>
    <row r="565" ht="15.75" hidden="1" customHeight="1">
      <c r="A565" s="8">
        <v>2500355.0</v>
      </c>
      <c r="B565" s="8">
        <v>2500355.0</v>
      </c>
      <c r="C565" s="9" t="s">
        <v>17</v>
      </c>
      <c r="D565" s="8">
        <v>2.0</v>
      </c>
      <c r="E565" s="8">
        <v>0.0</v>
      </c>
      <c r="F565" s="8">
        <v>0.0</v>
      </c>
      <c r="G565" s="9" t="s">
        <v>21</v>
      </c>
      <c r="H565" s="10">
        <v>44867.78707774306</v>
      </c>
      <c r="I565" s="10">
        <v>44881.73378116898</v>
      </c>
      <c r="J565" s="8">
        <v>14.0</v>
      </c>
      <c r="K565" s="11">
        <v>8145780.0</v>
      </c>
      <c r="L565" s="8" t="str">
        <f>+VLOOKUP(A565,Hoja2!$A$2:$X$2596,19,FALSE)</f>
        <v>#N/A</v>
      </c>
      <c r="M565" s="9" t="str">
        <f>+VLOOKUP(A565,Hoja2!$A$2:$X$2596,15,FALSE)</f>
        <v>#N/A</v>
      </c>
      <c r="N565" s="9" t="str">
        <f>+VLOOKUP(A565,Hoja2!$A$2:$X$2596,17,FALSE)</f>
        <v>#N/A</v>
      </c>
      <c r="O565" s="9" t="str">
        <f>+VLOOKUP(A565,Hoja2!$A$2:$X$2596,22,FALSE)</f>
        <v>#N/A</v>
      </c>
      <c r="P565" s="9" t="str">
        <f>+VLOOKUP(A565,Hoja2!$A$2:$X$2596,23,FALSE)</f>
        <v>#N/A</v>
      </c>
      <c r="Q565" s="9" t="str">
        <f>+VLOOKUP(A565,Hoja2!$A$2:$X$2596,24,FALSE)</f>
        <v>#N/A</v>
      </c>
    </row>
    <row r="566" ht="15.75" hidden="1" customHeight="1">
      <c r="A566" s="8">
        <v>2500800.0</v>
      </c>
      <c r="B566" s="8">
        <v>2500800.0</v>
      </c>
      <c r="C566" s="9" t="s">
        <v>17</v>
      </c>
      <c r="D566" s="8">
        <v>2.0</v>
      </c>
      <c r="E566" s="8">
        <v>0.0</v>
      </c>
      <c r="F566" s="8">
        <v>0.0</v>
      </c>
      <c r="G566" s="9" t="s">
        <v>21</v>
      </c>
      <c r="H566" s="10">
        <v>44550.65722056713</v>
      </c>
      <c r="I566" s="10">
        <v>44560.51942457176</v>
      </c>
      <c r="J566" s="8">
        <v>10.0</v>
      </c>
      <c r="K566" s="11">
        <v>4.287995813E7</v>
      </c>
      <c r="L566" s="8" t="str">
        <f>+VLOOKUP(A566,Hoja2!$A$2:$X$2596,19,FALSE)</f>
        <v>#N/A</v>
      </c>
      <c r="M566" s="9" t="str">
        <f>+VLOOKUP(A566,Hoja2!$A$2:$X$2596,15,FALSE)</f>
        <v>#N/A</v>
      </c>
      <c r="N566" s="9" t="str">
        <f>+VLOOKUP(A566,Hoja2!$A$2:$X$2596,17,FALSE)</f>
        <v>#N/A</v>
      </c>
      <c r="O566" s="9" t="str">
        <f>+VLOOKUP(A566,Hoja2!$A$2:$X$2596,22,FALSE)</f>
        <v>#N/A</v>
      </c>
      <c r="P566" s="9" t="str">
        <f>+VLOOKUP(A566,Hoja2!$A$2:$X$2596,23,FALSE)</f>
        <v>#N/A</v>
      </c>
      <c r="Q566" s="9" t="str">
        <f>+VLOOKUP(A566,Hoja2!$A$2:$X$2596,24,FALSE)</f>
        <v>#N/A</v>
      </c>
    </row>
    <row r="567" ht="15.75" hidden="1" customHeight="1">
      <c r="A567" s="8">
        <v>2500800.0</v>
      </c>
      <c r="B567" s="8">
        <v>2500800.0</v>
      </c>
      <c r="C567" s="9" t="s">
        <v>17</v>
      </c>
      <c r="D567" s="8">
        <v>3.0</v>
      </c>
      <c r="E567" s="8">
        <v>0.0</v>
      </c>
      <c r="F567" s="8">
        <v>0.0</v>
      </c>
      <c r="G567" s="9" t="s">
        <v>21</v>
      </c>
      <c r="H567" s="10">
        <v>44658.39975</v>
      </c>
      <c r="I567" s="10">
        <v>44669.519028159724</v>
      </c>
      <c r="J567" s="8">
        <v>11.0</v>
      </c>
      <c r="K567" s="11">
        <v>4.287995813E7</v>
      </c>
      <c r="L567" s="8" t="str">
        <f>+VLOOKUP(A567,Hoja2!$A$2:$X$2596,19,FALSE)</f>
        <v>#N/A</v>
      </c>
      <c r="M567" s="9" t="str">
        <f>+VLOOKUP(A567,Hoja2!$A$2:$X$2596,15,FALSE)</f>
        <v>#N/A</v>
      </c>
      <c r="N567" s="9" t="str">
        <f>+VLOOKUP(A567,Hoja2!$A$2:$X$2596,17,FALSE)</f>
        <v>#N/A</v>
      </c>
      <c r="O567" s="9" t="str">
        <f>+VLOOKUP(A567,Hoja2!$A$2:$X$2596,22,FALSE)</f>
        <v>#N/A</v>
      </c>
      <c r="P567" s="9" t="str">
        <f>+VLOOKUP(A567,Hoja2!$A$2:$X$2596,23,FALSE)</f>
        <v>#N/A</v>
      </c>
      <c r="Q567" s="9" t="str">
        <f>+VLOOKUP(A567,Hoja2!$A$2:$X$2596,24,FALSE)</f>
        <v>#N/A</v>
      </c>
    </row>
    <row r="568" ht="15.75" hidden="1" customHeight="1">
      <c r="A568" s="8">
        <v>2500800.0</v>
      </c>
      <c r="B568" s="8">
        <v>2500800.0</v>
      </c>
      <c r="C568" s="9" t="s">
        <v>19</v>
      </c>
      <c r="D568" s="8">
        <v>3.0</v>
      </c>
      <c r="E568" s="8">
        <v>1.0</v>
      </c>
      <c r="F568" s="8">
        <v>0.0</v>
      </c>
      <c r="G568" s="9" t="s">
        <v>18</v>
      </c>
      <c r="H568" s="10">
        <v>44726.79872716435</v>
      </c>
      <c r="I568" s="10">
        <v>44806.48841346065</v>
      </c>
      <c r="J568" s="8">
        <v>80.0</v>
      </c>
      <c r="K568" s="11">
        <v>4.287995813E7</v>
      </c>
      <c r="L568" s="8" t="str">
        <f>+VLOOKUP(A568,Hoja2!$A$2:$X$2596,19,FALSE)</f>
        <v>#N/A</v>
      </c>
      <c r="M568" s="9" t="str">
        <f>+VLOOKUP(A568,Hoja2!$A$2:$X$2596,15,FALSE)</f>
        <v>#N/A</v>
      </c>
      <c r="N568" s="9" t="str">
        <f>+VLOOKUP(A568,Hoja2!$A$2:$X$2596,17,FALSE)</f>
        <v>#N/A</v>
      </c>
      <c r="O568" s="9" t="str">
        <f>+VLOOKUP(A568,Hoja2!$A$2:$X$2596,22,FALSE)</f>
        <v>#N/A</v>
      </c>
      <c r="P568" s="9" t="str">
        <f>+VLOOKUP(A568,Hoja2!$A$2:$X$2596,23,FALSE)</f>
        <v>#N/A</v>
      </c>
      <c r="Q568" s="9" t="str">
        <f>+VLOOKUP(A568,Hoja2!$A$2:$X$2596,24,FALSE)</f>
        <v>#N/A</v>
      </c>
    </row>
    <row r="569" ht="15.75" hidden="1" customHeight="1">
      <c r="A569" s="8">
        <v>2500800.0</v>
      </c>
      <c r="B569" s="8">
        <v>2500800.0</v>
      </c>
      <c r="C569" s="9" t="s">
        <v>19</v>
      </c>
      <c r="D569" s="8">
        <v>3.0</v>
      </c>
      <c r="E569" s="8">
        <v>1.0</v>
      </c>
      <c r="F569" s="8">
        <v>0.0</v>
      </c>
      <c r="G569" s="9" t="s">
        <v>18</v>
      </c>
      <c r="H569" s="10">
        <v>45310.7234284375</v>
      </c>
      <c r="I569" s="10">
        <v>45336.440264386576</v>
      </c>
      <c r="J569" s="8">
        <v>26.0</v>
      </c>
      <c r="K569" s="11">
        <v>4.287995813E7</v>
      </c>
      <c r="L569" s="8" t="str">
        <f>+VLOOKUP(A569,Hoja2!$A$2:$X$2596,19,FALSE)</f>
        <v>#N/A</v>
      </c>
      <c r="M569" s="9" t="str">
        <f>+VLOOKUP(A569,Hoja2!$A$2:$X$2596,15,FALSE)</f>
        <v>#N/A</v>
      </c>
      <c r="N569" s="9" t="str">
        <f>+VLOOKUP(A569,Hoja2!$A$2:$X$2596,17,FALSE)</f>
        <v>#N/A</v>
      </c>
      <c r="O569" s="9" t="str">
        <f>+VLOOKUP(A569,Hoja2!$A$2:$X$2596,22,FALSE)</f>
        <v>#N/A</v>
      </c>
      <c r="P569" s="9" t="str">
        <f>+VLOOKUP(A569,Hoja2!$A$2:$X$2596,23,FALSE)</f>
        <v>#N/A</v>
      </c>
      <c r="Q569" s="9" t="str">
        <f>+VLOOKUP(A569,Hoja2!$A$2:$X$2596,24,FALSE)</f>
        <v>#N/A</v>
      </c>
    </row>
    <row r="570" ht="15.75" hidden="1" customHeight="1">
      <c r="A570" s="8">
        <v>2500800.0</v>
      </c>
      <c r="B570" s="8">
        <v>2500800.0</v>
      </c>
      <c r="C570" s="9" t="s">
        <v>19</v>
      </c>
      <c r="D570" s="8">
        <v>1.0</v>
      </c>
      <c r="E570" s="8">
        <v>1.0</v>
      </c>
      <c r="F570" s="8">
        <v>0.0</v>
      </c>
      <c r="G570" s="9" t="s">
        <v>18</v>
      </c>
      <c r="H570" s="10">
        <v>45457.43241519676</v>
      </c>
      <c r="I570" s="10">
        <v>45489.65640778935</v>
      </c>
      <c r="J570" s="8">
        <v>32.0</v>
      </c>
      <c r="K570" s="11">
        <v>4.287995813E7</v>
      </c>
      <c r="L570" s="8" t="str">
        <f>+VLOOKUP(A570,Hoja2!$A$2:$X$2596,19,FALSE)</f>
        <v>#N/A</v>
      </c>
      <c r="M570" s="9" t="str">
        <f>+VLOOKUP(A570,Hoja2!$A$2:$X$2596,15,FALSE)</f>
        <v>#N/A</v>
      </c>
      <c r="N570" s="9" t="str">
        <f>+VLOOKUP(A570,Hoja2!$A$2:$X$2596,17,FALSE)</f>
        <v>#N/A</v>
      </c>
      <c r="O570" s="9" t="str">
        <f>+VLOOKUP(A570,Hoja2!$A$2:$X$2596,22,FALSE)</f>
        <v>#N/A</v>
      </c>
      <c r="P570" s="9" t="str">
        <f>+VLOOKUP(A570,Hoja2!$A$2:$X$2596,23,FALSE)</f>
        <v>#N/A</v>
      </c>
      <c r="Q570" s="9" t="str">
        <f>+VLOOKUP(A570,Hoja2!$A$2:$X$2596,24,FALSE)</f>
        <v>#N/A</v>
      </c>
    </row>
    <row r="571" ht="15.75" hidden="1" customHeight="1">
      <c r="A571" s="8">
        <v>2501506.0</v>
      </c>
      <c r="B571" s="8">
        <v>2501506.0</v>
      </c>
      <c r="C571" s="9" t="s">
        <v>19</v>
      </c>
      <c r="D571" s="8">
        <v>6.0</v>
      </c>
      <c r="E571" s="8">
        <v>0.0</v>
      </c>
      <c r="F571" s="8">
        <v>0.0</v>
      </c>
      <c r="G571" s="9" t="s">
        <v>21</v>
      </c>
      <c r="H571" s="10">
        <v>44512.461027627316</v>
      </c>
      <c r="I571" s="10">
        <v>44594.34603140046</v>
      </c>
      <c r="J571" s="8">
        <v>82.0</v>
      </c>
      <c r="K571" s="11">
        <v>8.220705245E7</v>
      </c>
      <c r="L571" s="8" t="str">
        <f>+VLOOKUP(A571,Hoja2!$A$2:$X$2596,19,FALSE)</f>
        <v>#N/A</v>
      </c>
      <c r="M571" s="9" t="str">
        <f>+VLOOKUP(A571,Hoja2!$A$2:$X$2596,15,FALSE)</f>
        <v>#N/A</v>
      </c>
      <c r="N571" s="9" t="str">
        <f>+VLOOKUP(A571,Hoja2!$A$2:$X$2596,17,FALSE)</f>
        <v>#N/A</v>
      </c>
      <c r="O571" s="9" t="str">
        <f>+VLOOKUP(A571,Hoja2!$A$2:$X$2596,22,FALSE)</f>
        <v>#N/A</v>
      </c>
      <c r="P571" s="9" t="str">
        <f>+VLOOKUP(A571,Hoja2!$A$2:$X$2596,23,FALSE)</f>
        <v>#N/A</v>
      </c>
      <c r="Q571" s="9" t="str">
        <f>+VLOOKUP(A571,Hoja2!$A$2:$X$2596,24,FALSE)</f>
        <v>#N/A</v>
      </c>
    </row>
    <row r="572" ht="15.75" hidden="1" customHeight="1">
      <c r="A572" s="8">
        <v>2501506.0</v>
      </c>
      <c r="B572" s="8">
        <v>2501506.0</v>
      </c>
      <c r="C572" s="9" t="s">
        <v>17</v>
      </c>
      <c r="D572" s="8">
        <v>2.0</v>
      </c>
      <c r="E572" s="8">
        <v>0.0</v>
      </c>
      <c r="F572" s="8">
        <v>0.0</v>
      </c>
      <c r="G572" s="9" t="s">
        <v>21</v>
      </c>
      <c r="H572" s="10">
        <v>44698.69255436343</v>
      </c>
      <c r="I572" s="10">
        <v>44715.66813445602</v>
      </c>
      <c r="J572" s="8">
        <v>17.0</v>
      </c>
      <c r="K572" s="11">
        <v>8.220705245E7</v>
      </c>
      <c r="L572" s="8" t="str">
        <f>+VLOOKUP(A572,Hoja2!$A$2:$X$2596,19,FALSE)</f>
        <v>#N/A</v>
      </c>
      <c r="M572" s="9" t="str">
        <f>+VLOOKUP(A572,Hoja2!$A$2:$X$2596,15,FALSE)</f>
        <v>#N/A</v>
      </c>
      <c r="N572" s="9" t="str">
        <f>+VLOOKUP(A572,Hoja2!$A$2:$X$2596,17,FALSE)</f>
        <v>#N/A</v>
      </c>
      <c r="O572" s="9" t="str">
        <f>+VLOOKUP(A572,Hoja2!$A$2:$X$2596,22,FALSE)</f>
        <v>#N/A</v>
      </c>
      <c r="P572" s="9" t="str">
        <f>+VLOOKUP(A572,Hoja2!$A$2:$X$2596,23,FALSE)</f>
        <v>#N/A</v>
      </c>
      <c r="Q572" s="9" t="str">
        <f>+VLOOKUP(A572,Hoja2!$A$2:$X$2596,24,FALSE)</f>
        <v>#N/A</v>
      </c>
    </row>
    <row r="573" ht="15.75" hidden="1" customHeight="1">
      <c r="A573" s="8">
        <v>2501506.0</v>
      </c>
      <c r="B573" s="8">
        <v>2501506.0</v>
      </c>
      <c r="C573" s="9" t="s">
        <v>17</v>
      </c>
      <c r="D573" s="8">
        <v>3.0</v>
      </c>
      <c r="E573" s="8">
        <v>0.0</v>
      </c>
      <c r="F573" s="8">
        <v>0.0</v>
      </c>
      <c r="G573" s="9" t="s">
        <v>21</v>
      </c>
      <c r="H573" s="10">
        <v>44754.377120983794</v>
      </c>
      <c r="I573" s="10">
        <v>44781.37110297454</v>
      </c>
      <c r="J573" s="8">
        <v>27.0</v>
      </c>
      <c r="K573" s="11">
        <v>8.220705245E7</v>
      </c>
      <c r="L573" s="8" t="str">
        <f>+VLOOKUP(A573,Hoja2!$A$2:$X$2596,19,FALSE)</f>
        <v>#N/A</v>
      </c>
      <c r="M573" s="9" t="str">
        <f>+VLOOKUP(A573,Hoja2!$A$2:$X$2596,15,FALSE)</f>
        <v>#N/A</v>
      </c>
      <c r="N573" s="9" t="str">
        <f>+VLOOKUP(A573,Hoja2!$A$2:$X$2596,17,FALSE)</f>
        <v>#N/A</v>
      </c>
      <c r="O573" s="9" t="str">
        <f>+VLOOKUP(A573,Hoja2!$A$2:$X$2596,22,FALSE)</f>
        <v>#N/A</v>
      </c>
      <c r="P573" s="9" t="str">
        <f>+VLOOKUP(A573,Hoja2!$A$2:$X$2596,23,FALSE)</f>
        <v>#N/A</v>
      </c>
      <c r="Q573" s="9" t="str">
        <f>+VLOOKUP(A573,Hoja2!$A$2:$X$2596,24,FALSE)</f>
        <v>#N/A</v>
      </c>
    </row>
    <row r="574" ht="15.75" hidden="1" customHeight="1">
      <c r="A574" s="8">
        <v>2501506.0</v>
      </c>
      <c r="B574" s="8">
        <v>2501506.0</v>
      </c>
      <c r="C574" s="9" t="s">
        <v>19</v>
      </c>
      <c r="D574" s="8">
        <v>4.0</v>
      </c>
      <c r="E574" s="8">
        <v>0.0</v>
      </c>
      <c r="F574" s="8">
        <v>0.0</v>
      </c>
      <c r="G574" s="9" t="s">
        <v>21</v>
      </c>
      <c r="H574" s="10">
        <v>45540.71191681713</v>
      </c>
      <c r="I574" s="10">
        <v>45636.64658846065</v>
      </c>
      <c r="J574" s="8">
        <v>96.0</v>
      </c>
      <c r="K574" s="11">
        <v>8.220705245E7</v>
      </c>
      <c r="L574" s="8" t="str">
        <f>+VLOOKUP(A574,Hoja2!$A$2:$X$2596,19,FALSE)</f>
        <v>#N/A</v>
      </c>
      <c r="M574" s="9" t="str">
        <f>+VLOOKUP(A574,Hoja2!$A$2:$X$2596,15,FALSE)</f>
        <v>#N/A</v>
      </c>
      <c r="N574" s="9" t="str">
        <f>+VLOOKUP(A574,Hoja2!$A$2:$X$2596,17,FALSE)</f>
        <v>#N/A</v>
      </c>
      <c r="O574" s="9" t="str">
        <f>+VLOOKUP(A574,Hoja2!$A$2:$X$2596,22,FALSE)</f>
        <v>#N/A</v>
      </c>
      <c r="P574" s="9" t="str">
        <f>+VLOOKUP(A574,Hoja2!$A$2:$X$2596,23,FALSE)</f>
        <v>#N/A</v>
      </c>
      <c r="Q574" s="9" t="str">
        <f>+VLOOKUP(A574,Hoja2!$A$2:$X$2596,24,FALSE)</f>
        <v>#N/A</v>
      </c>
    </row>
    <row r="575" ht="15.75" hidden="1" customHeight="1">
      <c r="A575" s="8">
        <v>2501887.0</v>
      </c>
      <c r="B575" s="8">
        <v>2501887.0</v>
      </c>
      <c r="C575" s="9" t="s">
        <v>17</v>
      </c>
      <c r="D575" s="8">
        <v>2.0</v>
      </c>
      <c r="E575" s="8">
        <v>0.0</v>
      </c>
      <c r="F575" s="8">
        <v>0.0</v>
      </c>
      <c r="G575" s="9" t="s">
        <v>21</v>
      </c>
      <c r="H575" s="10">
        <v>44327.01471203704</v>
      </c>
      <c r="I575" s="10">
        <v>44328.441665659724</v>
      </c>
      <c r="J575" s="8">
        <v>1.0</v>
      </c>
      <c r="K575" s="11">
        <v>1.301861754E7</v>
      </c>
      <c r="L575" s="8" t="str">
        <f>+VLOOKUP(A575,Hoja2!$A$2:$X$2596,19,FALSE)</f>
        <v>Concluido</v>
      </c>
      <c r="M575" s="9">
        <f>+VLOOKUP(A575,Hoja2!$A$2:$X$2596,15,FALSE)</f>
        <v>12760393.19</v>
      </c>
      <c r="N575" s="9">
        <f>+VLOOKUP(A575,Hoja2!$A$2:$X$2596,17,FALSE)</f>
        <v>570647.87</v>
      </c>
      <c r="O575" s="9" t="str">
        <f>+VLOOKUP(A575,Hoja2!$A$2:$X$2596,22,FALSE)</f>
        <v/>
      </c>
      <c r="P575" s="9" t="str">
        <f>+VLOOKUP(A575,Hoja2!$A$2:$X$2596,23,FALSE)</f>
        <v/>
      </c>
      <c r="Q575" s="9" t="str">
        <f>+VLOOKUP(A575,Hoja2!$A$2:$X$2596,24,FALSE)</f>
        <v/>
      </c>
    </row>
    <row r="576" ht="15.75" hidden="1" customHeight="1">
      <c r="A576" s="8">
        <v>2501887.0</v>
      </c>
      <c r="B576" s="8">
        <v>2501887.0</v>
      </c>
      <c r="C576" s="9" t="s">
        <v>17</v>
      </c>
      <c r="D576" s="8">
        <v>3.0</v>
      </c>
      <c r="E576" s="8">
        <v>1.0</v>
      </c>
      <c r="F576" s="8">
        <v>0.0</v>
      </c>
      <c r="G576" s="9" t="s">
        <v>18</v>
      </c>
      <c r="H576" s="10">
        <v>44471.55628052083</v>
      </c>
      <c r="I576" s="10">
        <v>44539.64178888889</v>
      </c>
      <c r="J576" s="8">
        <v>68.0</v>
      </c>
      <c r="K576" s="11">
        <v>1.301861754E7</v>
      </c>
      <c r="L576" s="8" t="str">
        <f>+VLOOKUP(A576,Hoja2!$A$2:$X$2596,19,FALSE)</f>
        <v>Concluido</v>
      </c>
      <c r="M576" s="9">
        <f>+VLOOKUP(A576,Hoja2!$A$2:$X$2596,15,FALSE)</f>
        <v>12760393.19</v>
      </c>
      <c r="N576" s="9">
        <f>+VLOOKUP(A576,Hoja2!$A$2:$X$2596,17,FALSE)</f>
        <v>570647.87</v>
      </c>
      <c r="O576" s="9" t="str">
        <f>+VLOOKUP(A576,Hoja2!$A$2:$X$2596,22,FALSE)</f>
        <v/>
      </c>
      <c r="P576" s="9" t="str">
        <f>+VLOOKUP(A576,Hoja2!$A$2:$X$2596,23,FALSE)</f>
        <v/>
      </c>
      <c r="Q576" s="9" t="str">
        <f>+VLOOKUP(A576,Hoja2!$A$2:$X$2596,24,FALSE)</f>
        <v/>
      </c>
    </row>
    <row r="577" ht="15.75" customHeight="1">
      <c r="A577" s="8">
        <v>2501887.0</v>
      </c>
      <c r="B577" s="8">
        <v>2501887.0</v>
      </c>
      <c r="C577" s="9" t="s">
        <v>20</v>
      </c>
      <c r="D577" s="8">
        <v>2.0</v>
      </c>
      <c r="E577" s="8">
        <v>3.0</v>
      </c>
      <c r="F577" s="8">
        <v>0.0</v>
      </c>
      <c r="G577" s="9" t="s">
        <v>18</v>
      </c>
      <c r="H577" s="10">
        <v>44650.54948969907</v>
      </c>
      <c r="I577" s="10">
        <v>44753.50361894676</v>
      </c>
      <c r="J577" s="8">
        <v>103.0</v>
      </c>
      <c r="K577" s="11">
        <v>1.301861754E7</v>
      </c>
      <c r="L577" s="8" t="str">
        <f>+VLOOKUP(A577,Hoja2!$A$2:$X$2596,19,FALSE)</f>
        <v>Concluido</v>
      </c>
      <c r="M577" s="9">
        <f>+VLOOKUP(A577,Hoja2!$A$2:$X$2596,15,FALSE)</f>
        <v>12760393.19</v>
      </c>
      <c r="N577" s="9">
        <f>+VLOOKUP(A577,Hoja2!$A$2:$X$2596,17,FALSE)</f>
        <v>570647.87</v>
      </c>
      <c r="O577" s="9" t="str">
        <f>+VLOOKUP(A577,Hoja2!$A$2:$X$2596,22,FALSE)</f>
        <v/>
      </c>
      <c r="P577" s="9" t="str">
        <f>+VLOOKUP(A577,Hoja2!$A$2:$X$2596,23,FALSE)</f>
        <v/>
      </c>
      <c r="Q577" s="9" t="str">
        <f>+VLOOKUP(A577,Hoja2!$A$2:$X$2596,24,FALSE)</f>
        <v/>
      </c>
    </row>
    <row r="578" ht="15.75" customHeight="1">
      <c r="A578" s="8">
        <v>2503669.0</v>
      </c>
      <c r="B578" s="8">
        <v>2503669.0</v>
      </c>
      <c r="C578" s="9" t="s">
        <v>20</v>
      </c>
      <c r="D578" s="8">
        <v>3.0</v>
      </c>
      <c r="E578" s="8">
        <v>2.0</v>
      </c>
      <c r="F578" s="8">
        <v>0.0</v>
      </c>
      <c r="G578" s="9" t="s">
        <v>18</v>
      </c>
      <c r="H578" s="10">
        <v>44203.85025200232</v>
      </c>
      <c r="I578" s="10">
        <v>44393.85811153935</v>
      </c>
      <c r="J578" s="8">
        <v>190.0</v>
      </c>
      <c r="K578" s="11">
        <v>4205268.69</v>
      </c>
      <c r="L578" s="8" t="str">
        <f>+VLOOKUP(A578,Hoja2!$A$2:$X$2596,19,FALSE)</f>
        <v>Concluido</v>
      </c>
      <c r="M578" s="9">
        <f>+VLOOKUP(A578,Hoja2!$A$2:$X$2596,15,FALSE)</f>
        <v>2478882.1</v>
      </c>
      <c r="N578" s="9">
        <f>+VLOOKUP(A578,Hoja2!$A$2:$X$2596,17,FALSE)</f>
        <v>117000</v>
      </c>
      <c r="O578" s="9">
        <f>+VLOOKUP(A578,Hoja2!$A$2:$X$2596,22,FALSE)</f>
        <v>2654103.91</v>
      </c>
      <c r="P578" s="9">
        <f>+VLOOKUP(A578,Hoja2!$A$2:$X$2596,23,FALSE)</f>
        <v>106470</v>
      </c>
      <c r="Q578" s="9">
        <f>+VLOOKUP(A578,Hoja2!$A$2:$X$2596,24,FALSE)</f>
        <v>0</v>
      </c>
    </row>
    <row r="579" ht="15.75" hidden="1" customHeight="1">
      <c r="A579" s="8">
        <v>2504729.0</v>
      </c>
      <c r="B579" s="8">
        <v>2504729.0</v>
      </c>
      <c r="C579" s="9" t="s">
        <v>19</v>
      </c>
      <c r="D579" s="8">
        <v>4.0</v>
      </c>
      <c r="E579" s="8">
        <v>1.0</v>
      </c>
      <c r="F579" s="8">
        <v>0.0</v>
      </c>
      <c r="G579" s="9" t="s">
        <v>18</v>
      </c>
      <c r="H579" s="10">
        <v>44685.35535208333</v>
      </c>
      <c r="I579" s="10">
        <v>44742.416334918984</v>
      </c>
      <c r="J579" s="8">
        <v>57.0</v>
      </c>
      <c r="K579" s="11">
        <v>2.36232323E7</v>
      </c>
      <c r="L579" s="8" t="str">
        <f>+VLOOKUP(A579,Hoja2!$A$2:$X$2596,19,FALSE)</f>
        <v>#N/A</v>
      </c>
      <c r="M579" s="9" t="str">
        <f>+VLOOKUP(A579,Hoja2!$A$2:$X$2596,15,FALSE)</f>
        <v>#N/A</v>
      </c>
      <c r="N579" s="9" t="str">
        <f>+VLOOKUP(A579,Hoja2!$A$2:$X$2596,17,FALSE)</f>
        <v>#N/A</v>
      </c>
      <c r="O579" s="9" t="str">
        <f>+VLOOKUP(A579,Hoja2!$A$2:$X$2596,22,FALSE)</f>
        <v>#N/A</v>
      </c>
      <c r="P579" s="9" t="str">
        <f>+VLOOKUP(A579,Hoja2!$A$2:$X$2596,23,FALSE)</f>
        <v>#N/A</v>
      </c>
      <c r="Q579" s="9" t="str">
        <f>+VLOOKUP(A579,Hoja2!$A$2:$X$2596,24,FALSE)</f>
        <v>#N/A</v>
      </c>
    </row>
    <row r="580" ht="15.75" hidden="1" customHeight="1">
      <c r="A580" s="8">
        <v>2504729.0</v>
      </c>
      <c r="B580" s="8">
        <v>2504729.0</v>
      </c>
      <c r="C580" s="9" t="s">
        <v>19</v>
      </c>
      <c r="D580" s="8">
        <v>3.0</v>
      </c>
      <c r="E580" s="8">
        <v>1.0</v>
      </c>
      <c r="F580" s="8">
        <v>0.0</v>
      </c>
      <c r="G580" s="9" t="s">
        <v>18</v>
      </c>
      <c r="H580" s="10">
        <v>44895.13955934028</v>
      </c>
      <c r="I580" s="10">
        <v>44923.33837025463</v>
      </c>
      <c r="J580" s="8">
        <v>28.0</v>
      </c>
      <c r="K580" s="11">
        <v>2.36232323E7</v>
      </c>
      <c r="L580" s="8" t="str">
        <f>+VLOOKUP(A580,Hoja2!$A$2:$X$2596,19,FALSE)</f>
        <v>#N/A</v>
      </c>
      <c r="M580" s="9" t="str">
        <f>+VLOOKUP(A580,Hoja2!$A$2:$X$2596,15,FALSE)</f>
        <v>#N/A</v>
      </c>
      <c r="N580" s="9" t="str">
        <f>+VLOOKUP(A580,Hoja2!$A$2:$X$2596,17,FALSE)</f>
        <v>#N/A</v>
      </c>
      <c r="O580" s="9" t="str">
        <f>+VLOOKUP(A580,Hoja2!$A$2:$X$2596,22,FALSE)</f>
        <v>#N/A</v>
      </c>
      <c r="P580" s="9" t="str">
        <f>+VLOOKUP(A580,Hoja2!$A$2:$X$2596,23,FALSE)</f>
        <v>#N/A</v>
      </c>
      <c r="Q580" s="9" t="str">
        <f>+VLOOKUP(A580,Hoja2!$A$2:$X$2596,24,FALSE)</f>
        <v>#N/A</v>
      </c>
    </row>
    <row r="581" ht="15.75" hidden="1" customHeight="1">
      <c r="A581" s="8">
        <v>2504729.0</v>
      </c>
      <c r="B581" s="8">
        <v>2504729.0</v>
      </c>
      <c r="C581" s="9" t="s">
        <v>19</v>
      </c>
      <c r="D581" s="8">
        <v>2.0</v>
      </c>
      <c r="E581" s="8">
        <v>1.0</v>
      </c>
      <c r="F581" s="8">
        <v>0.0</v>
      </c>
      <c r="G581" s="9" t="s">
        <v>18</v>
      </c>
      <c r="H581" s="10">
        <v>45272.02952207176</v>
      </c>
      <c r="I581" s="10">
        <v>45303.350368287036</v>
      </c>
      <c r="J581" s="8">
        <v>31.0</v>
      </c>
      <c r="K581" s="11">
        <v>2.36232323E7</v>
      </c>
      <c r="L581" s="8" t="str">
        <f>+VLOOKUP(A581,Hoja2!$A$2:$X$2596,19,FALSE)</f>
        <v>#N/A</v>
      </c>
      <c r="M581" s="9" t="str">
        <f>+VLOOKUP(A581,Hoja2!$A$2:$X$2596,15,FALSE)</f>
        <v>#N/A</v>
      </c>
      <c r="N581" s="9" t="str">
        <f>+VLOOKUP(A581,Hoja2!$A$2:$X$2596,17,FALSE)</f>
        <v>#N/A</v>
      </c>
      <c r="O581" s="9" t="str">
        <f>+VLOOKUP(A581,Hoja2!$A$2:$X$2596,22,FALSE)</f>
        <v>#N/A</v>
      </c>
      <c r="P581" s="9" t="str">
        <f>+VLOOKUP(A581,Hoja2!$A$2:$X$2596,23,FALSE)</f>
        <v>#N/A</v>
      </c>
      <c r="Q581" s="9" t="str">
        <f>+VLOOKUP(A581,Hoja2!$A$2:$X$2596,24,FALSE)</f>
        <v>#N/A</v>
      </c>
    </row>
    <row r="582" ht="15.75" hidden="1" customHeight="1">
      <c r="A582" s="8">
        <v>2504729.0</v>
      </c>
      <c r="B582" s="8">
        <v>2504729.0</v>
      </c>
      <c r="C582" s="9" t="s">
        <v>19</v>
      </c>
      <c r="D582" s="8">
        <v>1.0</v>
      </c>
      <c r="E582" s="8">
        <v>1.0</v>
      </c>
      <c r="F582" s="8">
        <v>0.0</v>
      </c>
      <c r="G582" s="9" t="s">
        <v>18</v>
      </c>
      <c r="H582" s="10">
        <v>45394.45613518519</v>
      </c>
      <c r="I582" s="10">
        <v>45401.69063460648</v>
      </c>
      <c r="J582" s="8">
        <v>7.0</v>
      </c>
      <c r="K582" s="11">
        <v>2.36232323E7</v>
      </c>
      <c r="L582" s="8" t="str">
        <f>+VLOOKUP(A582,Hoja2!$A$2:$X$2596,19,FALSE)</f>
        <v>#N/A</v>
      </c>
      <c r="M582" s="9" t="str">
        <f>+VLOOKUP(A582,Hoja2!$A$2:$X$2596,15,FALSE)</f>
        <v>#N/A</v>
      </c>
      <c r="N582" s="9" t="str">
        <f>+VLOOKUP(A582,Hoja2!$A$2:$X$2596,17,FALSE)</f>
        <v>#N/A</v>
      </c>
      <c r="O582" s="9" t="str">
        <f>+VLOOKUP(A582,Hoja2!$A$2:$X$2596,22,FALSE)</f>
        <v>#N/A</v>
      </c>
      <c r="P582" s="9" t="str">
        <f>+VLOOKUP(A582,Hoja2!$A$2:$X$2596,23,FALSE)</f>
        <v>#N/A</v>
      </c>
      <c r="Q582" s="9" t="str">
        <f>+VLOOKUP(A582,Hoja2!$A$2:$X$2596,24,FALSE)</f>
        <v>#N/A</v>
      </c>
    </row>
    <row r="583" ht="15.75" hidden="1" customHeight="1">
      <c r="A583" s="8">
        <v>2504729.0</v>
      </c>
      <c r="B583" s="8">
        <v>2504729.0</v>
      </c>
      <c r="C583" s="9" t="s">
        <v>27</v>
      </c>
      <c r="D583" s="8">
        <v>1.0</v>
      </c>
      <c r="E583" s="8">
        <v>0.0</v>
      </c>
      <c r="F583" s="8">
        <v>0.0</v>
      </c>
      <c r="G583" s="9" t="s">
        <v>21</v>
      </c>
      <c r="H583" s="10">
        <v>45492.46122928241</v>
      </c>
      <c r="I583" s="10">
        <v>45492.46122928241</v>
      </c>
      <c r="J583" s="8">
        <v>0.0</v>
      </c>
      <c r="K583" s="11">
        <v>2.36232323E7</v>
      </c>
      <c r="L583" s="8" t="str">
        <f>+VLOOKUP(A583,Hoja2!$A$2:$X$2596,19,FALSE)</f>
        <v>#N/A</v>
      </c>
      <c r="M583" s="9" t="str">
        <f>+VLOOKUP(A583,Hoja2!$A$2:$X$2596,15,FALSE)</f>
        <v>#N/A</v>
      </c>
      <c r="N583" s="9" t="str">
        <f>+VLOOKUP(A583,Hoja2!$A$2:$X$2596,17,FALSE)</f>
        <v>#N/A</v>
      </c>
      <c r="O583" s="9" t="str">
        <f>+VLOOKUP(A583,Hoja2!$A$2:$X$2596,22,FALSE)</f>
        <v>#N/A</v>
      </c>
      <c r="P583" s="9" t="str">
        <f>+VLOOKUP(A583,Hoja2!$A$2:$X$2596,23,FALSE)</f>
        <v>#N/A</v>
      </c>
      <c r="Q583" s="9" t="str">
        <f>+VLOOKUP(A583,Hoja2!$A$2:$X$2596,24,FALSE)</f>
        <v>#N/A</v>
      </c>
    </row>
    <row r="584" ht="15.75" hidden="1" customHeight="1">
      <c r="A584" s="8">
        <v>2506052.0</v>
      </c>
      <c r="B584" s="8">
        <v>2506052.0</v>
      </c>
      <c r="C584" s="9" t="s">
        <v>17</v>
      </c>
      <c r="D584" s="8">
        <v>3.0</v>
      </c>
      <c r="E584" s="8">
        <v>0.0</v>
      </c>
      <c r="F584" s="8">
        <v>0.0</v>
      </c>
      <c r="G584" s="9" t="s">
        <v>21</v>
      </c>
      <c r="H584" s="10">
        <v>45086.53445582176</v>
      </c>
      <c r="I584" s="10">
        <v>45133.7153503125</v>
      </c>
      <c r="J584" s="8">
        <v>47.0</v>
      </c>
      <c r="K584" s="11">
        <v>7489909.62</v>
      </c>
      <c r="L584" s="8" t="str">
        <f>+VLOOKUP(A584,Hoja2!$A$2:$X$2596,19,FALSE)</f>
        <v>#N/A</v>
      </c>
      <c r="M584" s="9" t="str">
        <f>+VLOOKUP(A584,Hoja2!$A$2:$X$2596,15,FALSE)</f>
        <v>#N/A</v>
      </c>
      <c r="N584" s="9" t="str">
        <f>+VLOOKUP(A584,Hoja2!$A$2:$X$2596,17,FALSE)</f>
        <v>#N/A</v>
      </c>
      <c r="O584" s="9" t="str">
        <f>+VLOOKUP(A584,Hoja2!$A$2:$X$2596,22,FALSE)</f>
        <v>#N/A</v>
      </c>
      <c r="P584" s="9" t="str">
        <f>+VLOOKUP(A584,Hoja2!$A$2:$X$2596,23,FALSE)</f>
        <v>#N/A</v>
      </c>
      <c r="Q584" s="9" t="str">
        <f>+VLOOKUP(A584,Hoja2!$A$2:$X$2596,24,FALSE)</f>
        <v>#N/A</v>
      </c>
    </row>
    <row r="585" ht="15.75" hidden="1" customHeight="1">
      <c r="A585" s="8">
        <v>2506052.0</v>
      </c>
      <c r="B585" s="8">
        <v>2506052.0</v>
      </c>
      <c r="C585" s="9" t="s">
        <v>17</v>
      </c>
      <c r="D585" s="8">
        <v>3.0</v>
      </c>
      <c r="E585" s="8">
        <v>0.0</v>
      </c>
      <c r="F585" s="8">
        <v>0.0</v>
      </c>
      <c r="G585" s="9" t="s">
        <v>21</v>
      </c>
      <c r="H585" s="10">
        <v>45238.676254398146</v>
      </c>
      <c r="I585" s="10">
        <v>45299.591289351854</v>
      </c>
      <c r="J585" s="8">
        <v>61.0</v>
      </c>
      <c r="K585" s="11">
        <v>7489909.62</v>
      </c>
      <c r="L585" s="8" t="str">
        <f>+VLOOKUP(A585,Hoja2!$A$2:$X$2596,19,FALSE)</f>
        <v>#N/A</v>
      </c>
      <c r="M585" s="9" t="str">
        <f>+VLOOKUP(A585,Hoja2!$A$2:$X$2596,15,FALSE)</f>
        <v>#N/A</v>
      </c>
      <c r="N585" s="9" t="str">
        <f>+VLOOKUP(A585,Hoja2!$A$2:$X$2596,17,FALSE)</f>
        <v>#N/A</v>
      </c>
      <c r="O585" s="9" t="str">
        <f>+VLOOKUP(A585,Hoja2!$A$2:$X$2596,22,FALSE)</f>
        <v>#N/A</v>
      </c>
      <c r="P585" s="9" t="str">
        <f>+VLOOKUP(A585,Hoja2!$A$2:$X$2596,23,FALSE)</f>
        <v>#N/A</v>
      </c>
      <c r="Q585" s="9" t="str">
        <f>+VLOOKUP(A585,Hoja2!$A$2:$X$2596,24,FALSE)</f>
        <v>#N/A</v>
      </c>
    </row>
    <row r="586" ht="15.75" hidden="1" customHeight="1">
      <c r="A586" s="8">
        <v>2506052.0</v>
      </c>
      <c r="B586" s="8">
        <v>2506052.0</v>
      </c>
      <c r="C586" s="9" t="s">
        <v>19</v>
      </c>
      <c r="D586" s="8">
        <v>3.0</v>
      </c>
      <c r="E586" s="8">
        <v>1.0</v>
      </c>
      <c r="F586" s="8">
        <v>0.0</v>
      </c>
      <c r="G586" s="9" t="s">
        <v>18</v>
      </c>
      <c r="H586" s="10">
        <v>45395.67165324074</v>
      </c>
      <c r="I586" s="10">
        <v>45435.60080428241</v>
      </c>
      <c r="J586" s="8">
        <v>40.0</v>
      </c>
      <c r="K586" s="11">
        <v>7489909.62</v>
      </c>
      <c r="L586" s="8" t="str">
        <f>+VLOOKUP(A586,Hoja2!$A$2:$X$2596,19,FALSE)</f>
        <v>#N/A</v>
      </c>
      <c r="M586" s="9" t="str">
        <f>+VLOOKUP(A586,Hoja2!$A$2:$X$2596,15,FALSE)</f>
        <v>#N/A</v>
      </c>
      <c r="N586" s="9" t="str">
        <f>+VLOOKUP(A586,Hoja2!$A$2:$X$2596,17,FALSE)</f>
        <v>#N/A</v>
      </c>
      <c r="O586" s="9" t="str">
        <f>+VLOOKUP(A586,Hoja2!$A$2:$X$2596,22,FALSE)</f>
        <v>#N/A</v>
      </c>
      <c r="P586" s="9" t="str">
        <f>+VLOOKUP(A586,Hoja2!$A$2:$X$2596,23,FALSE)</f>
        <v>#N/A</v>
      </c>
      <c r="Q586" s="9" t="str">
        <f>+VLOOKUP(A586,Hoja2!$A$2:$X$2596,24,FALSE)</f>
        <v>#N/A</v>
      </c>
    </row>
    <row r="587" ht="15.75" customHeight="1">
      <c r="A587" s="8">
        <v>2506052.0</v>
      </c>
      <c r="B587" s="8">
        <v>2506052.0</v>
      </c>
      <c r="C587" s="9" t="s">
        <v>20</v>
      </c>
      <c r="D587" s="8">
        <v>2.0</v>
      </c>
      <c r="E587" s="8">
        <v>18.0</v>
      </c>
      <c r="F587" s="8">
        <v>0.0</v>
      </c>
      <c r="G587" s="9" t="s">
        <v>18</v>
      </c>
      <c r="H587" s="10">
        <v>45624.47925975695</v>
      </c>
      <c r="I587" s="10">
        <v>45849.445528854165</v>
      </c>
      <c r="J587" s="8">
        <v>225.0</v>
      </c>
      <c r="K587" s="11">
        <v>7489909.62</v>
      </c>
      <c r="L587" s="8" t="str">
        <f>+VLOOKUP(A587,Hoja2!$A$2:$X$2596,19,FALSE)</f>
        <v>#N/A</v>
      </c>
      <c r="M587" s="9" t="str">
        <f>+VLOOKUP(A587,Hoja2!$A$2:$X$2596,15,FALSE)</f>
        <v>#N/A</v>
      </c>
      <c r="N587" s="9" t="str">
        <f>+VLOOKUP(A587,Hoja2!$A$2:$X$2596,17,FALSE)</f>
        <v>#N/A</v>
      </c>
      <c r="O587" s="9" t="str">
        <f>+VLOOKUP(A587,Hoja2!$A$2:$X$2596,22,FALSE)</f>
        <v>#N/A</v>
      </c>
      <c r="P587" s="9" t="str">
        <f>+VLOOKUP(A587,Hoja2!$A$2:$X$2596,23,FALSE)</f>
        <v>#N/A</v>
      </c>
      <c r="Q587" s="9" t="str">
        <f>+VLOOKUP(A587,Hoja2!$A$2:$X$2596,24,FALSE)</f>
        <v>#N/A</v>
      </c>
    </row>
    <row r="588" ht="15.75" hidden="1" customHeight="1">
      <c r="A588" s="8">
        <v>2506175.0</v>
      </c>
      <c r="B588" s="8">
        <v>2506175.0</v>
      </c>
      <c r="C588" s="9" t="s">
        <v>25</v>
      </c>
      <c r="D588" s="8">
        <v>0.0</v>
      </c>
      <c r="E588" s="8">
        <v>0.0</v>
      </c>
      <c r="F588" s="8">
        <v>0.0</v>
      </c>
      <c r="G588" s="9" t="s">
        <v>26</v>
      </c>
      <c r="H588" s="10">
        <v>45706.393183252316</v>
      </c>
      <c r="I588" s="10">
        <v>45706.393183252316</v>
      </c>
      <c r="J588" s="8">
        <v>0.0</v>
      </c>
      <c r="K588" s="11">
        <v>2.776418871E7</v>
      </c>
      <c r="L588" s="8" t="str">
        <f>+VLOOKUP(A588,Hoja2!$A$2:$X$2596,19,FALSE)</f>
        <v>#N/A</v>
      </c>
      <c r="M588" s="9" t="str">
        <f>+VLOOKUP(A588,Hoja2!$A$2:$X$2596,15,FALSE)</f>
        <v>#N/A</v>
      </c>
      <c r="N588" s="9" t="str">
        <f>+VLOOKUP(A588,Hoja2!$A$2:$X$2596,17,FALSE)</f>
        <v>#N/A</v>
      </c>
      <c r="O588" s="9" t="str">
        <f>+VLOOKUP(A588,Hoja2!$A$2:$X$2596,22,FALSE)</f>
        <v>#N/A</v>
      </c>
      <c r="P588" s="9" t="str">
        <f>+VLOOKUP(A588,Hoja2!$A$2:$X$2596,23,FALSE)</f>
        <v>#N/A</v>
      </c>
      <c r="Q588" s="9" t="str">
        <f>+VLOOKUP(A588,Hoja2!$A$2:$X$2596,24,FALSE)</f>
        <v>#N/A</v>
      </c>
    </row>
    <row r="589" ht="15.75" hidden="1" customHeight="1">
      <c r="A589" s="8">
        <v>2506175.0</v>
      </c>
      <c r="B589" s="8">
        <v>2506175.0</v>
      </c>
      <c r="C589" s="9" t="s">
        <v>19</v>
      </c>
      <c r="D589" s="8">
        <v>2.0</v>
      </c>
      <c r="E589" s="8">
        <v>0.0</v>
      </c>
      <c r="F589" s="8">
        <v>0.0</v>
      </c>
      <c r="G589" s="9" t="s">
        <v>21</v>
      </c>
      <c r="H589" s="10">
        <v>45714.70812306713</v>
      </c>
      <c r="I589" s="10">
        <v>45723.75768978009</v>
      </c>
      <c r="J589" s="8">
        <v>9.0</v>
      </c>
      <c r="K589" s="11">
        <v>2.776418871E7</v>
      </c>
      <c r="L589" s="8" t="str">
        <f>+VLOOKUP(A589,Hoja2!$A$2:$X$2596,19,FALSE)</f>
        <v>#N/A</v>
      </c>
      <c r="M589" s="9" t="str">
        <f>+VLOOKUP(A589,Hoja2!$A$2:$X$2596,15,FALSE)</f>
        <v>#N/A</v>
      </c>
      <c r="N589" s="9" t="str">
        <f>+VLOOKUP(A589,Hoja2!$A$2:$X$2596,17,FALSE)</f>
        <v>#N/A</v>
      </c>
      <c r="O589" s="9" t="str">
        <f>+VLOOKUP(A589,Hoja2!$A$2:$X$2596,22,FALSE)</f>
        <v>#N/A</v>
      </c>
      <c r="P589" s="9" t="str">
        <f>+VLOOKUP(A589,Hoja2!$A$2:$X$2596,23,FALSE)</f>
        <v>#N/A</v>
      </c>
      <c r="Q589" s="9" t="str">
        <f>+VLOOKUP(A589,Hoja2!$A$2:$X$2596,24,FALSE)</f>
        <v>#N/A</v>
      </c>
    </row>
    <row r="590" ht="15.75" hidden="1" customHeight="1">
      <c r="A590" s="8">
        <v>2506391.0</v>
      </c>
      <c r="B590" s="8">
        <v>2506391.0</v>
      </c>
      <c r="C590" s="9" t="s">
        <v>25</v>
      </c>
      <c r="D590" s="8">
        <v>0.0</v>
      </c>
      <c r="E590" s="8">
        <v>0.0</v>
      </c>
      <c r="F590" s="8">
        <v>0.0</v>
      </c>
      <c r="G590" s="9" t="s">
        <v>26</v>
      </c>
      <c r="H590" s="10">
        <v>45615.654982175925</v>
      </c>
      <c r="I590" s="10">
        <v>45615.654982175925</v>
      </c>
      <c r="J590" s="8">
        <v>0.0</v>
      </c>
      <c r="K590" s="11">
        <v>1.826809526E7</v>
      </c>
      <c r="L590" s="8" t="str">
        <f>+VLOOKUP(A590,Hoja2!$A$2:$X$2596,19,FALSE)</f>
        <v>#N/A</v>
      </c>
      <c r="M590" s="9" t="str">
        <f>+VLOOKUP(A590,Hoja2!$A$2:$X$2596,15,FALSE)</f>
        <v>#N/A</v>
      </c>
      <c r="N590" s="9" t="str">
        <f>+VLOOKUP(A590,Hoja2!$A$2:$X$2596,17,FALSE)</f>
        <v>#N/A</v>
      </c>
      <c r="O590" s="9" t="str">
        <f>+VLOOKUP(A590,Hoja2!$A$2:$X$2596,22,FALSE)</f>
        <v>#N/A</v>
      </c>
      <c r="P590" s="9" t="str">
        <f>+VLOOKUP(A590,Hoja2!$A$2:$X$2596,23,FALSE)</f>
        <v>#N/A</v>
      </c>
      <c r="Q590" s="9" t="str">
        <f>+VLOOKUP(A590,Hoja2!$A$2:$X$2596,24,FALSE)</f>
        <v>#N/A</v>
      </c>
    </row>
    <row r="591" ht="15.75" hidden="1" customHeight="1">
      <c r="A591" s="8">
        <v>2507975.0</v>
      </c>
      <c r="B591" s="8">
        <v>2507975.0</v>
      </c>
      <c r="C591" s="9" t="s">
        <v>17</v>
      </c>
      <c r="D591" s="8">
        <v>2.0</v>
      </c>
      <c r="E591" s="8">
        <v>0.0</v>
      </c>
      <c r="F591" s="8">
        <v>0.0</v>
      </c>
      <c r="G591" s="9" t="s">
        <v>21</v>
      </c>
      <c r="H591" s="10">
        <v>44315.470221180556</v>
      </c>
      <c r="I591" s="10">
        <v>44320.517367939814</v>
      </c>
      <c r="J591" s="8">
        <v>5.0</v>
      </c>
      <c r="K591" s="11">
        <v>2.446121546E7</v>
      </c>
      <c r="L591" s="8" t="str">
        <f>+VLOOKUP(A591,Hoja2!$A$2:$X$2596,19,FALSE)</f>
        <v>#N/A</v>
      </c>
      <c r="M591" s="9" t="str">
        <f>+VLOOKUP(A591,Hoja2!$A$2:$X$2596,15,FALSE)</f>
        <v>#N/A</v>
      </c>
      <c r="N591" s="9" t="str">
        <f>+VLOOKUP(A591,Hoja2!$A$2:$X$2596,17,FALSE)</f>
        <v>#N/A</v>
      </c>
      <c r="O591" s="9" t="str">
        <f>+VLOOKUP(A591,Hoja2!$A$2:$X$2596,22,FALSE)</f>
        <v>#N/A</v>
      </c>
      <c r="P591" s="9" t="str">
        <f>+VLOOKUP(A591,Hoja2!$A$2:$X$2596,23,FALSE)</f>
        <v>#N/A</v>
      </c>
      <c r="Q591" s="9" t="str">
        <f>+VLOOKUP(A591,Hoja2!$A$2:$X$2596,24,FALSE)</f>
        <v>#N/A</v>
      </c>
    </row>
    <row r="592" ht="15.75" hidden="1" customHeight="1">
      <c r="A592" s="8">
        <v>2507990.0</v>
      </c>
      <c r="B592" s="8">
        <v>2507990.0</v>
      </c>
      <c r="C592" s="9" t="s">
        <v>19</v>
      </c>
      <c r="D592" s="8">
        <v>3.0</v>
      </c>
      <c r="E592" s="8">
        <v>0.0</v>
      </c>
      <c r="F592" s="8">
        <v>0.0</v>
      </c>
      <c r="G592" s="9" t="s">
        <v>21</v>
      </c>
      <c r="H592" s="10">
        <v>44523.500692361114</v>
      </c>
      <c r="I592" s="10">
        <v>44603.628874884256</v>
      </c>
      <c r="J592" s="8">
        <v>80.0</v>
      </c>
      <c r="K592" s="11">
        <v>3458287.22</v>
      </c>
      <c r="L592" s="8" t="str">
        <f>+VLOOKUP(A592,Hoja2!$A$2:$X$2596,19,FALSE)</f>
        <v>#N/A</v>
      </c>
      <c r="M592" s="9" t="str">
        <f>+VLOOKUP(A592,Hoja2!$A$2:$X$2596,15,FALSE)</f>
        <v>#N/A</v>
      </c>
      <c r="N592" s="9" t="str">
        <f>+VLOOKUP(A592,Hoja2!$A$2:$X$2596,17,FALSE)</f>
        <v>#N/A</v>
      </c>
      <c r="O592" s="9" t="str">
        <f>+VLOOKUP(A592,Hoja2!$A$2:$X$2596,22,FALSE)</f>
        <v>#N/A</v>
      </c>
      <c r="P592" s="9" t="str">
        <f>+VLOOKUP(A592,Hoja2!$A$2:$X$2596,23,FALSE)</f>
        <v>#N/A</v>
      </c>
      <c r="Q592" s="9" t="str">
        <f>+VLOOKUP(A592,Hoja2!$A$2:$X$2596,24,FALSE)</f>
        <v>#N/A</v>
      </c>
    </row>
    <row r="593" ht="15.75" hidden="1" customHeight="1">
      <c r="A593" s="8">
        <v>2507990.0</v>
      </c>
      <c r="B593" s="8">
        <v>2507990.0</v>
      </c>
      <c r="C593" s="9" t="s">
        <v>17</v>
      </c>
      <c r="D593" s="8">
        <v>2.0</v>
      </c>
      <c r="E593" s="8">
        <v>0.0</v>
      </c>
      <c r="F593" s="8">
        <v>0.0</v>
      </c>
      <c r="G593" s="9" t="s">
        <v>21</v>
      </c>
      <c r="H593" s="10">
        <v>44641.447008483796</v>
      </c>
      <c r="I593" s="10">
        <v>44650.33893599537</v>
      </c>
      <c r="J593" s="8">
        <v>9.0</v>
      </c>
      <c r="K593" s="11">
        <v>3458287.22</v>
      </c>
      <c r="L593" s="8" t="str">
        <f>+VLOOKUP(A593,Hoja2!$A$2:$X$2596,19,FALSE)</f>
        <v>#N/A</v>
      </c>
      <c r="M593" s="9" t="str">
        <f>+VLOOKUP(A593,Hoja2!$A$2:$X$2596,15,FALSE)</f>
        <v>#N/A</v>
      </c>
      <c r="N593" s="9" t="str">
        <f>+VLOOKUP(A593,Hoja2!$A$2:$X$2596,17,FALSE)</f>
        <v>#N/A</v>
      </c>
      <c r="O593" s="9" t="str">
        <f>+VLOOKUP(A593,Hoja2!$A$2:$X$2596,22,FALSE)</f>
        <v>#N/A</v>
      </c>
      <c r="P593" s="9" t="str">
        <f>+VLOOKUP(A593,Hoja2!$A$2:$X$2596,23,FALSE)</f>
        <v>#N/A</v>
      </c>
      <c r="Q593" s="9" t="str">
        <f>+VLOOKUP(A593,Hoja2!$A$2:$X$2596,24,FALSE)</f>
        <v>#N/A</v>
      </c>
    </row>
    <row r="594" ht="15.75" hidden="1" customHeight="1">
      <c r="A594" s="8">
        <v>2508599.0</v>
      </c>
      <c r="B594" s="8">
        <v>2508599.0</v>
      </c>
      <c r="C594" s="9" t="s">
        <v>17</v>
      </c>
      <c r="D594" s="8">
        <v>2.0</v>
      </c>
      <c r="E594" s="8">
        <v>0.0</v>
      </c>
      <c r="F594" s="8">
        <v>0.0</v>
      </c>
      <c r="G594" s="9" t="s">
        <v>21</v>
      </c>
      <c r="H594" s="10">
        <v>44620.451130787034</v>
      </c>
      <c r="I594" s="10">
        <v>44623.41545694444</v>
      </c>
      <c r="J594" s="8">
        <v>3.0</v>
      </c>
      <c r="K594" s="11">
        <v>3.633024501E7</v>
      </c>
      <c r="L594" s="8" t="str">
        <f>+VLOOKUP(A594,Hoja2!$A$2:$X$2596,19,FALSE)</f>
        <v>#N/A</v>
      </c>
      <c r="M594" s="9" t="str">
        <f>+VLOOKUP(A594,Hoja2!$A$2:$X$2596,15,FALSE)</f>
        <v>#N/A</v>
      </c>
      <c r="N594" s="9" t="str">
        <f>+VLOOKUP(A594,Hoja2!$A$2:$X$2596,17,FALSE)</f>
        <v>#N/A</v>
      </c>
      <c r="O594" s="9" t="str">
        <f>+VLOOKUP(A594,Hoja2!$A$2:$X$2596,22,FALSE)</f>
        <v>#N/A</v>
      </c>
      <c r="P594" s="9" t="str">
        <f>+VLOOKUP(A594,Hoja2!$A$2:$X$2596,23,FALSE)</f>
        <v>#N/A</v>
      </c>
      <c r="Q594" s="9" t="str">
        <f>+VLOOKUP(A594,Hoja2!$A$2:$X$2596,24,FALSE)</f>
        <v>#N/A</v>
      </c>
    </row>
    <row r="595" ht="15.75" hidden="1" customHeight="1">
      <c r="A595" s="8">
        <v>2508599.0</v>
      </c>
      <c r="B595" s="8">
        <v>2508599.0</v>
      </c>
      <c r="C595" s="9" t="s">
        <v>19</v>
      </c>
      <c r="D595" s="8">
        <v>4.0</v>
      </c>
      <c r="E595" s="8">
        <v>1.0</v>
      </c>
      <c r="F595" s="8">
        <v>0.0</v>
      </c>
      <c r="G595" s="9" t="s">
        <v>18</v>
      </c>
      <c r="H595" s="10">
        <v>45783.961566516205</v>
      </c>
      <c r="I595" s="10">
        <v>45859.67456616898</v>
      </c>
      <c r="J595" s="8">
        <v>76.0</v>
      </c>
      <c r="K595" s="11">
        <v>3.633024501E7</v>
      </c>
      <c r="L595" s="8" t="str">
        <f>+VLOOKUP(A595,Hoja2!$A$2:$X$2596,19,FALSE)</f>
        <v>#N/A</v>
      </c>
      <c r="M595" s="9" t="str">
        <f>+VLOOKUP(A595,Hoja2!$A$2:$X$2596,15,FALSE)</f>
        <v>#N/A</v>
      </c>
      <c r="N595" s="9" t="str">
        <f>+VLOOKUP(A595,Hoja2!$A$2:$X$2596,17,FALSE)</f>
        <v>#N/A</v>
      </c>
      <c r="O595" s="9" t="str">
        <f>+VLOOKUP(A595,Hoja2!$A$2:$X$2596,22,FALSE)</f>
        <v>#N/A</v>
      </c>
      <c r="P595" s="9" t="str">
        <f>+VLOOKUP(A595,Hoja2!$A$2:$X$2596,23,FALSE)</f>
        <v>#N/A</v>
      </c>
      <c r="Q595" s="9" t="str">
        <f>+VLOOKUP(A595,Hoja2!$A$2:$X$2596,24,FALSE)</f>
        <v>#N/A</v>
      </c>
    </row>
    <row r="596" ht="15.75" hidden="1" customHeight="1">
      <c r="A596" s="8">
        <v>2508678.0</v>
      </c>
      <c r="B596" s="8">
        <v>2508678.0</v>
      </c>
      <c r="C596" s="9" t="s">
        <v>17</v>
      </c>
      <c r="D596" s="8">
        <v>3.0</v>
      </c>
      <c r="E596" s="8">
        <v>0.0</v>
      </c>
      <c r="F596" s="8">
        <v>0.0</v>
      </c>
      <c r="G596" s="9" t="s">
        <v>21</v>
      </c>
      <c r="H596" s="10">
        <v>45253.66630138889</v>
      </c>
      <c r="I596" s="10">
        <v>45260.700266087966</v>
      </c>
      <c r="J596" s="8">
        <v>7.0</v>
      </c>
      <c r="K596" s="11">
        <v>8988084.36</v>
      </c>
      <c r="L596" s="8" t="str">
        <f>+VLOOKUP(A596,Hoja2!$A$2:$X$2596,19,FALSE)</f>
        <v>#N/A</v>
      </c>
      <c r="M596" s="9" t="str">
        <f>+VLOOKUP(A596,Hoja2!$A$2:$X$2596,15,FALSE)</f>
        <v>#N/A</v>
      </c>
      <c r="N596" s="9" t="str">
        <f>+VLOOKUP(A596,Hoja2!$A$2:$X$2596,17,FALSE)</f>
        <v>#N/A</v>
      </c>
      <c r="O596" s="9" t="str">
        <f>+VLOOKUP(A596,Hoja2!$A$2:$X$2596,22,FALSE)</f>
        <v>#N/A</v>
      </c>
      <c r="P596" s="9" t="str">
        <f>+VLOOKUP(A596,Hoja2!$A$2:$X$2596,23,FALSE)</f>
        <v>#N/A</v>
      </c>
      <c r="Q596" s="9" t="str">
        <f>+VLOOKUP(A596,Hoja2!$A$2:$X$2596,24,FALSE)</f>
        <v>#N/A</v>
      </c>
    </row>
    <row r="597" ht="15.75" hidden="1" customHeight="1">
      <c r="A597" s="8">
        <v>2508822.0</v>
      </c>
      <c r="B597" s="8">
        <v>2508822.0</v>
      </c>
      <c r="C597" s="9" t="s">
        <v>19</v>
      </c>
      <c r="D597" s="8">
        <v>4.0</v>
      </c>
      <c r="E597" s="8">
        <v>0.0</v>
      </c>
      <c r="F597" s="8">
        <v>0.0</v>
      </c>
      <c r="G597" s="9" t="s">
        <v>21</v>
      </c>
      <c r="H597" s="10">
        <v>45088.503551469905</v>
      </c>
      <c r="I597" s="10">
        <v>45162.61384795139</v>
      </c>
      <c r="J597" s="8">
        <v>74.0</v>
      </c>
      <c r="K597" s="11">
        <v>2357850.47</v>
      </c>
      <c r="L597" s="8" t="str">
        <f>+VLOOKUP(A597,Hoja2!$A$2:$X$2596,19,FALSE)</f>
        <v>#N/A</v>
      </c>
      <c r="M597" s="9" t="str">
        <f>+VLOOKUP(A597,Hoja2!$A$2:$X$2596,15,FALSE)</f>
        <v>#N/A</v>
      </c>
      <c r="N597" s="9" t="str">
        <f>+VLOOKUP(A597,Hoja2!$A$2:$X$2596,17,FALSE)</f>
        <v>#N/A</v>
      </c>
      <c r="O597" s="9" t="str">
        <f>+VLOOKUP(A597,Hoja2!$A$2:$X$2596,22,FALSE)</f>
        <v>#N/A</v>
      </c>
      <c r="P597" s="9" t="str">
        <f>+VLOOKUP(A597,Hoja2!$A$2:$X$2596,23,FALSE)</f>
        <v>#N/A</v>
      </c>
      <c r="Q597" s="9" t="str">
        <f>+VLOOKUP(A597,Hoja2!$A$2:$X$2596,24,FALSE)</f>
        <v>#N/A</v>
      </c>
    </row>
    <row r="598" ht="15.75" hidden="1" customHeight="1">
      <c r="A598" s="8">
        <v>2508822.0</v>
      </c>
      <c r="B598" s="8">
        <v>2508822.0</v>
      </c>
      <c r="C598" s="9" t="s">
        <v>19</v>
      </c>
      <c r="D598" s="8">
        <v>4.0</v>
      </c>
      <c r="E598" s="8">
        <v>1.0</v>
      </c>
      <c r="F598" s="8">
        <v>0.0</v>
      </c>
      <c r="G598" s="9" t="s">
        <v>18</v>
      </c>
      <c r="H598" s="10">
        <v>45201.698680243055</v>
      </c>
      <c r="I598" s="10">
        <v>45240.69082311343</v>
      </c>
      <c r="J598" s="8">
        <v>39.0</v>
      </c>
      <c r="K598" s="11">
        <v>2357850.47</v>
      </c>
      <c r="L598" s="8" t="str">
        <f>+VLOOKUP(A598,Hoja2!$A$2:$X$2596,19,FALSE)</f>
        <v>#N/A</v>
      </c>
      <c r="M598" s="9" t="str">
        <f>+VLOOKUP(A598,Hoja2!$A$2:$X$2596,15,FALSE)</f>
        <v>#N/A</v>
      </c>
      <c r="N598" s="9" t="str">
        <f>+VLOOKUP(A598,Hoja2!$A$2:$X$2596,17,FALSE)</f>
        <v>#N/A</v>
      </c>
      <c r="O598" s="9" t="str">
        <f>+VLOOKUP(A598,Hoja2!$A$2:$X$2596,22,FALSE)</f>
        <v>#N/A</v>
      </c>
      <c r="P598" s="9" t="str">
        <f>+VLOOKUP(A598,Hoja2!$A$2:$X$2596,23,FALSE)</f>
        <v>#N/A</v>
      </c>
      <c r="Q598" s="9" t="str">
        <f>+VLOOKUP(A598,Hoja2!$A$2:$X$2596,24,FALSE)</f>
        <v>#N/A</v>
      </c>
    </row>
    <row r="599" ht="15.75" customHeight="1">
      <c r="A599" s="8">
        <v>2508822.0</v>
      </c>
      <c r="B599" s="8">
        <v>2508822.0</v>
      </c>
      <c r="C599" s="9" t="s">
        <v>20</v>
      </c>
      <c r="D599" s="8">
        <v>4.0</v>
      </c>
      <c r="E599" s="8">
        <v>9.0</v>
      </c>
      <c r="F599" s="8">
        <v>0.0</v>
      </c>
      <c r="G599" s="9" t="s">
        <v>18</v>
      </c>
      <c r="H599" s="10">
        <v>45363.67835234954</v>
      </c>
      <c r="I599" s="10">
        <v>45470.70285555556</v>
      </c>
      <c r="J599" s="8">
        <v>107.0</v>
      </c>
      <c r="K599" s="11">
        <v>2357850.47</v>
      </c>
      <c r="L599" s="8" t="str">
        <f>+VLOOKUP(A599,Hoja2!$A$2:$X$2596,19,FALSE)</f>
        <v>#N/A</v>
      </c>
      <c r="M599" s="9" t="str">
        <f>+VLOOKUP(A599,Hoja2!$A$2:$X$2596,15,FALSE)</f>
        <v>#N/A</v>
      </c>
      <c r="N599" s="9" t="str">
        <f>+VLOOKUP(A599,Hoja2!$A$2:$X$2596,17,FALSE)</f>
        <v>#N/A</v>
      </c>
      <c r="O599" s="9" t="str">
        <f>+VLOOKUP(A599,Hoja2!$A$2:$X$2596,22,FALSE)</f>
        <v>#N/A</v>
      </c>
      <c r="P599" s="9" t="str">
        <f>+VLOOKUP(A599,Hoja2!$A$2:$X$2596,23,FALSE)</f>
        <v>#N/A</v>
      </c>
      <c r="Q599" s="9" t="str">
        <f>+VLOOKUP(A599,Hoja2!$A$2:$X$2596,24,FALSE)</f>
        <v>#N/A</v>
      </c>
    </row>
    <row r="600" ht="15.75" hidden="1" customHeight="1">
      <c r="A600" s="8">
        <v>2511960.0</v>
      </c>
      <c r="B600" s="8">
        <v>2511960.0</v>
      </c>
      <c r="C600" s="9" t="s">
        <v>17</v>
      </c>
      <c r="D600" s="8">
        <v>2.0</v>
      </c>
      <c r="E600" s="8">
        <v>0.0</v>
      </c>
      <c r="F600" s="8">
        <v>0.0</v>
      </c>
      <c r="G600" s="9" t="s">
        <v>21</v>
      </c>
      <c r="H600" s="10">
        <v>45190.00596466435</v>
      </c>
      <c r="I600" s="10">
        <v>45196.423255208334</v>
      </c>
      <c r="J600" s="8">
        <v>6.0</v>
      </c>
      <c r="K600" s="11">
        <v>3.41989526E7</v>
      </c>
      <c r="L600" s="8" t="str">
        <f>+VLOOKUP(A600,Hoja2!$A$2:$X$2596,19,FALSE)</f>
        <v>#N/A</v>
      </c>
      <c r="M600" s="9" t="str">
        <f>+VLOOKUP(A600,Hoja2!$A$2:$X$2596,15,FALSE)</f>
        <v>#N/A</v>
      </c>
      <c r="N600" s="9" t="str">
        <f>+VLOOKUP(A600,Hoja2!$A$2:$X$2596,17,FALSE)</f>
        <v>#N/A</v>
      </c>
      <c r="O600" s="9" t="str">
        <f>+VLOOKUP(A600,Hoja2!$A$2:$X$2596,22,FALSE)</f>
        <v>#N/A</v>
      </c>
      <c r="P600" s="9" t="str">
        <f>+VLOOKUP(A600,Hoja2!$A$2:$X$2596,23,FALSE)</f>
        <v>#N/A</v>
      </c>
      <c r="Q600" s="9" t="str">
        <f>+VLOOKUP(A600,Hoja2!$A$2:$X$2596,24,FALSE)</f>
        <v>#N/A</v>
      </c>
    </row>
    <row r="601" ht="15.75" hidden="1" customHeight="1">
      <c r="A601" s="8">
        <v>2511960.0</v>
      </c>
      <c r="B601" s="8">
        <v>2511960.0</v>
      </c>
      <c r="C601" s="9" t="s">
        <v>17</v>
      </c>
      <c r="D601" s="8">
        <v>2.0</v>
      </c>
      <c r="E601" s="8">
        <v>0.0</v>
      </c>
      <c r="F601" s="8">
        <v>0.0</v>
      </c>
      <c r="G601" s="9" t="s">
        <v>21</v>
      </c>
      <c r="H601" s="10">
        <v>45264.9901415162</v>
      </c>
      <c r="I601" s="10">
        <v>45274.73481380787</v>
      </c>
      <c r="J601" s="8">
        <v>10.0</v>
      </c>
      <c r="K601" s="11">
        <v>3.41989526E7</v>
      </c>
      <c r="L601" s="8" t="str">
        <f>+VLOOKUP(A601,Hoja2!$A$2:$X$2596,19,FALSE)</f>
        <v>#N/A</v>
      </c>
      <c r="M601" s="9" t="str">
        <f>+VLOOKUP(A601,Hoja2!$A$2:$X$2596,15,FALSE)</f>
        <v>#N/A</v>
      </c>
      <c r="N601" s="9" t="str">
        <f>+VLOOKUP(A601,Hoja2!$A$2:$X$2596,17,FALSE)</f>
        <v>#N/A</v>
      </c>
      <c r="O601" s="9" t="str">
        <f>+VLOOKUP(A601,Hoja2!$A$2:$X$2596,22,FALSE)</f>
        <v>#N/A</v>
      </c>
      <c r="P601" s="9" t="str">
        <f>+VLOOKUP(A601,Hoja2!$A$2:$X$2596,23,FALSE)</f>
        <v>#N/A</v>
      </c>
      <c r="Q601" s="9" t="str">
        <f>+VLOOKUP(A601,Hoja2!$A$2:$X$2596,24,FALSE)</f>
        <v>#N/A</v>
      </c>
    </row>
    <row r="602" ht="15.75" hidden="1" customHeight="1">
      <c r="A602" s="8">
        <v>2511960.0</v>
      </c>
      <c r="B602" s="8">
        <v>2511960.0</v>
      </c>
      <c r="C602" s="9" t="s">
        <v>17</v>
      </c>
      <c r="D602" s="8">
        <v>3.0</v>
      </c>
      <c r="E602" s="8">
        <v>0.0</v>
      </c>
      <c r="F602" s="8">
        <v>0.0</v>
      </c>
      <c r="G602" s="9" t="s">
        <v>21</v>
      </c>
      <c r="H602" s="10">
        <v>45323.168836770834</v>
      </c>
      <c r="I602" s="10">
        <v>45330.75809309028</v>
      </c>
      <c r="J602" s="8">
        <v>7.0</v>
      </c>
      <c r="K602" s="11">
        <v>3.41989526E7</v>
      </c>
      <c r="L602" s="8" t="str">
        <f>+VLOOKUP(A602,Hoja2!$A$2:$X$2596,19,FALSE)</f>
        <v>#N/A</v>
      </c>
      <c r="M602" s="9" t="str">
        <f>+VLOOKUP(A602,Hoja2!$A$2:$X$2596,15,FALSE)</f>
        <v>#N/A</v>
      </c>
      <c r="N602" s="9" t="str">
        <f>+VLOOKUP(A602,Hoja2!$A$2:$X$2596,17,FALSE)</f>
        <v>#N/A</v>
      </c>
      <c r="O602" s="9" t="str">
        <f>+VLOOKUP(A602,Hoja2!$A$2:$X$2596,22,FALSE)</f>
        <v>#N/A</v>
      </c>
      <c r="P602" s="9" t="str">
        <f>+VLOOKUP(A602,Hoja2!$A$2:$X$2596,23,FALSE)</f>
        <v>#N/A</v>
      </c>
      <c r="Q602" s="9" t="str">
        <f>+VLOOKUP(A602,Hoja2!$A$2:$X$2596,24,FALSE)</f>
        <v>#N/A</v>
      </c>
    </row>
    <row r="603" ht="15.75" hidden="1" customHeight="1">
      <c r="A603" s="8">
        <v>2511960.0</v>
      </c>
      <c r="B603" s="8">
        <v>2511960.0</v>
      </c>
      <c r="C603" s="9" t="s">
        <v>17</v>
      </c>
      <c r="D603" s="8">
        <v>2.0</v>
      </c>
      <c r="E603" s="8">
        <v>0.0</v>
      </c>
      <c r="F603" s="8">
        <v>0.0</v>
      </c>
      <c r="G603" s="9" t="s">
        <v>21</v>
      </c>
      <c r="H603" s="10">
        <v>45453.19435046296</v>
      </c>
      <c r="I603" s="10">
        <v>45461.68921994213</v>
      </c>
      <c r="J603" s="8">
        <v>8.0</v>
      </c>
      <c r="K603" s="11">
        <v>3.41989526E7</v>
      </c>
      <c r="L603" s="8" t="str">
        <f>+VLOOKUP(A603,Hoja2!$A$2:$X$2596,19,FALSE)</f>
        <v>#N/A</v>
      </c>
      <c r="M603" s="9" t="str">
        <f>+VLOOKUP(A603,Hoja2!$A$2:$X$2596,15,FALSE)</f>
        <v>#N/A</v>
      </c>
      <c r="N603" s="9" t="str">
        <f>+VLOOKUP(A603,Hoja2!$A$2:$X$2596,17,FALSE)</f>
        <v>#N/A</v>
      </c>
      <c r="O603" s="9" t="str">
        <f>+VLOOKUP(A603,Hoja2!$A$2:$X$2596,22,FALSE)</f>
        <v>#N/A</v>
      </c>
      <c r="P603" s="9" t="str">
        <f>+VLOOKUP(A603,Hoja2!$A$2:$X$2596,23,FALSE)</f>
        <v>#N/A</v>
      </c>
      <c r="Q603" s="9" t="str">
        <f>+VLOOKUP(A603,Hoja2!$A$2:$X$2596,24,FALSE)</f>
        <v>#N/A</v>
      </c>
    </row>
    <row r="604" ht="15.75" hidden="1" customHeight="1">
      <c r="A604" s="8">
        <v>2511960.0</v>
      </c>
      <c r="B604" s="8">
        <v>2511960.0</v>
      </c>
      <c r="C604" s="9" t="s">
        <v>17</v>
      </c>
      <c r="D604" s="8">
        <v>2.0</v>
      </c>
      <c r="E604" s="8">
        <v>0.0</v>
      </c>
      <c r="F604" s="8">
        <v>0.0</v>
      </c>
      <c r="G604" s="9" t="s">
        <v>21</v>
      </c>
      <c r="H604" s="10">
        <v>45552.096497569444</v>
      </c>
      <c r="I604" s="10">
        <v>45559.40481342593</v>
      </c>
      <c r="J604" s="8">
        <v>7.0</v>
      </c>
      <c r="K604" s="11">
        <v>3.41989526E7</v>
      </c>
      <c r="L604" s="8" t="str">
        <f>+VLOOKUP(A604,Hoja2!$A$2:$X$2596,19,FALSE)</f>
        <v>#N/A</v>
      </c>
      <c r="M604" s="9" t="str">
        <f>+VLOOKUP(A604,Hoja2!$A$2:$X$2596,15,FALSE)</f>
        <v>#N/A</v>
      </c>
      <c r="N604" s="9" t="str">
        <f>+VLOOKUP(A604,Hoja2!$A$2:$X$2596,17,FALSE)</f>
        <v>#N/A</v>
      </c>
      <c r="O604" s="9" t="str">
        <f>+VLOOKUP(A604,Hoja2!$A$2:$X$2596,22,FALSE)</f>
        <v>#N/A</v>
      </c>
      <c r="P604" s="9" t="str">
        <f>+VLOOKUP(A604,Hoja2!$A$2:$X$2596,23,FALSE)</f>
        <v>#N/A</v>
      </c>
      <c r="Q604" s="9" t="str">
        <f>+VLOOKUP(A604,Hoja2!$A$2:$X$2596,24,FALSE)</f>
        <v>#N/A</v>
      </c>
    </row>
    <row r="605" ht="15.75" hidden="1" customHeight="1">
      <c r="A605" s="8">
        <v>2511960.0</v>
      </c>
      <c r="B605" s="8">
        <v>2511960.0</v>
      </c>
      <c r="C605" s="9" t="s">
        <v>19</v>
      </c>
      <c r="D605" s="8">
        <v>4.0</v>
      </c>
      <c r="E605" s="8">
        <v>0.0</v>
      </c>
      <c r="F605" s="8">
        <v>0.0</v>
      </c>
      <c r="G605" s="9" t="s">
        <v>21</v>
      </c>
      <c r="H605" s="10">
        <v>45776.718289965276</v>
      </c>
      <c r="I605" s="10">
        <v>45881.46644325231</v>
      </c>
      <c r="J605" s="8">
        <v>105.0</v>
      </c>
      <c r="K605" s="11">
        <v>3.41989526E7</v>
      </c>
      <c r="L605" s="8" t="str">
        <f>+VLOOKUP(A605,Hoja2!$A$2:$X$2596,19,FALSE)</f>
        <v>#N/A</v>
      </c>
      <c r="M605" s="9" t="str">
        <f>+VLOOKUP(A605,Hoja2!$A$2:$X$2596,15,FALSE)</f>
        <v>#N/A</v>
      </c>
      <c r="N605" s="9" t="str">
        <f>+VLOOKUP(A605,Hoja2!$A$2:$X$2596,17,FALSE)</f>
        <v>#N/A</v>
      </c>
      <c r="O605" s="9" t="str">
        <f>+VLOOKUP(A605,Hoja2!$A$2:$X$2596,22,FALSE)</f>
        <v>#N/A</v>
      </c>
      <c r="P605" s="9" t="str">
        <f>+VLOOKUP(A605,Hoja2!$A$2:$X$2596,23,FALSE)</f>
        <v>#N/A</v>
      </c>
      <c r="Q605" s="9" t="str">
        <f>+VLOOKUP(A605,Hoja2!$A$2:$X$2596,24,FALSE)</f>
        <v>#N/A</v>
      </c>
    </row>
    <row r="606" ht="15.75" hidden="1" customHeight="1">
      <c r="A606" s="8">
        <v>2511960.0</v>
      </c>
      <c r="B606" s="8">
        <v>2511960.0</v>
      </c>
      <c r="C606" s="9" t="s">
        <v>22</v>
      </c>
      <c r="D606" s="8">
        <v>1.0</v>
      </c>
      <c r="E606" s="8">
        <v>1.0</v>
      </c>
      <c r="F606" s="8">
        <v>0.0</v>
      </c>
      <c r="G606" s="9" t="s">
        <v>18</v>
      </c>
      <c r="H606" s="10">
        <v>45896.881417627315</v>
      </c>
      <c r="I606" s="10">
        <v>45940.69871863426</v>
      </c>
      <c r="J606" s="8">
        <v>44.0</v>
      </c>
      <c r="K606" s="11">
        <v>3.41989526E7</v>
      </c>
      <c r="L606" s="8" t="str">
        <f>+VLOOKUP(A606,Hoja2!$A$2:$X$2596,19,FALSE)</f>
        <v>#N/A</v>
      </c>
      <c r="M606" s="9" t="str">
        <f>+VLOOKUP(A606,Hoja2!$A$2:$X$2596,15,FALSE)</f>
        <v>#N/A</v>
      </c>
      <c r="N606" s="9" t="str">
        <f>+VLOOKUP(A606,Hoja2!$A$2:$X$2596,17,FALSE)</f>
        <v>#N/A</v>
      </c>
      <c r="O606" s="9" t="str">
        <f>+VLOOKUP(A606,Hoja2!$A$2:$X$2596,22,FALSE)</f>
        <v>#N/A</v>
      </c>
      <c r="P606" s="9" t="str">
        <f>+VLOOKUP(A606,Hoja2!$A$2:$X$2596,23,FALSE)</f>
        <v>#N/A</v>
      </c>
      <c r="Q606" s="9" t="str">
        <f>+VLOOKUP(A606,Hoja2!$A$2:$X$2596,24,FALSE)</f>
        <v>#N/A</v>
      </c>
    </row>
    <row r="607" ht="15.75" hidden="1" customHeight="1">
      <c r="A607" s="8">
        <v>2512356.0</v>
      </c>
      <c r="B607" s="8">
        <v>2512356.0</v>
      </c>
      <c r="C607" s="9" t="s">
        <v>17</v>
      </c>
      <c r="D607" s="8">
        <v>2.0</v>
      </c>
      <c r="E607" s="8">
        <v>0.0</v>
      </c>
      <c r="F607" s="8">
        <v>0.0</v>
      </c>
      <c r="G607" s="9" t="s">
        <v>21</v>
      </c>
      <c r="H607" s="10">
        <v>44463.29217021991</v>
      </c>
      <c r="I607" s="10">
        <v>44753.68156153935</v>
      </c>
      <c r="J607" s="8">
        <v>290.0</v>
      </c>
      <c r="K607" s="11">
        <v>1.800705128E7</v>
      </c>
      <c r="L607" s="8" t="str">
        <f>+VLOOKUP(A607,Hoja2!$A$2:$X$2596,19,FALSE)</f>
        <v>#N/A</v>
      </c>
      <c r="M607" s="9" t="str">
        <f>+VLOOKUP(A607,Hoja2!$A$2:$X$2596,15,FALSE)</f>
        <v>#N/A</v>
      </c>
      <c r="N607" s="9" t="str">
        <f>+VLOOKUP(A607,Hoja2!$A$2:$X$2596,17,FALSE)</f>
        <v>#N/A</v>
      </c>
      <c r="O607" s="9" t="str">
        <f>+VLOOKUP(A607,Hoja2!$A$2:$X$2596,22,FALSE)</f>
        <v>#N/A</v>
      </c>
      <c r="P607" s="9" t="str">
        <f>+VLOOKUP(A607,Hoja2!$A$2:$X$2596,23,FALSE)</f>
        <v>#N/A</v>
      </c>
      <c r="Q607" s="9" t="str">
        <f>+VLOOKUP(A607,Hoja2!$A$2:$X$2596,24,FALSE)</f>
        <v>#N/A</v>
      </c>
    </row>
    <row r="608" ht="15.75" hidden="1" customHeight="1">
      <c r="A608" s="8">
        <v>2512356.0</v>
      </c>
      <c r="B608" s="8">
        <v>2512356.0</v>
      </c>
      <c r="C608" s="9" t="s">
        <v>17</v>
      </c>
      <c r="D608" s="8">
        <v>2.0</v>
      </c>
      <c r="E608" s="8">
        <v>0.0</v>
      </c>
      <c r="F608" s="8">
        <v>0.0</v>
      </c>
      <c r="G608" s="9" t="s">
        <v>21</v>
      </c>
      <c r="H608" s="10">
        <v>45195.53281755787</v>
      </c>
      <c r="I608" s="10">
        <v>45238.72840424768</v>
      </c>
      <c r="J608" s="8">
        <v>43.0</v>
      </c>
      <c r="K608" s="11">
        <v>1.800705128E7</v>
      </c>
      <c r="L608" s="8" t="str">
        <f>+VLOOKUP(A608,Hoja2!$A$2:$X$2596,19,FALSE)</f>
        <v>#N/A</v>
      </c>
      <c r="M608" s="9" t="str">
        <f>+VLOOKUP(A608,Hoja2!$A$2:$X$2596,15,FALSE)</f>
        <v>#N/A</v>
      </c>
      <c r="N608" s="9" t="str">
        <f>+VLOOKUP(A608,Hoja2!$A$2:$X$2596,17,FALSE)</f>
        <v>#N/A</v>
      </c>
      <c r="O608" s="9" t="str">
        <f>+VLOOKUP(A608,Hoja2!$A$2:$X$2596,22,FALSE)</f>
        <v>#N/A</v>
      </c>
      <c r="P608" s="9" t="str">
        <f>+VLOOKUP(A608,Hoja2!$A$2:$X$2596,23,FALSE)</f>
        <v>#N/A</v>
      </c>
      <c r="Q608" s="9" t="str">
        <f>+VLOOKUP(A608,Hoja2!$A$2:$X$2596,24,FALSE)</f>
        <v>#N/A</v>
      </c>
    </row>
    <row r="609" ht="15.75" hidden="1" customHeight="1">
      <c r="A609" s="8">
        <v>2512356.0</v>
      </c>
      <c r="B609" s="8">
        <v>2512356.0</v>
      </c>
      <c r="C609" s="9" t="s">
        <v>17</v>
      </c>
      <c r="D609" s="8">
        <v>2.0</v>
      </c>
      <c r="E609" s="8">
        <v>0.0</v>
      </c>
      <c r="F609" s="8">
        <v>0.0</v>
      </c>
      <c r="G609" s="9" t="s">
        <v>21</v>
      </c>
      <c r="H609" s="10">
        <v>45440.09883943287</v>
      </c>
      <c r="I609" s="10">
        <v>45455.807040196756</v>
      </c>
      <c r="J609" s="8">
        <v>15.0</v>
      </c>
      <c r="K609" s="11">
        <v>1.800705128E7</v>
      </c>
      <c r="L609" s="8" t="str">
        <f>+VLOOKUP(A609,Hoja2!$A$2:$X$2596,19,FALSE)</f>
        <v>#N/A</v>
      </c>
      <c r="M609" s="9" t="str">
        <f>+VLOOKUP(A609,Hoja2!$A$2:$X$2596,15,FALSE)</f>
        <v>#N/A</v>
      </c>
      <c r="N609" s="9" t="str">
        <f>+VLOOKUP(A609,Hoja2!$A$2:$X$2596,17,FALSE)</f>
        <v>#N/A</v>
      </c>
      <c r="O609" s="9" t="str">
        <f>+VLOOKUP(A609,Hoja2!$A$2:$X$2596,22,FALSE)</f>
        <v>#N/A</v>
      </c>
      <c r="P609" s="9" t="str">
        <f>+VLOOKUP(A609,Hoja2!$A$2:$X$2596,23,FALSE)</f>
        <v>#N/A</v>
      </c>
      <c r="Q609" s="9" t="str">
        <f>+VLOOKUP(A609,Hoja2!$A$2:$X$2596,24,FALSE)</f>
        <v>#N/A</v>
      </c>
    </row>
    <row r="610" ht="15.75" hidden="1" customHeight="1">
      <c r="A610" s="8">
        <v>2512356.0</v>
      </c>
      <c r="B610" s="8">
        <v>2512356.0</v>
      </c>
      <c r="C610" s="9" t="s">
        <v>19</v>
      </c>
      <c r="D610" s="8">
        <v>1.0</v>
      </c>
      <c r="E610" s="8">
        <v>1.0</v>
      </c>
      <c r="F610" s="8">
        <v>0.0</v>
      </c>
      <c r="G610" s="9" t="s">
        <v>18</v>
      </c>
      <c r="H610" s="10">
        <v>45750.87050092593</v>
      </c>
      <c r="I610" s="10">
        <v>45777.376882986115</v>
      </c>
      <c r="J610" s="8">
        <v>27.0</v>
      </c>
      <c r="K610" s="11">
        <v>1.800705128E7</v>
      </c>
      <c r="L610" s="8" t="str">
        <f>+VLOOKUP(A610,Hoja2!$A$2:$X$2596,19,FALSE)</f>
        <v>#N/A</v>
      </c>
      <c r="M610" s="9" t="str">
        <f>+VLOOKUP(A610,Hoja2!$A$2:$X$2596,15,FALSE)</f>
        <v>#N/A</v>
      </c>
      <c r="N610" s="9" t="str">
        <f>+VLOOKUP(A610,Hoja2!$A$2:$X$2596,17,FALSE)</f>
        <v>#N/A</v>
      </c>
      <c r="O610" s="9" t="str">
        <f>+VLOOKUP(A610,Hoja2!$A$2:$X$2596,22,FALSE)</f>
        <v>#N/A</v>
      </c>
      <c r="P610" s="9" t="str">
        <f>+VLOOKUP(A610,Hoja2!$A$2:$X$2596,23,FALSE)</f>
        <v>#N/A</v>
      </c>
      <c r="Q610" s="9" t="str">
        <f>+VLOOKUP(A610,Hoja2!$A$2:$X$2596,24,FALSE)</f>
        <v>#N/A</v>
      </c>
    </row>
    <row r="611" ht="15.75" hidden="1" customHeight="1">
      <c r="A611" s="8">
        <v>2512392.0</v>
      </c>
      <c r="B611" s="8">
        <v>2512392.0</v>
      </c>
      <c r="C611" s="9" t="s">
        <v>17</v>
      </c>
      <c r="D611" s="8">
        <v>2.0</v>
      </c>
      <c r="E611" s="8">
        <v>0.0</v>
      </c>
      <c r="F611" s="8">
        <v>0.0</v>
      </c>
      <c r="G611" s="9" t="s">
        <v>21</v>
      </c>
      <c r="H611" s="10">
        <v>44629.56884829861</v>
      </c>
      <c r="I611" s="10">
        <v>44636.407967210645</v>
      </c>
      <c r="J611" s="8">
        <v>7.0</v>
      </c>
      <c r="K611" s="11">
        <v>1926503.63</v>
      </c>
      <c r="L611" s="8" t="str">
        <f>+VLOOKUP(A611,Hoja2!$A$2:$X$2596,19,FALSE)</f>
        <v>#N/A</v>
      </c>
      <c r="M611" s="9" t="str">
        <f>+VLOOKUP(A611,Hoja2!$A$2:$X$2596,15,FALSE)</f>
        <v>#N/A</v>
      </c>
      <c r="N611" s="9" t="str">
        <f>+VLOOKUP(A611,Hoja2!$A$2:$X$2596,17,FALSE)</f>
        <v>#N/A</v>
      </c>
      <c r="O611" s="9" t="str">
        <f>+VLOOKUP(A611,Hoja2!$A$2:$X$2596,22,FALSE)</f>
        <v>#N/A</v>
      </c>
      <c r="P611" s="9" t="str">
        <f>+VLOOKUP(A611,Hoja2!$A$2:$X$2596,23,FALSE)</f>
        <v>#N/A</v>
      </c>
      <c r="Q611" s="9" t="str">
        <f>+VLOOKUP(A611,Hoja2!$A$2:$X$2596,24,FALSE)</f>
        <v>#N/A</v>
      </c>
    </row>
    <row r="612" ht="15.75" hidden="1" customHeight="1">
      <c r="A612" s="8">
        <v>2512896.0</v>
      </c>
      <c r="B612" s="8">
        <v>2512896.0</v>
      </c>
      <c r="C612" s="9" t="s">
        <v>17</v>
      </c>
      <c r="D612" s="8">
        <v>3.0</v>
      </c>
      <c r="E612" s="8">
        <v>0.0</v>
      </c>
      <c r="F612" s="8">
        <v>0.0</v>
      </c>
      <c r="G612" s="9" t="s">
        <v>21</v>
      </c>
      <c r="H612" s="10">
        <v>44544.49867013889</v>
      </c>
      <c r="I612" s="10">
        <v>44552.372220405094</v>
      </c>
      <c r="J612" s="8">
        <v>8.0</v>
      </c>
      <c r="K612" s="11">
        <v>8132069.53</v>
      </c>
      <c r="L612" s="8" t="str">
        <f>+VLOOKUP(A612,Hoja2!$A$2:$X$2596,19,FALSE)</f>
        <v>#N/A</v>
      </c>
      <c r="M612" s="9" t="str">
        <f>+VLOOKUP(A612,Hoja2!$A$2:$X$2596,15,FALSE)</f>
        <v>#N/A</v>
      </c>
      <c r="N612" s="9" t="str">
        <f>+VLOOKUP(A612,Hoja2!$A$2:$X$2596,17,FALSE)</f>
        <v>#N/A</v>
      </c>
      <c r="O612" s="9" t="str">
        <f>+VLOOKUP(A612,Hoja2!$A$2:$X$2596,22,FALSE)</f>
        <v>#N/A</v>
      </c>
      <c r="P612" s="9" t="str">
        <f>+VLOOKUP(A612,Hoja2!$A$2:$X$2596,23,FALSE)</f>
        <v>#N/A</v>
      </c>
      <c r="Q612" s="9" t="str">
        <f>+VLOOKUP(A612,Hoja2!$A$2:$X$2596,24,FALSE)</f>
        <v>#N/A</v>
      </c>
    </row>
    <row r="613" ht="15.75" hidden="1" customHeight="1">
      <c r="A613" s="8">
        <v>2512896.0</v>
      </c>
      <c r="B613" s="8">
        <v>2512896.0</v>
      </c>
      <c r="C613" s="9" t="s">
        <v>17</v>
      </c>
      <c r="D613" s="8">
        <v>2.0</v>
      </c>
      <c r="E613" s="8">
        <v>0.0</v>
      </c>
      <c r="F613" s="8">
        <v>0.0</v>
      </c>
      <c r="G613" s="9" t="s">
        <v>21</v>
      </c>
      <c r="H613" s="10">
        <v>44680.48343306713</v>
      </c>
      <c r="I613" s="10">
        <v>44690.48994074074</v>
      </c>
      <c r="J613" s="8">
        <v>10.0</v>
      </c>
      <c r="K613" s="11">
        <v>8132069.53</v>
      </c>
      <c r="L613" s="8" t="str">
        <f>+VLOOKUP(A613,Hoja2!$A$2:$X$2596,19,FALSE)</f>
        <v>#N/A</v>
      </c>
      <c r="M613" s="9" t="str">
        <f>+VLOOKUP(A613,Hoja2!$A$2:$X$2596,15,FALSE)</f>
        <v>#N/A</v>
      </c>
      <c r="N613" s="9" t="str">
        <f>+VLOOKUP(A613,Hoja2!$A$2:$X$2596,17,FALSE)</f>
        <v>#N/A</v>
      </c>
      <c r="O613" s="9" t="str">
        <f>+VLOOKUP(A613,Hoja2!$A$2:$X$2596,22,FALSE)</f>
        <v>#N/A</v>
      </c>
      <c r="P613" s="9" t="str">
        <f>+VLOOKUP(A613,Hoja2!$A$2:$X$2596,23,FALSE)</f>
        <v>#N/A</v>
      </c>
      <c r="Q613" s="9" t="str">
        <f>+VLOOKUP(A613,Hoja2!$A$2:$X$2596,24,FALSE)</f>
        <v>#N/A</v>
      </c>
    </row>
    <row r="614" ht="15.75" hidden="1" customHeight="1">
      <c r="A614" s="8">
        <v>2512912.0</v>
      </c>
      <c r="B614" s="8">
        <v>2512912.0</v>
      </c>
      <c r="C614" s="9" t="s">
        <v>17</v>
      </c>
      <c r="D614" s="8">
        <v>2.0</v>
      </c>
      <c r="E614" s="8">
        <v>0.0</v>
      </c>
      <c r="F614" s="8">
        <v>0.0</v>
      </c>
      <c r="G614" s="9" t="s">
        <v>21</v>
      </c>
      <c r="H614" s="10">
        <v>44422.52517353009</v>
      </c>
      <c r="I614" s="10">
        <v>44432.3350790162</v>
      </c>
      <c r="J614" s="8">
        <v>10.0</v>
      </c>
      <c r="K614" s="11">
        <v>1.336582767E7</v>
      </c>
      <c r="L614" s="8" t="str">
        <f>+VLOOKUP(A614,Hoja2!$A$2:$X$2596,19,FALSE)</f>
        <v>#N/A</v>
      </c>
      <c r="M614" s="9" t="str">
        <f>+VLOOKUP(A614,Hoja2!$A$2:$X$2596,15,FALSE)</f>
        <v>#N/A</v>
      </c>
      <c r="N614" s="9" t="str">
        <f>+VLOOKUP(A614,Hoja2!$A$2:$X$2596,17,FALSE)</f>
        <v>#N/A</v>
      </c>
      <c r="O614" s="9" t="str">
        <f>+VLOOKUP(A614,Hoja2!$A$2:$X$2596,22,FALSE)</f>
        <v>#N/A</v>
      </c>
      <c r="P614" s="9" t="str">
        <f>+VLOOKUP(A614,Hoja2!$A$2:$X$2596,23,FALSE)</f>
        <v>#N/A</v>
      </c>
      <c r="Q614" s="9" t="str">
        <f>+VLOOKUP(A614,Hoja2!$A$2:$X$2596,24,FALSE)</f>
        <v>#N/A</v>
      </c>
    </row>
    <row r="615" ht="15.75" hidden="1" customHeight="1">
      <c r="A615" s="8">
        <v>2515405.0</v>
      </c>
      <c r="B615" s="8">
        <v>2515405.0</v>
      </c>
      <c r="C615" s="9" t="s">
        <v>25</v>
      </c>
      <c r="D615" s="8">
        <v>0.0</v>
      </c>
      <c r="E615" s="8">
        <v>0.0</v>
      </c>
      <c r="F615" s="8">
        <v>0.0</v>
      </c>
      <c r="G615" s="9" t="s">
        <v>26</v>
      </c>
      <c r="H615" s="10">
        <v>45590.567022951385</v>
      </c>
      <c r="I615" s="10">
        <v>45590.567022951385</v>
      </c>
      <c r="J615" s="8">
        <v>0.0</v>
      </c>
      <c r="K615" s="11">
        <v>2.470571434E7</v>
      </c>
      <c r="L615" s="8" t="str">
        <f>+VLOOKUP(A615,Hoja2!$A$2:$X$2596,19,FALSE)</f>
        <v>#N/A</v>
      </c>
      <c r="M615" s="9" t="str">
        <f>+VLOOKUP(A615,Hoja2!$A$2:$X$2596,15,FALSE)</f>
        <v>#N/A</v>
      </c>
      <c r="N615" s="9" t="str">
        <f>+VLOOKUP(A615,Hoja2!$A$2:$X$2596,17,FALSE)</f>
        <v>#N/A</v>
      </c>
      <c r="O615" s="9" t="str">
        <f>+VLOOKUP(A615,Hoja2!$A$2:$X$2596,22,FALSE)</f>
        <v>#N/A</v>
      </c>
      <c r="P615" s="9" t="str">
        <f>+VLOOKUP(A615,Hoja2!$A$2:$X$2596,23,FALSE)</f>
        <v>#N/A</v>
      </c>
      <c r="Q615" s="9" t="str">
        <f>+VLOOKUP(A615,Hoja2!$A$2:$X$2596,24,FALSE)</f>
        <v>#N/A</v>
      </c>
    </row>
    <row r="616" ht="15.75" hidden="1" customHeight="1">
      <c r="A616" s="8">
        <v>2515405.0</v>
      </c>
      <c r="B616" s="8">
        <v>2515405.0</v>
      </c>
      <c r="C616" s="9" t="s">
        <v>19</v>
      </c>
      <c r="D616" s="8">
        <v>3.0</v>
      </c>
      <c r="E616" s="8">
        <v>0.0</v>
      </c>
      <c r="F616" s="8">
        <v>0.0</v>
      </c>
      <c r="G616" s="9" t="s">
        <v>21</v>
      </c>
      <c r="H616" s="10">
        <v>45623.50492893519</v>
      </c>
      <c r="I616" s="10">
        <v>45639.551814502316</v>
      </c>
      <c r="J616" s="8">
        <v>16.0</v>
      </c>
      <c r="K616" s="11">
        <v>2.470571434E7</v>
      </c>
      <c r="L616" s="8" t="str">
        <f>+VLOOKUP(A616,Hoja2!$A$2:$X$2596,19,FALSE)</f>
        <v>#N/A</v>
      </c>
      <c r="M616" s="9" t="str">
        <f>+VLOOKUP(A616,Hoja2!$A$2:$X$2596,15,FALSE)</f>
        <v>#N/A</v>
      </c>
      <c r="N616" s="9" t="str">
        <f>+VLOOKUP(A616,Hoja2!$A$2:$X$2596,17,FALSE)</f>
        <v>#N/A</v>
      </c>
      <c r="O616" s="9" t="str">
        <f>+VLOOKUP(A616,Hoja2!$A$2:$X$2596,22,FALSE)</f>
        <v>#N/A</v>
      </c>
      <c r="P616" s="9" t="str">
        <f>+VLOOKUP(A616,Hoja2!$A$2:$X$2596,23,FALSE)</f>
        <v>#N/A</v>
      </c>
      <c r="Q616" s="9" t="str">
        <f>+VLOOKUP(A616,Hoja2!$A$2:$X$2596,24,FALSE)</f>
        <v>#N/A</v>
      </c>
    </row>
    <row r="617" ht="15.75" hidden="1" customHeight="1">
      <c r="A617" s="8">
        <v>2516353.0</v>
      </c>
      <c r="B617" s="8">
        <v>2516353.0</v>
      </c>
      <c r="C617" s="9" t="s">
        <v>17</v>
      </c>
      <c r="D617" s="8">
        <v>2.0</v>
      </c>
      <c r="E617" s="8">
        <v>0.0</v>
      </c>
      <c r="F617" s="8">
        <v>0.0</v>
      </c>
      <c r="G617" s="9" t="s">
        <v>21</v>
      </c>
      <c r="H617" s="10">
        <v>44364.49705042824</v>
      </c>
      <c r="I617" s="10">
        <v>44371.489030474535</v>
      </c>
      <c r="J617" s="8">
        <v>7.0</v>
      </c>
      <c r="K617" s="11">
        <v>2.10474395E7</v>
      </c>
      <c r="L617" s="8" t="str">
        <f>+VLOOKUP(A617,Hoja2!$A$2:$X$2596,19,FALSE)</f>
        <v>#N/A</v>
      </c>
      <c r="M617" s="9" t="str">
        <f>+VLOOKUP(A617,Hoja2!$A$2:$X$2596,15,FALSE)</f>
        <v>#N/A</v>
      </c>
      <c r="N617" s="9" t="str">
        <f>+VLOOKUP(A617,Hoja2!$A$2:$X$2596,17,FALSE)</f>
        <v>#N/A</v>
      </c>
      <c r="O617" s="9" t="str">
        <f>+VLOOKUP(A617,Hoja2!$A$2:$X$2596,22,FALSE)</f>
        <v>#N/A</v>
      </c>
      <c r="P617" s="9" t="str">
        <f>+VLOOKUP(A617,Hoja2!$A$2:$X$2596,23,FALSE)</f>
        <v>#N/A</v>
      </c>
      <c r="Q617" s="9" t="str">
        <f>+VLOOKUP(A617,Hoja2!$A$2:$X$2596,24,FALSE)</f>
        <v>#N/A</v>
      </c>
    </row>
    <row r="618" ht="15.75" hidden="1" customHeight="1">
      <c r="A618" s="8">
        <v>2516353.0</v>
      </c>
      <c r="B618" s="8">
        <v>2516353.0</v>
      </c>
      <c r="C618" s="9" t="s">
        <v>17</v>
      </c>
      <c r="D618" s="8">
        <v>2.0</v>
      </c>
      <c r="E618" s="8">
        <v>0.0</v>
      </c>
      <c r="F618" s="8">
        <v>0.0</v>
      </c>
      <c r="G618" s="9" t="s">
        <v>21</v>
      </c>
      <c r="H618" s="10">
        <v>44413.62547670139</v>
      </c>
      <c r="I618" s="10">
        <v>44419.679480590275</v>
      </c>
      <c r="J618" s="8">
        <v>6.0</v>
      </c>
      <c r="K618" s="11">
        <v>2.10474395E7</v>
      </c>
      <c r="L618" s="8" t="str">
        <f>+VLOOKUP(A618,Hoja2!$A$2:$X$2596,19,FALSE)</f>
        <v>#N/A</v>
      </c>
      <c r="M618" s="9" t="str">
        <f>+VLOOKUP(A618,Hoja2!$A$2:$X$2596,15,FALSE)</f>
        <v>#N/A</v>
      </c>
      <c r="N618" s="9" t="str">
        <f>+VLOOKUP(A618,Hoja2!$A$2:$X$2596,17,FALSE)</f>
        <v>#N/A</v>
      </c>
      <c r="O618" s="9" t="str">
        <f>+VLOOKUP(A618,Hoja2!$A$2:$X$2596,22,FALSE)</f>
        <v>#N/A</v>
      </c>
      <c r="P618" s="9" t="str">
        <f>+VLOOKUP(A618,Hoja2!$A$2:$X$2596,23,FALSE)</f>
        <v>#N/A</v>
      </c>
      <c r="Q618" s="9" t="str">
        <f>+VLOOKUP(A618,Hoja2!$A$2:$X$2596,24,FALSE)</f>
        <v>#N/A</v>
      </c>
    </row>
    <row r="619" ht="15.75" hidden="1" customHeight="1">
      <c r="A619" s="8">
        <v>2516353.0</v>
      </c>
      <c r="B619" s="8">
        <v>2516353.0</v>
      </c>
      <c r="C619" s="9" t="s">
        <v>17</v>
      </c>
      <c r="D619" s="8">
        <v>3.0</v>
      </c>
      <c r="E619" s="8">
        <v>0.0</v>
      </c>
      <c r="F619" s="8">
        <v>0.0</v>
      </c>
      <c r="G619" s="9" t="s">
        <v>21</v>
      </c>
      <c r="H619" s="10">
        <v>44507.849452662034</v>
      </c>
      <c r="I619" s="10">
        <v>44515.45799537037</v>
      </c>
      <c r="J619" s="8">
        <v>8.0</v>
      </c>
      <c r="K619" s="11">
        <v>2.10474395E7</v>
      </c>
      <c r="L619" s="8" t="str">
        <f>+VLOOKUP(A619,Hoja2!$A$2:$X$2596,19,FALSE)</f>
        <v>#N/A</v>
      </c>
      <c r="M619" s="9" t="str">
        <f>+VLOOKUP(A619,Hoja2!$A$2:$X$2596,15,FALSE)</f>
        <v>#N/A</v>
      </c>
      <c r="N619" s="9" t="str">
        <f>+VLOOKUP(A619,Hoja2!$A$2:$X$2596,17,FALSE)</f>
        <v>#N/A</v>
      </c>
      <c r="O619" s="9" t="str">
        <f>+VLOOKUP(A619,Hoja2!$A$2:$X$2596,22,FALSE)</f>
        <v>#N/A</v>
      </c>
      <c r="P619" s="9" t="str">
        <f>+VLOOKUP(A619,Hoja2!$A$2:$X$2596,23,FALSE)</f>
        <v>#N/A</v>
      </c>
      <c r="Q619" s="9" t="str">
        <f>+VLOOKUP(A619,Hoja2!$A$2:$X$2596,24,FALSE)</f>
        <v>#N/A</v>
      </c>
    </row>
    <row r="620" ht="15.75" hidden="1" customHeight="1">
      <c r="A620" s="8">
        <v>2516353.0</v>
      </c>
      <c r="B620" s="8">
        <v>2516353.0</v>
      </c>
      <c r="C620" s="9" t="s">
        <v>17</v>
      </c>
      <c r="D620" s="8">
        <v>2.0</v>
      </c>
      <c r="E620" s="8">
        <v>0.0</v>
      </c>
      <c r="F620" s="8">
        <v>0.0</v>
      </c>
      <c r="G620" s="9" t="s">
        <v>21</v>
      </c>
      <c r="H620" s="10">
        <v>44670.70540057871</v>
      </c>
      <c r="I620" s="10">
        <v>44677.3720815162</v>
      </c>
      <c r="J620" s="8">
        <v>7.0</v>
      </c>
      <c r="K620" s="11">
        <v>2.10474395E7</v>
      </c>
      <c r="L620" s="8" t="str">
        <f>+VLOOKUP(A620,Hoja2!$A$2:$X$2596,19,FALSE)</f>
        <v>#N/A</v>
      </c>
      <c r="M620" s="9" t="str">
        <f>+VLOOKUP(A620,Hoja2!$A$2:$X$2596,15,FALSE)</f>
        <v>#N/A</v>
      </c>
      <c r="N620" s="9" t="str">
        <f>+VLOOKUP(A620,Hoja2!$A$2:$X$2596,17,FALSE)</f>
        <v>#N/A</v>
      </c>
      <c r="O620" s="9" t="str">
        <f>+VLOOKUP(A620,Hoja2!$A$2:$X$2596,22,FALSE)</f>
        <v>#N/A</v>
      </c>
      <c r="P620" s="9" t="str">
        <f>+VLOOKUP(A620,Hoja2!$A$2:$X$2596,23,FALSE)</f>
        <v>#N/A</v>
      </c>
      <c r="Q620" s="9" t="str">
        <f>+VLOOKUP(A620,Hoja2!$A$2:$X$2596,24,FALSE)</f>
        <v>#N/A</v>
      </c>
    </row>
    <row r="621" ht="15.75" hidden="1" customHeight="1">
      <c r="A621" s="8">
        <v>2517378.0</v>
      </c>
      <c r="B621" s="8">
        <v>2517378.0</v>
      </c>
      <c r="C621" s="9" t="s">
        <v>17</v>
      </c>
      <c r="D621" s="8">
        <v>3.0</v>
      </c>
      <c r="E621" s="8">
        <v>0.0</v>
      </c>
      <c r="F621" s="8">
        <v>0.0</v>
      </c>
      <c r="G621" s="9" t="s">
        <v>21</v>
      </c>
      <c r="H621" s="10">
        <v>44336.554008101855</v>
      </c>
      <c r="I621" s="10">
        <v>44347.80695431713</v>
      </c>
      <c r="J621" s="8">
        <v>11.0</v>
      </c>
      <c r="K621" s="11">
        <v>4.194815933E7</v>
      </c>
      <c r="L621" s="8" t="str">
        <f>+VLOOKUP(A621,Hoja2!$A$2:$X$2596,19,FALSE)</f>
        <v>#N/A</v>
      </c>
      <c r="M621" s="9" t="str">
        <f>+VLOOKUP(A621,Hoja2!$A$2:$X$2596,15,FALSE)</f>
        <v>#N/A</v>
      </c>
      <c r="N621" s="9" t="str">
        <f>+VLOOKUP(A621,Hoja2!$A$2:$X$2596,17,FALSE)</f>
        <v>#N/A</v>
      </c>
      <c r="O621" s="9" t="str">
        <f>+VLOOKUP(A621,Hoja2!$A$2:$X$2596,22,FALSE)</f>
        <v>#N/A</v>
      </c>
      <c r="P621" s="9" t="str">
        <f>+VLOOKUP(A621,Hoja2!$A$2:$X$2596,23,FALSE)</f>
        <v>#N/A</v>
      </c>
      <c r="Q621" s="9" t="str">
        <f>+VLOOKUP(A621,Hoja2!$A$2:$X$2596,24,FALSE)</f>
        <v>#N/A</v>
      </c>
    </row>
    <row r="622" ht="15.75" hidden="1" customHeight="1">
      <c r="A622" s="8">
        <v>2517378.0</v>
      </c>
      <c r="B622" s="8">
        <v>2517378.0</v>
      </c>
      <c r="C622" s="9" t="s">
        <v>17</v>
      </c>
      <c r="D622" s="8">
        <v>2.0</v>
      </c>
      <c r="E622" s="8">
        <v>0.0</v>
      </c>
      <c r="F622" s="8">
        <v>0.0</v>
      </c>
      <c r="G622" s="9" t="s">
        <v>21</v>
      </c>
      <c r="H622" s="10">
        <v>44389.73676403935</v>
      </c>
      <c r="I622" s="10">
        <v>44397.73718263889</v>
      </c>
      <c r="J622" s="8">
        <v>8.0</v>
      </c>
      <c r="K622" s="11">
        <v>4.194815933E7</v>
      </c>
      <c r="L622" s="8" t="str">
        <f>+VLOOKUP(A622,Hoja2!$A$2:$X$2596,19,FALSE)</f>
        <v>#N/A</v>
      </c>
      <c r="M622" s="9" t="str">
        <f>+VLOOKUP(A622,Hoja2!$A$2:$X$2596,15,FALSE)</f>
        <v>#N/A</v>
      </c>
      <c r="N622" s="9" t="str">
        <f>+VLOOKUP(A622,Hoja2!$A$2:$X$2596,17,FALSE)</f>
        <v>#N/A</v>
      </c>
      <c r="O622" s="9" t="str">
        <f>+VLOOKUP(A622,Hoja2!$A$2:$X$2596,22,FALSE)</f>
        <v>#N/A</v>
      </c>
      <c r="P622" s="9" t="str">
        <f>+VLOOKUP(A622,Hoja2!$A$2:$X$2596,23,FALSE)</f>
        <v>#N/A</v>
      </c>
      <c r="Q622" s="9" t="str">
        <f>+VLOOKUP(A622,Hoja2!$A$2:$X$2596,24,FALSE)</f>
        <v>#N/A</v>
      </c>
    </row>
    <row r="623" ht="15.75" hidden="1" customHeight="1">
      <c r="A623" s="8">
        <v>2520680.0</v>
      </c>
      <c r="B623" s="8">
        <v>2520680.0</v>
      </c>
      <c r="C623" s="9" t="s">
        <v>19</v>
      </c>
      <c r="D623" s="8">
        <v>4.0</v>
      </c>
      <c r="E623" s="8">
        <v>4.0</v>
      </c>
      <c r="F623" s="8">
        <v>0.0</v>
      </c>
      <c r="G623" s="9" t="s">
        <v>18</v>
      </c>
      <c r="H623" s="10">
        <v>44642.39512056713</v>
      </c>
      <c r="I623" s="10">
        <v>44825.69125451389</v>
      </c>
      <c r="J623" s="8">
        <v>183.0</v>
      </c>
      <c r="K623" s="11">
        <v>3.767542193E7</v>
      </c>
      <c r="L623" s="8" t="str">
        <f>+VLOOKUP(A623,Hoja2!$A$2:$X$2596,19,FALSE)</f>
        <v>#N/A</v>
      </c>
      <c r="M623" s="9" t="str">
        <f>+VLOOKUP(A623,Hoja2!$A$2:$X$2596,15,FALSE)</f>
        <v>#N/A</v>
      </c>
      <c r="N623" s="9" t="str">
        <f>+VLOOKUP(A623,Hoja2!$A$2:$X$2596,17,FALSE)</f>
        <v>#N/A</v>
      </c>
      <c r="O623" s="9" t="str">
        <f>+VLOOKUP(A623,Hoja2!$A$2:$X$2596,22,FALSE)</f>
        <v>#N/A</v>
      </c>
      <c r="P623" s="9" t="str">
        <f>+VLOOKUP(A623,Hoja2!$A$2:$X$2596,23,FALSE)</f>
        <v>#N/A</v>
      </c>
      <c r="Q623" s="9" t="str">
        <f>+VLOOKUP(A623,Hoja2!$A$2:$X$2596,24,FALSE)</f>
        <v>#N/A</v>
      </c>
    </row>
    <row r="624" ht="15.75" hidden="1" customHeight="1">
      <c r="A624" s="8">
        <v>2520680.0</v>
      </c>
      <c r="B624" s="8">
        <v>2520680.0</v>
      </c>
      <c r="C624" s="9" t="s">
        <v>19</v>
      </c>
      <c r="D624" s="8">
        <v>3.0</v>
      </c>
      <c r="E624" s="8">
        <v>2.0</v>
      </c>
      <c r="F624" s="8">
        <v>0.0</v>
      </c>
      <c r="G624" s="9" t="s">
        <v>18</v>
      </c>
      <c r="H624" s="10">
        <v>44826.50676909722</v>
      </c>
      <c r="I624" s="10">
        <v>44974.66621122685</v>
      </c>
      <c r="J624" s="8">
        <v>148.0</v>
      </c>
      <c r="K624" s="11">
        <v>3.767542193E7</v>
      </c>
      <c r="L624" s="8" t="str">
        <f>+VLOOKUP(A624,Hoja2!$A$2:$X$2596,19,FALSE)</f>
        <v>#N/A</v>
      </c>
      <c r="M624" s="9" t="str">
        <f>+VLOOKUP(A624,Hoja2!$A$2:$X$2596,15,FALSE)</f>
        <v>#N/A</v>
      </c>
      <c r="N624" s="9" t="str">
        <f>+VLOOKUP(A624,Hoja2!$A$2:$X$2596,17,FALSE)</f>
        <v>#N/A</v>
      </c>
      <c r="O624" s="9" t="str">
        <f>+VLOOKUP(A624,Hoja2!$A$2:$X$2596,22,FALSE)</f>
        <v>#N/A</v>
      </c>
      <c r="P624" s="9" t="str">
        <f>+VLOOKUP(A624,Hoja2!$A$2:$X$2596,23,FALSE)</f>
        <v>#N/A</v>
      </c>
      <c r="Q624" s="9" t="str">
        <f>+VLOOKUP(A624,Hoja2!$A$2:$X$2596,24,FALSE)</f>
        <v>#N/A</v>
      </c>
    </row>
    <row r="625" ht="15.75" hidden="1" customHeight="1">
      <c r="A625" s="8">
        <v>2520680.0</v>
      </c>
      <c r="B625" s="8">
        <v>2520680.0</v>
      </c>
      <c r="C625" s="9" t="s">
        <v>19</v>
      </c>
      <c r="D625" s="8">
        <v>1.0</v>
      </c>
      <c r="E625" s="8">
        <v>2.0</v>
      </c>
      <c r="F625" s="8">
        <v>0.0</v>
      </c>
      <c r="G625" s="9" t="s">
        <v>18</v>
      </c>
      <c r="H625" s="10">
        <v>45029.35620185185</v>
      </c>
      <c r="I625" s="10">
        <v>45174.45121724537</v>
      </c>
      <c r="J625" s="8">
        <v>145.0</v>
      </c>
      <c r="K625" s="11">
        <v>3.767542193E7</v>
      </c>
      <c r="L625" s="8" t="str">
        <f>+VLOOKUP(A625,Hoja2!$A$2:$X$2596,19,FALSE)</f>
        <v>#N/A</v>
      </c>
      <c r="M625" s="9" t="str">
        <f>+VLOOKUP(A625,Hoja2!$A$2:$X$2596,15,FALSE)</f>
        <v>#N/A</v>
      </c>
      <c r="N625" s="9" t="str">
        <f>+VLOOKUP(A625,Hoja2!$A$2:$X$2596,17,FALSE)</f>
        <v>#N/A</v>
      </c>
      <c r="O625" s="9" t="str">
        <f>+VLOOKUP(A625,Hoja2!$A$2:$X$2596,22,FALSE)</f>
        <v>#N/A</v>
      </c>
      <c r="P625" s="9" t="str">
        <f>+VLOOKUP(A625,Hoja2!$A$2:$X$2596,23,FALSE)</f>
        <v>#N/A</v>
      </c>
      <c r="Q625" s="9" t="str">
        <f>+VLOOKUP(A625,Hoja2!$A$2:$X$2596,24,FALSE)</f>
        <v>#N/A</v>
      </c>
    </row>
    <row r="626" ht="15.75" customHeight="1">
      <c r="A626" s="8">
        <v>2520680.0</v>
      </c>
      <c r="B626" s="8">
        <v>2520680.0</v>
      </c>
      <c r="C626" s="9" t="s">
        <v>20</v>
      </c>
      <c r="D626" s="8">
        <v>1.0</v>
      </c>
      <c r="E626" s="8">
        <v>8.0</v>
      </c>
      <c r="F626" s="8">
        <v>0.0</v>
      </c>
      <c r="G626" s="9" t="s">
        <v>18</v>
      </c>
      <c r="H626" s="10">
        <v>45313.578048414354</v>
      </c>
      <c r="I626" s="10">
        <v>45603.764519791664</v>
      </c>
      <c r="J626" s="8">
        <v>290.0</v>
      </c>
      <c r="K626" s="11">
        <v>3.767542193E7</v>
      </c>
      <c r="L626" s="8" t="str">
        <f>+VLOOKUP(A626,Hoja2!$A$2:$X$2596,19,FALSE)</f>
        <v>#N/A</v>
      </c>
      <c r="M626" s="9" t="str">
        <f>+VLOOKUP(A626,Hoja2!$A$2:$X$2596,15,FALSE)</f>
        <v>#N/A</v>
      </c>
      <c r="N626" s="9" t="str">
        <f>+VLOOKUP(A626,Hoja2!$A$2:$X$2596,17,FALSE)</f>
        <v>#N/A</v>
      </c>
      <c r="O626" s="9" t="str">
        <f>+VLOOKUP(A626,Hoja2!$A$2:$X$2596,22,FALSE)</f>
        <v>#N/A</v>
      </c>
      <c r="P626" s="9" t="str">
        <f>+VLOOKUP(A626,Hoja2!$A$2:$X$2596,23,FALSE)</f>
        <v>#N/A</v>
      </c>
      <c r="Q626" s="9" t="str">
        <f>+VLOOKUP(A626,Hoja2!$A$2:$X$2596,24,FALSE)</f>
        <v>#N/A</v>
      </c>
    </row>
    <row r="627" ht="15.75" hidden="1" customHeight="1">
      <c r="A627" s="8">
        <v>2523431.0</v>
      </c>
      <c r="B627" s="8">
        <v>2523431.0</v>
      </c>
      <c r="C627" s="9" t="s">
        <v>17</v>
      </c>
      <c r="D627" s="8">
        <v>3.0</v>
      </c>
      <c r="E627" s="8">
        <v>1.0</v>
      </c>
      <c r="F627" s="8">
        <v>0.0</v>
      </c>
      <c r="G627" s="9" t="s">
        <v>18</v>
      </c>
      <c r="H627" s="10">
        <v>44526.467045983794</v>
      </c>
      <c r="I627" s="10">
        <v>44599.41718842593</v>
      </c>
      <c r="J627" s="8">
        <v>73.0</v>
      </c>
      <c r="K627" s="11">
        <v>2107450.74</v>
      </c>
      <c r="L627" s="8" t="str">
        <f>+VLOOKUP(A627,Hoja2!$A$2:$X$2596,19,FALSE)</f>
        <v>#N/A</v>
      </c>
      <c r="M627" s="9" t="str">
        <f>+VLOOKUP(A627,Hoja2!$A$2:$X$2596,15,FALSE)</f>
        <v>#N/A</v>
      </c>
      <c r="N627" s="9" t="str">
        <f>+VLOOKUP(A627,Hoja2!$A$2:$X$2596,17,FALSE)</f>
        <v>#N/A</v>
      </c>
      <c r="O627" s="9" t="str">
        <f>+VLOOKUP(A627,Hoja2!$A$2:$X$2596,22,FALSE)</f>
        <v>#N/A</v>
      </c>
      <c r="P627" s="9" t="str">
        <f>+VLOOKUP(A627,Hoja2!$A$2:$X$2596,23,FALSE)</f>
        <v>#N/A</v>
      </c>
      <c r="Q627" s="9" t="str">
        <f>+VLOOKUP(A627,Hoja2!$A$2:$X$2596,24,FALSE)</f>
        <v>#N/A</v>
      </c>
    </row>
    <row r="628" ht="15.75" hidden="1" customHeight="1">
      <c r="A628" s="8">
        <v>2523431.0</v>
      </c>
      <c r="B628" s="8">
        <v>2523431.0</v>
      </c>
      <c r="C628" s="9" t="s">
        <v>19</v>
      </c>
      <c r="D628" s="8">
        <v>4.0</v>
      </c>
      <c r="E628" s="8">
        <v>2.0</v>
      </c>
      <c r="F628" s="8">
        <v>0.0</v>
      </c>
      <c r="G628" s="9" t="s">
        <v>18</v>
      </c>
      <c r="H628" s="10">
        <v>44636.4353849537</v>
      </c>
      <c r="I628" s="10">
        <v>44694.708672650464</v>
      </c>
      <c r="J628" s="8">
        <v>58.0</v>
      </c>
      <c r="K628" s="11">
        <v>2107450.74</v>
      </c>
      <c r="L628" s="8" t="str">
        <f>+VLOOKUP(A628,Hoja2!$A$2:$X$2596,19,FALSE)</f>
        <v>#N/A</v>
      </c>
      <c r="M628" s="9" t="str">
        <f>+VLOOKUP(A628,Hoja2!$A$2:$X$2596,15,FALSE)</f>
        <v>#N/A</v>
      </c>
      <c r="N628" s="9" t="str">
        <f>+VLOOKUP(A628,Hoja2!$A$2:$X$2596,17,FALSE)</f>
        <v>#N/A</v>
      </c>
      <c r="O628" s="9" t="str">
        <f>+VLOOKUP(A628,Hoja2!$A$2:$X$2596,22,FALSE)</f>
        <v>#N/A</v>
      </c>
      <c r="P628" s="9" t="str">
        <f>+VLOOKUP(A628,Hoja2!$A$2:$X$2596,23,FALSE)</f>
        <v>#N/A</v>
      </c>
      <c r="Q628" s="9" t="str">
        <f>+VLOOKUP(A628,Hoja2!$A$2:$X$2596,24,FALSE)</f>
        <v>#N/A</v>
      </c>
    </row>
    <row r="629" ht="15.75" hidden="1" customHeight="1">
      <c r="A629" s="8">
        <v>2523431.0</v>
      </c>
      <c r="B629" s="8">
        <v>2523431.0</v>
      </c>
      <c r="C629" s="9" t="s">
        <v>19</v>
      </c>
      <c r="D629" s="8">
        <v>2.0</v>
      </c>
      <c r="E629" s="8">
        <v>1.0</v>
      </c>
      <c r="F629" s="8">
        <v>0.0</v>
      </c>
      <c r="G629" s="9" t="s">
        <v>18</v>
      </c>
      <c r="H629" s="10">
        <v>45189.57827670139</v>
      </c>
      <c r="I629" s="10">
        <v>45226.41597476852</v>
      </c>
      <c r="J629" s="8">
        <v>37.0</v>
      </c>
      <c r="K629" s="11">
        <v>2107450.74</v>
      </c>
      <c r="L629" s="8" t="str">
        <f>+VLOOKUP(A629,Hoja2!$A$2:$X$2596,19,FALSE)</f>
        <v>#N/A</v>
      </c>
      <c r="M629" s="9" t="str">
        <f>+VLOOKUP(A629,Hoja2!$A$2:$X$2596,15,FALSE)</f>
        <v>#N/A</v>
      </c>
      <c r="N629" s="9" t="str">
        <f>+VLOOKUP(A629,Hoja2!$A$2:$X$2596,17,FALSE)</f>
        <v>#N/A</v>
      </c>
      <c r="O629" s="9" t="str">
        <f>+VLOOKUP(A629,Hoja2!$A$2:$X$2596,22,FALSE)</f>
        <v>#N/A</v>
      </c>
      <c r="P629" s="9" t="str">
        <f>+VLOOKUP(A629,Hoja2!$A$2:$X$2596,23,FALSE)</f>
        <v>#N/A</v>
      </c>
      <c r="Q629" s="9" t="str">
        <f>+VLOOKUP(A629,Hoja2!$A$2:$X$2596,24,FALSE)</f>
        <v>#N/A</v>
      </c>
    </row>
    <row r="630" ht="15.75" hidden="1" customHeight="1">
      <c r="A630" s="8">
        <v>2523431.0</v>
      </c>
      <c r="B630" s="8">
        <v>2523431.0</v>
      </c>
      <c r="C630" s="9" t="s">
        <v>17</v>
      </c>
      <c r="D630" s="8">
        <v>3.0</v>
      </c>
      <c r="E630" s="8">
        <v>0.0</v>
      </c>
      <c r="F630" s="8">
        <v>0.0</v>
      </c>
      <c r="G630" s="9" t="s">
        <v>21</v>
      </c>
      <c r="H630" s="10">
        <v>45349.617604513885</v>
      </c>
      <c r="I630" s="10">
        <v>45414.48655107639</v>
      </c>
      <c r="J630" s="8">
        <v>65.0</v>
      </c>
      <c r="K630" s="11">
        <v>2107450.74</v>
      </c>
      <c r="L630" s="8" t="str">
        <f>+VLOOKUP(A630,Hoja2!$A$2:$X$2596,19,FALSE)</f>
        <v>#N/A</v>
      </c>
      <c r="M630" s="9" t="str">
        <f>+VLOOKUP(A630,Hoja2!$A$2:$X$2596,15,FALSE)</f>
        <v>#N/A</v>
      </c>
      <c r="N630" s="9" t="str">
        <f>+VLOOKUP(A630,Hoja2!$A$2:$X$2596,17,FALSE)</f>
        <v>#N/A</v>
      </c>
      <c r="O630" s="9" t="str">
        <f>+VLOOKUP(A630,Hoja2!$A$2:$X$2596,22,FALSE)</f>
        <v>#N/A</v>
      </c>
      <c r="P630" s="9" t="str">
        <f>+VLOOKUP(A630,Hoja2!$A$2:$X$2596,23,FALSE)</f>
        <v>#N/A</v>
      </c>
      <c r="Q630" s="9" t="str">
        <f>+VLOOKUP(A630,Hoja2!$A$2:$X$2596,24,FALSE)</f>
        <v>#N/A</v>
      </c>
    </row>
    <row r="631" ht="15.75" hidden="1" customHeight="1">
      <c r="A631" s="8">
        <v>2523918.0</v>
      </c>
      <c r="B631" s="8">
        <v>2523918.0</v>
      </c>
      <c r="C631" s="9" t="s">
        <v>19</v>
      </c>
      <c r="D631" s="8">
        <v>4.0</v>
      </c>
      <c r="E631" s="8">
        <v>2.0</v>
      </c>
      <c r="F631" s="8">
        <v>0.0</v>
      </c>
      <c r="G631" s="9" t="s">
        <v>18</v>
      </c>
      <c r="H631" s="10">
        <v>45043.51023302083</v>
      </c>
      <c r="I631" s="10">
        <v>45266.64192484954</v>
      </c>
      <c r="J631" s="8">
        <v>223.0</v>
      </c>
      <c r="K631" s="11">
        <v>7.252883856E7</v>
      </c>
      <c r="L631" s="8" t="str">
        <f>+VLOOKUP(A631,Hoja2!$A$2:$X$2596,19,FALSE)</f>
        <v>#N/A</v>
      </c>
      <c r="M631" s="9" t="str">
        <f>+VLOOKUP(A631,Hoja2!$A$2:$X$2596,15,FALSE)</f>
        <v>#N/A</v>
      </c>
      <c r="N631" s="9" t="str">
        <f>+VLOOKUP(A631,Hoja2!$A$2:$X$2596,17,FALSE)</f>
        <v>#N/A</v>
      </c>
      <c r="O631" s="9" t="str">
        <f>+VLOOKUP(A631,Hoja2!$A$2:$X$2596,22,FALSE)</f>
        <v>#N/A</v>
      </c>
      <c r="P631" s="9" t="str">
        <f>+VLOOKUP(A631,Hoja2!$A$2:$X$2596,23,FALSE)</f>
        <v>#N/A</v>
      </c>
      <c r="Q631" s="9" t="str">
        <f>+VLOOKUP(A631,Hoja2!$A$2:$X$2596,24,FALSE)</f>
        <v>#N/A</v>
      </c>
    </row>
    <row r="632" ht="15.75" hidden="1" customHeight="1">
      <c r="A632" s="8">
        <v>2523918.0</v>
      </c>
      <c r="B632" s="8">
        <v>2523918.0</v>
      </c>
      <c r="C632" s="9" t="s">
        <v>19</v>
      </c>
      <c r="D632" s="8">
        <v>3.0</v>
      </c>
      <c r="E632" s="8">
        <v>1.0</v>
      </c>
      <c r="F632" s="8">
        <v>0.0</v>
      </c>
      <c r="G632" s="9" t="s">
        <v>18</v>
      </c>
      <c r="H632" s="10">
        <v>45306.810311493056</v>
      </c>
      <c r="I632" s="10">
        <v>45366.877187418984</v>
      </c>
      <c r="J632" s="8">
        <v>60.0</v>
      </c>
      <c r="K632" s="11">
        <v>7.252883856E7</v>
      </c>
      <c r="L632" s="8" t="str">
        <f>+VLOOKUP(A632,Hoja2!$A$2:$X$2596,19,FALSE)</f>
        <v>#N/A</v>
      </c>
      <c r="M632" s="9" t="str">
        <f>+VLOOKUP(A632,Hoja2!$A$2:$X$2596,15,FALSE)</f>
        <v>#N/A</v>
      </c>
      <c r="N632" s="9" t="str">
        <f>+VLOOKUP(A632,Hoja2!$A$2:$X$2596,17,FALSE)</f>
        <v>#N/A</v>
      </c>
      <c r="O632" s="9" t="str">
        <f>+VLOOKUP(A632,Hoja2!$A$2:$X$2596,22,FALSE)</f>
        <v>#N/A</v>
      </c>
      <c r="P632" s="9" t="str">
        <f>+VLOOKUP(A632,Hoja2!$A$2:$X$2596,23,FALSE)</f>
        <v>#N/A</v>
      </c>
      <c r="Q632" s="9" t="str">
        <f>+VLOOKUP(A632,Hoja2!$A$2:$X$2596,24,FALSE)</f>
        <v>#N/A</v>
      </c>
    </row>
    <row r="633" ht="15.75" hidden="1" customHeight="1">
      <c r="A633" s="8">
        <v>2523918.0</v>
      </c>
      <c r="B633" s="8">
        <v>2523918.0</v>
      </c>
      <c r="C633" s="9" t="s">
        <v>19</v>
      </c>
      <c r="D633" s="8">
        <v>3.0</v>
      </c>
      <c r="E633" s="8">
        <v>1.0</v>
      </c>
      <c r="F633" s="8">
        <v>0.0</v>
      </c>
      <c r="G633" s="9" t="s">
        <v>18</v>
      </c>
      <c r="H633" s="10">
        <v>45578.89865228009</v>
      </c>
      <c r="I633" s="10">
        <v>45719.66692256944</v>
      </c>
      <c r="J633" s="8">
        <v>141.0</v>
      </c>
      <c r="K633" s="11">
        <v>7.252883856E7</v>
      </c>
      <c r="L633" s="8" t="str">
        <f>+VLOOKUP(A633,Hoja2!$A$2:$X$2596,19,FALSE)</f>
        <v>#N/A</v>
      </c>
      <c r="M633" s="9" t="str">
        <f>+VLOOKUP(A633,Hoja2!$A$2:$X$2596,15,FALSE)</f>
        <v>#N/A</v>
      </c>
      <c r="N633" s="9" t="str">
        <f>+VLOOKUP(A633,Hoja2!$A$2:$X$2596,17,FALSE)</f>
        <v>#N/A</v>
      </c>
      <c r="O633" s="9" t="str">
        <f>+VLOOKUP(A633,Hoja2!$A$2:$X$2596,22,FALSE)</f>
        <v>#N/A</v>
      </c>
      <c r="P633" s="9" t="str">
        <f>+VLOOKUP(A633,Hoja2!$A$2:$X$2596,23,FALSE)</f>
        <v>#N/A</v>
      </c>
      <c r="Q633" s="9" t="str">
        <f>+VLOOKUP(A633,Hoja2!$A$2:$X$2596,24,FALSE)</f>
        <v>#N/A</v>
      </c>
    </row>
    <row r="634" ht="15.75" hidden="1" customHeight="1">
      <c r="A634" s="8">
        <v>2525419.0</v>
      </c>
      <c r="B634" s="8">
        <v>2525419.0</v>
      </c>
      <c r="C634" s="9" t="s">
        <v>17</v>
      </c>
      <c r="D634" s="8">
        <v>2.0</v>
      </c>
      <c r="E634" s="8">
        <v>0.0</v>
      </c>
      <c r="F634" s="8">
        <v>0.0</v>
      </c>
      <c r="G634" s="9" t="s">
        <v>21</v>
      </c>
      <c r="H634" s="10">
        <v>45125.49538684028</v>
      </c>
      <c r="I634" s="10">
        <v>45132.60488086806</v>
      </c>
      <c r="J634" s="8">
        <v>7.0</v>
      </c>
      <c r="K634" s="11">
        <v>3.502320609E7</v>
      </c>
      <c r="L634" s="8" t="str">
        <f>+VLOOKUP(A634,Hoja2!$A$2:$X$2596,19,FALSE)</f>
        <v>#N/A</v>
      </c>
      <c r="M634" s="9" t="str">
        <f>+VLOOKUP(A634,Hoja2!$A$2:$X$2596,15,FALSE)</f>
        <v>#N/A</v>
      </c>
      <c r="N634" s="9" t="str">
        <f>+VLOOKUP(A634,Hoja2!$A$2:$X$2596,17,FALSE)</f>
        <v>#N/A</v>
      </c>
      <c r="O634" s="9" t="str">
        <f>+VLOOKUP(A634,Hoja2!$A$2:$X$2596,22,FALSE)</f>
        <v>#N/A</v>
      </c>
      <c r="P634" s="9" t="str">
        <f>+VLOOKUP(A634,Hoja2!$A$2:$X$2596,23,FALSE)</f>
        <v>#N/A</v>
      </c>
      <c r="Q634" s="9" t="str">
        <f>+VLOOKUP(A634,Hoja2!$A$2:$X$2596,24,FALSE)</f>
        <v>#N/A</v>
      </c>
    </row>
    <row r="635" ht="15.75" hidden="1" customHeight="1">
      <c r="A635" s="8">
        <v>2526132.0</v>
      </c>
      <c r="B635" s="8">
        <v>2526132.0</v>
      </c>
      <c r="C635" s="9" t="s">
        <v>19</v>
      </c>
      <c r="D635" s="8">
        <v>3.0</v>
      </c>
      <c r="E635" s="8">
        <v>0.0</v>
      </c>
      <c r="F635" s="8">
        <v>0.0</v>
      </c>
      <c r="G635" s="9" t="s">
        <v>21</v>
      </c>
      <c r="H635" s="10">
        <v>45636.421127002315</v>
      </c>
      <c r="I635" s="10">
        <v>45777.74742600694</v>
      </c>
      <c r="J635" s="8">
        <v>141.0</v>
      </c>
      <c r="K635" s="11">
        <v>3.974839473E7</v>
      </c>
      <c r="L635" s="8" t="str">
        <f>+VLOOKUP(A635,Hoja2!$A$2:$X$2596,19,FALSE)</f>
        <v>#N/A</v>
      </c>
      <c r="M635" s="9" t="str">
        <f>+VLOOKUP(A635,Hoja2!$A$2:$X$2596,15,FALSE)</f>
        <v>#N/A</v>
      </c>
      <c r="N635" s="9" t="str">
        <f>+VLOOKUP(A635,Hoja2!$A$2:$X$2596,17,FALSE)</f>
        <v>#N/A</v>
      </c>
      <c r="O635" s="9" t="str">
        <f>+VLOOKUP(A635,Hoja2!$A$2:$X$2596,22,FALSE)</f>
        <v>#N/A</v>
      </c>
      <c r="P635" s="9" t="str">
        <f>+VLOOKUP(A635,Hoja2!$A$2:$X$2596,23,FALSE)</f>
        <v>#N/A</v>
      </c>
      <c r="Q635" s="9" t="str">
        <f>+VLOOKUP(A635,Hoja2!$A$2:$X$2596,24,FALSE)</f>
        <v>#N/A</v>
      </c>
    </row>
    <row r="636" ht="15.75" hidden="1" customHeight="1">
      <c r="A636" s="8">
        <v>2526132.0</v>
      </c>
      <c r="B636" s="8">
        <v>2526132.0</v>
      </c>
      <c r="C636" s="9" t="s">
        <v>19</v>
      </c>
      <c r="D636" s="8">
        <v>3.0</v>
      </c>
      <c r="E636" s="8">
        <v>0.0</v>
      </c>
      <c r="F636" s="8">
        <v>0.0</v>
      </c>
      <c r="G636" s="9" t="s">
        <v>21</v>
      </c>
      <c r="H636" s="10">
        <v>45797.964368946756</v>
      </c>
      <c r="I636" s="10">
        <v>45877.68953402778</v>
      </c>
      <c r="J636" s="8">
        <v>80.0</v>
      </c>
      <c r="K636" s="11">
        <v>3.974839473E7</v>
      </c>
      <c r="L636" s="8" t="str">
        <f>+VLOOKUP(A636,Hoja2!$A$2:$X$2596,19,FALSE)</f>
        <v>#N/A</v>
      </c>
      <c r="M636" s="9" t="str">
        <f>+VLOOKUP(A636,Hoja2!$A$2:$X$2596,15,FALSE)</f>
        <v>#N/A</v>
      </c>
      <c r="N636" s="9" t="str">
        <f>+VLOOKUP(A636,Hoja2!$A$2:$X$2596,17,FALSE)</f>
        <v>#N/A</v>
      </c>
      <c r="O636" s="9" t="str">
        <f>+VLOOKUP(A636,Hoja2!$A$2:$X$2596,22,FALSE)</f>
        <v>#N/A</v>
      </c>
      <c r="P636" s="9" t="str">
        <f>+VLOOKUP(A636,Hoja2!$A$2:$X$2596,23,FALSE)</f>
        <v>#N/A</v>
      </c>
      <c r="Q636" s="9" t="str">
        <f>+VLOOKUP(A636,Hoja2!$A$2:$X$2596,24,FALSE)</f>
        <v>#N/A</v>
      </c>
    </row>
    <row r="637" ht="15.75" hidden="1" customHeight="1">
      <c r="A637" s="8">
        <v>2526132.0</v>
      </c>
      <c r="B637" s="8">
        <v>2526132.0</v>
      </c>
      <c r="C637" s="9" t="s">
        <v>22</v>
      </c>
      <c r="D637" s="8">
        <v>1.0</v>
      </c>
      <c r="E637" s="8">
        <v>1.0</v>
      </c>
      <c r="F637" s="8">
        <v>0.0</v>
      </c>
      <c r="G637" s="9" t="s">
        <v>18</v>
      </c>
      <c r="H637" s="10">
        <v>45926.93747438658</v>
      </c>
      <c r="I637" s="10">
        <v>45940.71377311343</v>
      </c>
      <c r="J637" s="8">
        <v>14.0</v>
      </c>
      <c r="K637" s="11">
        <v>3.974839473E7</v>
      </c>
      <c r="L637" s="8" t="str">
        <f>+VLOOKUP(A637,Hoja2!$A$2:$X$2596,19,FALSE)</f>
        <v>#N/A</v>
      </c>
      <c r="M637" s="9" t="str">
        <f>+VLOOKUP(A637,Hoja2!$A$2:$X$2596,15,FALSE)</f>
        <v>#N/A</v>
      </c>
      <c r="N637" s="9" t="str">
        <f>+VLOOKUP(A637,Hoja2!$A$2:$X$2596,17,FALSE)</f>
        <v>#N/A</v>
      </c>
      <c r="O637" s="9" t="str">
        <f>+VLOOKUP(A637,Hoja2!$A$2:$X$2596,22,FALSE)</f>
        <v>#N/A</v>
      </c>
      <c r="P637" s="9" t="str">
        <f>+VLOOKUP(A637,Hoja2!$A$2:$X$2596,23,FALSE)</f>
        <v>#N/A</v>
      </c>
      <c r="Q637" s="9" t="str">
        <f>+VLOOKUP(A637,Hoja2!$A$2:$X$2596,24,FALSE)</f>
        <v>#N/A</v>
      </c>
    </row>
    <row r="638" ht="15.75" hidden="1" customHeight="1">
      <c r="A638" s="8">
        <v>2526630.0</v>
      </c>
      <c r="B638" s="8">
        <v>2526630.0</v>
      </c>
      <c r="C638" s="9" t="s">
        <v>17</v>
      </c>
      <c r="D638" s="8">
        <v>2.0</v>
      </c>
      <c r="E638" s="8">
        <v>0.0</v>
      </c>
      <c r="F638" s="8">
        <v>0.0</v>
      </c>
      <c r="G638" s="9" t="s">
        <v>21</v>
      </c>
      <c r="H638" s="10">
        <v>45050.48321574074</v>
      </c>
      <c r="I638" s="10">
        <v>45058.65989548611</v>
      </c>
      <c r="J638" s="8">
        <v>8.0</v>
      </c>
      <c r="K638" s="11">
        <v>1.0153261067E8</v>
      </c>
      <c r="L638" s="8" t="str">
        <f>+VLOOKUP(A638,Hoja2!$A$2:$X$2596,19,FALSE)</f>
        <v>#N/A</v>
      </c>
      <c r="M638" s="9" t="str">
        <f>+VLOOKUP(A638,Hoja2!$A$2:$X$2596,15,FALSE)</f>
        <v>#N/A</v>
      </c>
      <c r="N638" s="9" t="str">
        <f>+VLOOKUP(A638,Hoja2!$A$2:$X$2596,17,FALSE)</f>
        <v>#N/A</v>
      </c>
      <c r="O638" s="9" t="str">
        <f>+VLOOKUP(A638,Hoja2!$A$2:$X$2596,22,FALSE)</f>
        <v>#N/A</v>
      </c>
      <c r="P638" s="9" t="str">
        <f>+VLOOKUP(A638,Hoja2!$A$2:$X$2596,23,FALSE)</f>
        <v>#N/A</v>
      </c>
      <c r="Q638" s="9" t="str">
        <f>+VLOOKUP(A638,Hoja2!$A$2:$X$2596,24,FALSE)</f>
        <v>#N/A</v>
      </c>
    </row>
    <row r="639" ht="15.75" hidden="1" customHeight="1">
      <c r="A639" s="8">
        <v>2526630.0</v>
      </c>
      <c r="B639" s="8">
        <v>2526630.0</v>
      </c>
      <c r="C639" s="9" t="s">
        <v>19</v>
      </c>
      <c r="D639" s="8">
        <v>2.0</v>
      </c>
      <c r="E639" s="8">
        <v>0.0</v>
      </c>
      <c r="F639" s="8">
        <v>0.0</v>
      </c>
      <c r="G639" s="9" t="s">
        <v>21</v>
      </c>
      <c r="H639" s="10">
        <v>45603.56790725695</v>
      </c>
      <c r="I639" s="10">
        <v>45615.38869803241</v>
      </c>
      <c r="J639" s="8">
        <v>12.0</v>
      </c>
      <c r="K639" s="11">
        <v>1.0153261067E8</v>
      </c>
      <c r="L639" s="8" t="str">
        <f>+VLOOKUP(A639,Hoja2!$A$2:$X$2596,19,FALSE)</f>
        <v>#N/A</v>
      </c>
      <c r="M639" s="9" t="str">
        <f>+VLOOKUP(A639,Hoja2!$A$2:$X$2596,15,FALSE)</f>
        <v>#N/A</v>
      </c>
      <c r="N639" s="9" t="str">
        <f>+VLOOKUP(A639,Hoja2!$A$2:$X$2596,17,FALSE)</f>
        <v>#N/A</v>
      </c>
      <c r="O639" s="9" t="str">
        <f>+VLOOKUP(A639,Hoja2!$A$2:$X$2596,22,FALSE)</f>
        <v>#N/A</v>
      </c>
      <c r="P639" s="9" t="str">
        <f>+VLOOKUP(A639,Hoja2!$A$2:$X$2596,23,FALSE)</f>
        <v>#N/A</v>
      </c>
      <c r="Q639" s="9" t="str">
        <f>+VLOOKUP(A639,Hoja2!$A$2:$X$2596,24,FALSE)</f>
        <v>#N/A</v>
      </c>
    </row>
    <row r="640" ht="15.75" hidden="1" customHeight="1">
      <c r="A640" s="8">
        <v>2526630.0</v>
      </c>
      <c r="B640" s="8">
        <v>2526630.0</v>
      </c>
      <c r="C640" s="9" t="s">
        <v>19</v>
      </c>
      <c r="D640" s="8">
        <v>4.0</v>
      </c>
      <c r="E640" s="8">
        <v>0.0</v>
      </c>
      <c r="F640" s="8">
        <v>0.0</v>
      </c>
      <c r="G640" s="9" t="s">
        <v>21</v>
      </c>
      <c r="H640" s="10">
        <v>45699.80610679398</v>
      </c>
      <c r="I640" s="10">
        <v>45712.6266125</v>
      </c>
      <c r="J640" s="8">
        <v>13.0</v>
      </c>
      <c r="K640" s="11">
        <v>1.0153261067E8</v>
      </c>
      <c r="L640" s="8" t="str">
        <f>+VLOOKUP(A640,Hoja2!$A$2:$X$2596,19,FALSE)</f>
        <v>#N/A</v>
      </c>
      <c r="M640" s="9" t="str">
        <f>+VLOOKUP(A640,Hoja2!$A$2:$X$2596,15,FALSE)</f>
        <v>#N/A</v>
      </c>
      <c r="N640" s="9" t="str">
        <f>+VLOOKUP(A640,Hoja2!$A$2:$X$2596,17,FALSE)</f>
        <v>#N/A</v>
      </c>
      <c r="O640" s="9" t="str">
        <f>+VLOOKUP(A640,Hoja2!$A$2:$X$2596,22,FALSE)</f>
        <v>#N/A</v>
      </c>
      <c r="P640" s="9" t="str">
        <f>+VLOOKUP(A640,Hoja2!$A$2:$X$2596,23,FALSE)</f>
        <v>#N/A</v>
      </c>
      <c r="Q640" s="9" t="str">
        <f>+VLOOKUP(A640,Hoja2!$A$2:$X$2596,24,FALSE)</f>
        <v>#N/A</v>
      </c>
    </row>
    <row r="641" ht="15.75" hidden="1" customHeight="1">
      <c r="A641" s="8">
        <v>2526630.0</v>
      </c>
      <c r="B641" s="8">
        <v>2526630.0</v>
      </c>
      <c r="C641" s="9" t="s">
        <v>25</v>
      </c>
      <c r="D641" s="8">
        <v>0.0</v>
      </c>
      <c r="E641" s="8">
        <v>0.0</v>
      </c>
      <c r="F641" s="8">
        <v>0.0</v>
      </c>
      <c r="G641" s="9" t="s">
        <v>26</v>
      </c>
      <c r="H641" s="10">
        <v>45783.75416408565</v>
      </c>
      <c r="I641" s="10">
        <v>45783.75416408565</v>
      </c>
      <c r="J641" s="8">
        <v>0.0</v>
      </c>
      <c r="K641" s="11">
        <v>1.0153261067E8</v>
      </c>
      <c r="L641" s="8" t="str">
        <f>+VLOOKUP(A641,Hoja2!$A$2:$X$2596,19,FALSE)</f>
        <v>#N/A</v>
      </c>
      <c r="M641" s="9" t="str">
        <f>+VLOOKUP(A641,Hoja2!$A$2:$X$2596,15,FALSE)</f>
        <v>#N/A</v>
      </c>
      <c r="N641" s="9" t="str">
        <f>+VLOOKUP(A641,Hoja2!$A$2:$X$2596,17,FALSE)</f>
        <v>#N/A</v>
      </c>
      <c r="O641" s="9" t="str">
        <f>+VLOOKUP(A641,Hoja2!$A$2:$X$2596,22,FALSE)</f>
        <v>#N/A</v>
      </c>
      <c r="P641" s="9" t="str">
        <f>+VLOOKUP(A641,Hoja2!$A$2:$X$2596,23,FALSE)</f>
        <v>#N/A</v>
      </c>
      <c r="Q641" s="9" t="str">
        <f>+VLOOKUP(A641,Hoja2!$A$2:$X$2596,24,FALSE)</f>
        <v>#N/A</v>
      </c>
    </row>
    <row r="642" ht="15.75" hidden="1" customHeight="1">
      <c r="A642" s="8">
        <v>2526630.0</v>
      </c>
      <c r="B642" s="8">
        <v>2526630.0</v>
      </c>
      <c r="C642" s="9" t="s">
        <v>25</v>
      </c>
      <c r="D642" s="8">
        <v>0.0</v>
      </c>
      <c r="E642" s="8">
        <v>0.0</v>
      </c>
      <c r="F642" s="8">
        <v>0.0</v>
      </c>
      <c r="G642" s="9" t="s">
        <v>26</v>
      </c>
      <c r="H642" s="10">
        <v>45783.87359363426</v>
      </c>
      <c r="I642" s="10">
        <v>45783.87359363426</v>
      </c>
      <c r="J642" s="8">
        <v>0.0</v>
      </c>
      <c r="K642" s="11">
        <v>1.0153261067E8</v>
      </c>
      <c r="L642" s="8" t="str">
        <f>+VLOOKUP(A642,Hoja2!$A$2:$X$2596,19,FALSE)</f>
        <v>#N/A</v>
      </c>
      <c r="M642" s="9" t="str">
        <f>+VLOOKUP(A642,Hoja2!$A$2:$X$2596,15,FALSE)</f>
        <v>#N/A</v>
      </c>
      <c r="N642" s="9" t="str">
        <f>+VLOOKUP(A642,Hoja2!$A$2:$X$2596,17,FALSE)</f>
        <v>#N/A</v>
      </c>
      <c r="O642" s="9" t="str">
        <f>+VLOOKUP(A642,Hoja2!$A$2:$X$2596,22,FALSE)</f>
        <v>#N/A</v>
      </c>
      <c r="P642" s="9" t="str">
        <f>+VLOOKUP(A642,Hoja2!$A$2:$X$2596,23,FALSE)</f>
        <v>#N/A</v>
      </c>
      <c r="Q642" s="9" t="str">
        <f>+VLOOKUP(A642,Hoja2!$A$2:$X$2596,24,FALSE)</f>
        <v>#N/A</v>
      </c>
    </row>
    <row r="643" ht="15.75" hidden="1" customHeight="1">
      <c r="A643" s="8">
        <v>2526630.0</v>
      </c>
      <c r="B643" s="8">
        <v>2526630.0</v>
      </c>
      <c r="C643" s="9" t="s">
        <v>19</v>
      </c>
      <c r="D643" s="8">
        <v>2.0</v>
      </c>
      <c r="E643" s="8">
        <v>2.0</v>
      </c>
      <c r="F643" s="8">
        <v>0.0</v>
      </c>
      <c r="G643" s="9" t="s">
        <v>18</v>
      </c>
      <c r="H643" s="10">
        <v>45783.88090613426</v>
      </c>
      <c r="I643" s="10">
        <v>45933.639345752315</v>
      </c>
      <c r="J643" s="8">
        <v>150.0</v>
      </c>
      <c r="K643" s="11">
        <v>1.0153261067E8</v>
      </c>
      <c r="L643" s="8" t="str">
        <f>+VLOOKUP(A643,Hoja2!$A$2:$X$2596,19,FALSE)</f>
        <v>#N/A</v>
      </c>
      <c r="M643" s="9" t="str">
        <f>+VLOOKUP(A643,Hoja2!$A$2:$X$2596,15,FALSE)</f>
        <v>#N/A</v>
      </c>
      <c r="N643" s="9" t="str">
        <f>+VLOOKUP(A643,Hoja2!$A$2:$X$2596,17,FALSE)</f>
        <v>#N/A</v>
      </c>
      <c r="O643" s="9" t="str">
        <f>+VLOOKUP(A643,Hoja2!$A$2:$X$2596,22,FALSE)</f>
        <v>#N/A</v>
      </c>
      <c r="P643" s="9" t="str">
        <f>+VLOOKUP(A643,Hoja2!$A$2:$X$2596,23,FALSE)</f>
        <v>#N/A</v>
      </c>
      <c r="Q643" s="9" t="str">
        <f>+VLOOKUP(A643,Hoja2!$A$2:$X$2596,24,FALSE)</f>
        <v>#N/A</v>
      </c>
    </row>
    <row r="644" ht="15.75" hidden="1" customHeight="1">
      <c r="A644" s="8">
        <v>2527340.0</v>
      </c>
      <c r="B644" s="8">
        <v>2527340.0</v>
      </c>
      <c r="C644" s="9" t="s">
        <v>17</v>
      </c>
      <c r="D644" s="8">
        <v>5.0</v>
      </c>
      <c r="E644" s="8">
        <v>2.0</v>
      </c>
      <c r="F644" s="8">
        <v>0.0</v>
      </c>
      <c r="G644" s="9" t="s">
        <v>18</v>
      </c>
      <c r="H644" s="10">
        <v>44509.64625902778</v>
      </c>
      <c r="I644" s="10">
        <v>44612.74753136574</v>
      </c>
      <c r="J644" s="8">
        <v>103.0</v>
      </c>
      <c r="K644" s="11">
        <v>3.042161379E7</v>
      </c>
      <c r="L644" s="8" t="str">
        <f>+VLOOKUP(A644,Hoja2!$A$2:$X$2596,19,FALSE)</f>
        <v>En Ejecución</v>
      </c>
      <c r="M644" s="9">
        <f>+VLOOKUP(A644,Hoja2!$A$2:$X$2596,15,FALSE)</f>
        <v>29467700.52</v>
      </c>
      <c r="N644" s="9">
        <f>+VLOOKUP(A644,Hoja2!$A$2:$X$2596,17,FALSE)</f>
        <v>1312786.07</v>
      </c>
      <c r="O644" s="9" t="str">
        <f>+VLOOKUP(A644,Hoja2!$A$2:$X$2596,22,FALSE)</f>
        <v/>
      </c>
      <c r="P644" s="9" t="str">
        <f>+VLOOKUP(A644,Hoja2!$A$2:$X$2596,23,FALSE)</f>
        <v/>
      </c>
      <c r="Q644" s="9" t="str">
        <f>+VLOOKUP(A644,Hoja2!$A$2:$X$2596,24,FALSE)</f>
        <v/>
      </c>
    </row>
    <row r="645" ht="15.75" hidden="1" customHeight="1">
      <c r="A645" s="8">
        <v>2527340.0</v>
      </c>
      <c r="B645" s="8">
        <v>2527340.0</v>
      </c>
      <c r="C645" s="9" t="s">
        <v>19</v>
      </c>
      <c r="D645" s="8">
        <v>1.0</v>
      </c>
      <c r="E645" s="8">
        <v>4.0</v>
      </c>
      <c r="F645" s="8">
        <v>0.0</v>
      </c>
      <c r="G645" s="9" t="s">
        <v>18</v>
      </c>
      <c r="H645" s="10">
        <v>44778.329711956016</v>
      </c>
      <c r="I645" s="10">
        <v>44893.44790309028</v>
      </c>
      <c r="J645" s="8">
        <v>115.0</v>
      </c>
      <c r="K645" s="11">
        <v>3.042161379E7</v>
      </c>
      <c r="L645" s="8" t="str">
        <f>+VLOOKUP(A645,Hoja2!$A$2:$X$2596,19,FALSE)</f>
        <v>En Ejecución</v>
      </c>
      <c r="M645" s="9">
        <f>+VLOOKUP(A645,Hoja2!$A$2:$X$2596,15,FALSE)</f>
        <v>29467700.52</v>
      </c>
      <c r="N645" s="9">
        <f>+VLOOKUP(A645,Hoja2!$A$2:$X$2596,17,FALSE)</f>
        <v>1312786.07</v>
      </c>
      <c r="O645" s="9" t="str">
        <f>+VLOOKUP(A645,Hoja2!$A$2:$X$2596,22,FALSE)</f>
        <v/>
      </c>
      <c r="P645" s="9" t="str">
        <f>+VLOOKUP(A645,Hoja2!$A$2:$X$2596,23,FALSE)</f>
        <v/>
      </c>
      <c r="Q645" s="9" t="str">
        <f>+VLOOKUP(A645,Hoja2!$A$2:$X$2596,24,FALSE)</f>
        <v/>
      </c>
    </row>
    <row r="646" ht="15.75" customHeight="1">
      <c r="A646" s="8">
        <v>2527340.0</v>
      </c>
      <c r="B646" s="8">
        <v>2527340.0</v>
      </c>
      <c r="C646" s="9" t="s">
        <v>20</v>
      </c>
      <c r="D646" s="8">
        <v>1.0</v>
      </c>
      <c r="E646" s="8">
        <v>7.0</v>
      </c>
      <c r="F646" s="8">
        <v>0.0</v>
      </c>
      <c r="G646" s="9" t="s">
        <v>18</v>
      </c>
      <c r="H646" s="10">
        <v>44915.627089733796</v>
      </c>
      <c r="I646" s="10">
        <v>45001.817610798615</v>
      </c>
      <c r="J646" s="8">
        <v>86.0</v>
      </c>
      <c r="K646" s="11">
        <v>3.042161379E7</v>
      </c>
      <c r="L646" s="8" t="str">
        <f>+VLOOKUP(A646,Hoja2!$A$2:$X$2596,19,FALSE)</f>
        <v>En Ejecución</v>
      </c>
      <c r="M646" s="9">
        <f>+VLOOKUP(A646,Hoja2!$A$2:$X$2596,15,FALSE)</f>
        <v>29467700.52</v>
      </c>
      <c r="N646" s="9">
        <f>+VLOOKUP(A646,Hoja2!$A$2:$X$2596,17,FALSE)</f>
        <v>1312786.07</v>
      </c>
      <c r="O646" s="9" t="str">
        <f>+VLOOKUP(A646,Hoja2!$A$2:$X$2596,22,FALSE)</f>
        <v/>
      </c>
      <c r="P646" s="9" t="str">
        <f>+VLOOKUP(A646,Hoja2!$A$2:$X$2596,23,FALSE)</f>
        <v/>
      </c>
      <c r="Q646" s="9" t="str">
        <f>+VLOOKUP(A646,Hoja2!$A$2:$X$2596,24,FALSE)</f>
        <v/>
      </c>
    </row>
    <row r="647" ht="15.75" hidden="1" customHeight="1">
      <c r="A647" s="8">
        <v>2531368.0</v>
      </c>
      <c r="B647" s="8">
        <v>2531368.0</v>
      </c>
      <c r="C647" s="9" t="s">
        <v>17</v>
      </c>
      <c r="D647" s="8">
        <v>2.0</v>
      </c>
      <c r="E647" s="8">
        <v>0.0</v>
      </c>
      <c r="F647" s="8">
        <v>0.0</v>
      </c>
      <c r="G647" s="9" t="s">
        <v>21</v>
      </c>
      <c r="H647" s="10">
        <v>44981.7037125</v>
      </c>
      <c r="I647" s="10">
        <v>44985.43202237268</v>
      </c>
      <c r="J647" s="8">
        <v>4.0</v>
      </c>
      <c r="K647" s="11">
        <v>2422279.58</v>
      </c>
      <c r="L647" s="8" t="str">
        <f>+VLOOKUP(A647,Hoja2!$A$2:$X$2596,19,FALSE)</f>
        <v>#N/A</v>
      </c>
      <c r="M647" s="9" t="str">
        <f>+VLOOKUP(A647,Hoja2!$A$2:$X$2596,15,FALSE)</f>
        <v>#N/A</v>
      </c>
      <c r="N647" s="9" t="str">
        <f>+VLOOKUP(A647,Hoja2!$A$2:$X$2596,17,FALSE)</f>
        <v>#N/A</v>
      </c>
      <c r="O647" s="9" t="str">
        <f>+VLOOKUP(A647,Hoja2!$A$2:$X$2596,22,FALSE)</f>
        <v>#N/A</v>
      </c>
      <c r="P647" s="9" t="str">
        <f>+VLOOKUP(A647,Hoja2!$A$2:$X$2596,23,FALSE)</f>
        <v>#N/A</v>
      </c>
      <c r="Q647" s="9" t="str">
        <f>+VLOOKUP(A647,Hoja2!$A$2:$X$2596,24,FALSE)</f>
        <v>#N/A</v>
      </c>
    </row>
    <row r="648" ht="15.75" hidden="1" customHeight="1">
      <c r="A648" s="8">
        <v>2531368.0</v>
      </c>
      <c r="B648" s="8">
        <v>2531368.0</v>
      </c>
      <c r="C648" s="9" t="s">
        <v>19</v>
      </c>
      <c r="D648" s="8">
        <v>1.0</v>
      </c>
      <c r="E648" s="8">
        <v>1.0</v>
      </c>
      <c r="F648" s="8">
        <v>0.0</v>
      </c>
      <c r="G648" s="9" t="s">
        <v>18</v>
      </c>
      <c r="H648" s="10">
        <v>45118.36326547454</v>
      </c>
      <c r="I648" s="10">
        <v>45149.74733599537</v>
      </c>
      <c r="J648" s="8">
        <v>31.0</v>
      </c>
      <c r="K648" s="11">
        <v>2422279.58</v>
      </c>
      <c r="L648" s="8" t="str">
        <f>+VLOOKUP(A648,Hoja2!$A$2:$X$2596,19,FALSE)</f>
        <v>#N/A</v>
      </c>
      <c r="M648" s="9" t="str">
        <f>+VLOOKUP(A648,Hoja2!$A$2:$X$2596,15,FALSE)</f>
        <v>#N/A</v>
      </c>
      <c r="N648" s="9" t="str">
        <f>+VLOOKUP(A648,Hoja2!$A$2:$X$2596,17,FALSE)</f>
        <v>#N/A</v>
      </c>
      <c r="O648" s="9" t="str">
        <f>+VLOOKUP(A648,Hoja2!$A$2:$X$2596,22,FALSE)</f>
        <v>#N/A</v>
      </c>
      <c r="P648" s="9" t="str">
        <f>+VLOOKUP(A648,Hoja2!$A$2:$X$2596,23,FALSE)</f>
        <v>#N/A</v>
      </c>
      <c r="Q648" s="9" t="str">
        <f>+VLOOKUP(A648,Hoja2!$A$2:$X$2596,24,FALSE)</f>
        <v>#N/A</v>
      </c>
    </row>
    <row r="649" ht="15.75" hidden="1" customHeight="1">
      <c r="A649" s="8">
        <v>2531368.0</v>
      </c>
      <c r="B649" s="8">
        <v>2531368.0</v>
      </c>
      <c r="C649" s="9" t="s">
        <v>22</v>
      </c>
      <c r="D649" s="8">
        <v>2.0</v>
      </c>
      <c r="E649" s="8">
        <v>0.0</v>
      </c>
      <c r="F649" s="8">
        <v>0.0</v>
      </c>
      <c r="G649" s="9" t="s">
        <v>21</v>
      </c>
      <c r="H649" s="10">
        <v>45926.756254513886</v>
      </c>
      <c r="I649" s="10">
        <v>45929.70694733796</v>
      </c>
      <c r="J649" s="8">
        <v>3.0</v>
      </c>
      <c r="K649" s="11">
        <v>2422279.58</v>
      </c>
      <c r="L649" s="8" t="str">
        <f>+VLOOKUP(A649,Hoja2!$A$2:$X$2596,19,FALSE)</f>
        <v>#N/A</v>
      </c>
      <c r="M649" s="9" t="str">
        <f>+VLOOKUP(A649,Hoja2!$A$2:$X$2596,15,FALSE)</f>
        <v>#N/A</v>
      </c>
      <c r="N649" s="9" t="str">
        <f>+VLOOKUP(A649,Hoja2!$A$2:$X$2596,17,FALSE)</f>
        <v>#N/A</v>
      </c>
      <c r="O649" s="9" t="str">
        <f>+VLOOKUP(A649,Hoja2!$A$2:$X$2596,22,FALSE)</f>
        <v>#N/A</v>
      </c>
      <c r="P649" s="9" t="str">
        <f>+VLOOKUP(A649,Hoja2!$A$2:$X$2596,23,FALSE)</f>
        <v>#N/A</v>
      </c>
      <c r="Q649" s="9" t="str">
        <f>+VLOOKUP(A649,Hoja2!$A$2:$X$2596,24,FALSE)</f>
        <v>#N/A</v>
      </c>
    </row>
    <row r="650" ht="15.75" hidden="1" customHeight="1">
      <c r="A650" s="8">
        <v>2534341.0</v>
      </c>
      <c r="B650" s="8">
        <v>2534341.0</v>
      </c>
      <c r="C650" s="9" t="s">
        <v>17</v>
      </c>
      <c r="D650" s="8">
        <v>2.0</v>
      </c>
      <c r="E650" s="8">
        <v>0.0</v>
      </c>
      <c r="F650" s="8">
        <v>0.0</v>
      </c>
      <c r="G650" s="9" t="s">
        <v>21</v>
      </c>
      <c r="H650" s="10">
        <v>44768.618388194445</v>
      </c>
      <c r="I650" s="10">
        <v>44777.50322164352</v>
      </c>
      <c r="J650" s="8">
        <v>9.0</v>
      </c>
      <c r="K650" s="11">
        <v>2405379.36</v>
      </c>
      <c r="L650" s="8" t="str">
        <f>+VLOOKUP(A650,Hoja2!$A$2:$X$2596,19,FALSE)</f>
        <v>#N/A</v>
      </c>
      <c r="M650" s="9" t="str">
        <f>+VLOOKUP(A650,Hoja2!$A$2:$X$2596,15,FALSE)</f>
        <v>#N/A</v>
      </c>
      <c r="N650" s="9" t="str">
        <f>+VLOOKUP(A650,Hoja2!$A$2:$X$2596,17,FALSE)</f>
        <v>#N/A</v>
      </c>
      <c r="O650" s="9" t="str">
        <f>+VLOOKUP(A650,Hoja2!$A$2:$X$2596,22,FALSE)</f>
        <v>#N/A</v>
      </c>
      <c r="P650" s="9" t="str">
        <f>+VLOOKUP(A650,Hoja2!$A$2:$X$2596,23,FALSE)</f>
        <v>#N/A</v>
      </c>
      <c r="Q650" s="9" t="str">
        <f>+VLOOKUP(A650,Hoja2!$A$2:$X$2596,24,FALSE)</f>
        <v>#N/A</v>
      </c>
    </row>
    <row r="651" ht="15.75" hidden="1" customHeight="1">
      <c r="A651" s="8">
        <v>2534672.0</v>
      </c>
      <c r="B651" s="8">
        <v>2534672.0</v>
      </c>
      <c r="C651" s="9" t="s">
        <v>24</v>
      </c>
      <c r="D651" s="8">
        <v>2.0</v>
      </c>
      <c r="E651" s="8">
        <v>3.0</v>
      </c>
      <c r="F651" s="8">
        <v>0.0</v>
      </c>
      <c r="G651" s="9" t="s">
        <v>18</v>
      </c>
      <c r="H651" s="10">
        <v>44636.743383333334</v>
      </c>
      <c r="I651" s="10">
        <v>44663.43563506944</v>
      </c>
      <c r="J651" s="8">
        <v>27.0</v>
      </c>
      <c r="K651" s="11">
        <v>6553644.89</v>
      </c>
      <c r="L651" s="8" t="str">
        <f>+VLOOKUP(A651,Hoja2!$A$2:$X$2596,19,FALSE)</f>
        <v>#N/A</v>
      </c>
      <c r="M651" s="9" t="str">
        <f>+VLOOKUP(A651,Hoja2!$A$2:$X$2596,15,FALSE)</f>
        <v>#N/A</v>
      </c>
      <c r="N651" s="9" t="str">
        <f>+VLOOKUP(A651,Hoja2!$A$2:$X$2596,17,FALSE)</f>
        <v>#N/A</v>
      </c>
      <c r="O651" s="9" t="str">
        <f>+VLOOKUP(A651,Hoja2!$A$2:$X$2596,22,FALSE)</f>
        <v>#N/A</v>
      </c>
      <c r="P651" s="9" t="str">
        <f>+VLOOKUP(A651,Hoja2!$A$2:$X$2596,23,FALSE)</f>
        <v>#N/A</v>
      </c>
      <c r="Q651" s="9" t="str">
        <f>+VLOOKUP(A651,Hoja2!$A$2:$X$2596,24,FALSE)</f>
        <v>#N/A</v>
      </c>
    </row>
    <row r="652" ht="15.75" hidden="1" customHeight="1">
      <c r="A652" s="8">
        <v>2535626.0</v>
      </c>
      <c r="B652" s="8">
        <v>2535626.0</v>
      </c>
      <c r="C652" s="9" t="s">
        <v>25</v>
      </c>
      <c r="D652" s="8">
        <v>0.0</v>
      </c>
      <c r="E652" s="8">
        <v>0.0</v>
      </c>
      <c r="F652" s="8">
        <v>0.0</v>
      </c>
      <c r="G652" s="9" t="s">
        <v>26</v>
      </c>
      <c r="H652" s="10">
        <v>45530.641181747684</v>
      </c>
      <c r="I652" s="10">
        <v>45530.641181747684</v>
      </c>
      <c r="J652" s="8">
        <v>0.0</v>
      </c>
      <c r="K652" s="11">
        <v>4.022436676E7</v>
      </c>
      <c r="L652" s="8" t="str">
        <f>+VLOOKUP(A652,Hoja2!$A$2:$X$2596,19,FALSE)</f>
        <v>#N/A</v>
      </c>
      <c r="M652" s="9" t="str">
        <f>+VLOOKUP(A652,Hoja2!$A$2:$X$2596,15,FALSE)</f>
        <v>#N/A</v>
      </c>
      <c r="N652" s="9" t="str">
        <f>+VLOOKUP(A652,Hoja2!$A$2:$X$2596,17,FALSE)</f>
        <v>#N/A</v>
      </c>
      <c r="O652" s="9" t="str">
        <f>+VLOOKUP(A652,Hoja2!$A$2:$X$2596,22,FALSE)</f>
        <v>#N/A</v>
      </c>
      <c r="P652" s="9" t="str">
        <f>+VLOOKUP(A652,Hoja2!$A$2:$X$2596,23,FALSE)</f>
        <v>#N/A</v>
      </c>
      <c r="Q652" s="9" t="str">
        <f>+VLOOKUP(A652,Hoja2!$A$2:$X$2596,24,FALSE)</f>
        <v>#N/A</v>
      </c>
    </row>
    <row r="653" ht="15.75" hidden="1" customHeight="1">
      <c r="A653" s="8">
        <v>2535626.0</v>
      </c>
      <c r="B653" s="8">
        <v>2535626.0</v>
      </c>
      <c r="C653" s="9" t="s">
        <v>25</v>
      </c>
      <c r="D653" s="8">
        <v>0.0</v>
      </c>
      <c r="E653" s="8">
        <v>0.0</v>
      </c>
      <c r="F653" s="8">
        <v>0.0</v>
      </c>
      <c r="G653" s="9" t="s">
        <v>26</v>
      </c>
      <c r="H653" s="10">
        <v>45559.00900366898</v>
      </c>
      <c r="I653" s="10">
        <v>45559.00900366898</v>
      </c>
      <c r="J653" s="8">
        <v>0.0</v>
      </c>
      <c r="K653" s="11">
        <v>4.022436676E7</v>
      </c>
      <c r="L653" s="8" t="str">
        <f>+VLOOKUP(A653,Hoja2!$A$2:$X$2596,19,FALSE)</f>
        <v>#N/A</v>
      </c>
      <c r="M653" s="9" t="str">
        <f>+VLOOKUP(A653,Hoja2!$A$2:$X$2596,15,FALSE)</f>
        <v>#N/A</v>
      </c>
      <c r="N653" s="9" t="str">
        <f>+VLOOKUP(A653,Hoja2!$A$2:$X$2596,17,FALSE)</f>
        <v>#N/A</v>
      </c>
      <c r="O653" s="9" t="str">
        <f>+VLOOKUP(A653,Hoja2!$A$2:$X$2596,22,FALSE)</f>
        <v>#N/A</v>
      </c>
      <c r="P653" s="9" t="str">
        <f>+VLOOKUP(A653,Hoja2!$A$2:$X$2596,23,FALSE)</f>
        <v>#N/A</v>
      </c>
      <c r="Q653" s="9" t="str">
        <f>+VLOOKUP(A653,Hoja2!$A$2:$X$2596,24,FALSE)</f>
        <v>#N/A</v>
      </c>
    </row>
    <row r="654" ht="15.75" hidden="1" customHeight="1">
      <c r="A654" s="8">
        <v>2535626.0</v>
      </c>
      <c r="B654" s="8">
        <v>2535626.0</v>
      </c>
      <c r="C654" s="9" t="s">
        <v>25</v>
      </c>
      <c r="D654" s="8">
        <v>0.0</v>
      </c>
      <c r="E654" s="8">
        <v>0.0</v>
      </c>
      <c r="F654" s="8">
        <v>0.0</v>
      </c>
      <c r="G654" s="9" t="s">
        <v>26</v>
      </c>
      <c r="H654" s="10">
        <v>45576.458632407404</v>
      </c>
      <c r="I654" s="10">
        <v>45576.458632407404</v>
      </c>
      <c r="J654" s="8">
        <v>0.0</v>
      </c>
      <c r="K654" s="11">
        <v>4.022436676E7</v>
      </c>
      <c r="L654" s="8" t="str">
        <f>+VLOOKUP(A654,Hoja2!$A$2:$X$2596,19,FALSE)</f>
        <v>#N/A</v>
      </c>
      <c r="M654" s="9" t="str">
        <f>+VLOOKUP(A654,Hoja2!$A$2:$X$2596,15,FALSE)</f>
        <v>#N/A</v>
      </c>
      <c r="N654" s="9" t="str">
        <f>+VLOOKUP(A654,Hoja2!$A$2:$X$2596,17,FALSE)</f>
        <v>#N/A</v>
      </c>
      <c r="O654" s="9" t="str">
        <f>+VLOOKUP(A654,Hoja2!$A$2:$X$2596,22,FALSE)</f>
        <v>#N/A</v>
      </c>
      <c r="P654" s="9" t="str">
        <f>+VLOOKUP(A654,Hoja2!$A$2:$X$2596,23,FALSE)</f>
        <v>#N/A</v>
      </c>
      <c r="Q654" s="9" t="str">
        <f>+VLOOKUP(A654,Hoja2!$A$2:$X$2596,24,FALSE)</f>
        <v>#N/A</v>
      </c>
    </row>
    <row r="655" ht="15.75" hidden="1" customHeight="1">
      <c r="A655" s="8">
        <v>2535626.0</v>
      </c>
      <c r="B655" s="8">
        <v>2535626.0</v>
      </c>
      <c r="C655" s="9" t="s">
        <v>19</v>
      </c>
      <c r="D655" s="8">
        <v>4.0</v>
      </c>
      <c r="E655" s="8">
        <v>0.0</v>
      </c>
      <c r="F655" s="8">
        <v>0.0</v>
      </c>
      <c r="G655" s="9" t="s">
        <v>21</v>
      </c>
      <c r="H655" s="10">
        <v>45579.77953892361</v>
      </c>
      <c r="I655" s="10">
        <v>45652.84143753472</v>
      </c>
      <c r="J655" s="8">
        <v>73.0</v>
      </c>
      <c r="K655" s="11">
        <v>4.022436676E7</v>
      </c>
      <c r="L655" s="8" t="str">
        <f>+VLOOKUP(A655,Hoja2!$A$2:$X$2596,19,FALSE)</f>
        <v>#N/A</v>
      </c>
      <c r="M655" s="9" t="str">
        <f>+VLOOKUP(A655,Hoja2!$A$2:$X$2596,15,FALSE)</f>
        <v>#N/A</v>
      </c>
      <c r="N655" s="9" t="str">
        <f>+VLOOKUP(A655,Hoja2!$A$2:$X$2596,17,FALSE)</f>
        <v>#N/A</v>
      </c>
      <c r="O655" s="9" t="str">
        <f>+VLOOKUP(A655,Hoja2!$A$2:$X$2596,22,FALSE)</f>
        <v>#N/A</v>
      </c>
      <c r="P655" s="9" t="str">
        <f>+VLOOKUP(A655,Hoja2!$A$2:$X$2596,23,FALSE)</f>
        <v>#N/A</v>
      </c>
      <c r="Q655" s="9" t="str">
        <f>+VLOOKUP(A655,Hoja2!$A$2:$X$2596,24,FALSE)</f>
        <v>#N/A</v>
      </c>
    </row>
    <row r="656" ht="15.75" hidden="1" customHeight="1">
      <c r="A656" s="8">
        <v>2535626.0</v>
      </c>
      <c r="B656" s="8">
        <v>2535626.0</v>
      </c>
      <c r="C656" s="9" t="s">
        <v>19</v>
      </c>
      <c r="D656" s="8">
        <v>4.0</v>
      </c>
      <c r="E656" s="8">
        <v>1.0</v>
      </c>
      <c r="F656" s="8">
        <v>0.0</v>
      </c>
      <c r="G656" s="9" t="s">
        <v>18</v>
      </c>
      <c r="H656" s="10">
        <v>45677.43593225694</v>
      </c>
      <c r="I656" s="10">
        <v>45741.337640625</v>
      </c>
      <c r="J656" s="8">
        <v>64.0</v>
      </c>
      <c r="K656" s="11">
        <v>4.022436676E7</v>
      </c>
      <c r="L656" s="8" t="str">
        <f>+VLOOKUP(A656,Hoja2!$A$2:$X$2596,19,FALSE)</f>
        <v>#N/A</v>
      </c>
      <c r="M656" s="9" t="str">
        <f>+VLOOKUP(A656,Hoja2!$A$2:$X$2596,15,FALSE)</f>
        <v>#N/A</v>
      </c>
      <c r="N656" s="9" t="str">
        <f>+VLOOKUP(A656,Hoja2!$A$2:$X$2596,17,FALSE)</f>
        <v>#N/A</v>
      </c>
      <c r="O656" s="9" t="str">
        <f>+VLOOKUP(A656,Hoja2!$A$2:$X$2596,22,FALSE)</f>
        <v>#N/A</v>
      </c>
      <c r="P656" s="9" t="str">
        <f>+VLOOKUP(A656,Hoja2!$A$2:$X$2596,23,FALSE)</f>
        <v>#N/A</v>
      </c>
      <c r="Q656" s="9" t="str">
        <f>+VLOOKUP(A656,Hoja2!$A$2:$X$2596,24,FALSE)</f>
        <v>#N/A</v>
      </c>
    </row>
    <row r="657" ht="15.75" hidden="1" customHeight="1">
      <c r="A657" s="8">
        <v>2535626.0</v>
      </c>
      <c r="B657" s="8">
        <v>2535626.0</v>
      </c>
      <c r="C657" s="9" t="s">
        <v>22</v>
      </c>
      <c r="D657" s="8">
        <v>2.0</v>
      </c>
      <c r="E657" s="8">
        <v>2.0</v>
      </c>
      <c r="F657" s="8">
        <v>0.0</v>
      </c>
      <c r="G657" s="9" t="s">
        <v>18</v>
      </c>
      <c r="H657" s="10">
        <v>45852.3169878125</v>
      </c>
      <c r="I657" s="10">
        <v>45950.74811597222</v>
      </c>
      <c r="J657" s="8">
        <v>98.0</v>
      </c>
      <c r="K657" s="11">
        <v>4.022436676E7</v>
      </c>
      <c r="L657" s="8" t="str">
        <f>+VLOOKUP(A657,Hoja2!$A$2:$X$2596,19,FALSE)</f>
        <v>#N/A</v>
      </c>
      <c r="M657" s="9" t="str">
        <f>+VLOOKUP(A657,Hoja2!$A$2:$X$2596,15,FALSE)</f>
        <v>#N/A</v>
      </c>
      <c r="N657" s="9" t="str">
        <f>+VLOOKUP(A657,Hoja2!$A$2:$X$2596,17,FALSE)</f>
        <v>#N/A</v>
      </c>
      <c r="O657" s="9" t="str">
        <f>+VLOOKUP(A657,Hoja2!$A$2:$X$2596,22,FALSE)</f>
        <v>#N/A</v>
      </c>
      <c r="P657" s="9" t="str">
        <f>+VLOOKUP(A657,Hoja2!$A$2:$X$2596,23,FALSE)</f>
        <v>#N/A</v>
      </c>
      <c r="Q657" s="9" t="str">
        <f>+VLOOKUP(A657,Hoja2!$A$2:$X$2596,24,FALSE)</f>
        <v>#N/A</v>
      </c>
    </row>
    <row r="658" ht="15.75" customHeight="1">
      <c r="A658" s="8">
        <v>2535928.0</v>
      </c>
      <c r="B658" s="8">
        <v>2535928.0</v>
      </c>
      <c r="C658" s="9" t="s">
        <v>20</v>
      </c>
      <c r="D658" s="8">
        <v>2.0</v>
      </c>
      <c r="E658" s="8">
        <v>7.0</v>
      </c>
      <c r="F658" s="8">
        <v>0.0</v>
      </c>
      <c r="G658" s="9" t="s">
        <v>18</v>
      </c>
      <c r="H658" s="10">
        <v>44625.69563353009</v>
      </c>
      <c r="I658" s="10">
        <v>44702.45486369213</v>
      </c>
      <c r="J658" s="8">
        <v>77.0</v>
      </c>
      <c r="K658" s="11">
        <v>7730164.37</v>
      </c>
      <c r="L658" s="8" t="str">
        <f>+VLOOKUP(A658,Hoja2!$A$2:$X$2596,19,FALSE)</f>
        <v>Concluido</v>
      </c>
      <c r="M658" s="9">
        <f>+VLOOKUP(A658,Hoja2!$A$2:$X$2596,15,FALSE)</f>
        <v>8367344</v>
      </c>
      <c r="N658" s="9">
        <f>+VLOOKUP(A658,Hoja2!$A$2:$X$2596,17,FALSE)</f>
        <v>355183.73</v>
      </c>
      <c r="O658" s="9">
        <f>+VLOOKUP(A658,Hoja2!$A$2:$X$2596,22,FALSE)</f>
        <v>8524304.9</v>
      </c>
      <c r="P658" s="9">
        <f>+VLOOKUP(A658,Hoja2!$A$2:$X$2596,23,FALSE)</f>
        <v>0</v>
      </c>
      <c r="Q658" s="9">
        <f>+VLOOKUP(A658,Hoja2!$A$2:$X$2596,24,FALSE)</f>
        <v>0</v>
      </c>
    </row>
    <row r="659" ht="15.75" hidden="1" customHeight="1">
      <c r="A659" s="8">
        <v>2538682.0</v>
      </c>
      <c r="B659" s="8">
        <v>2538682.0</v>
      </c>
      <c r="C659" s="9" t="s">
        <v>25</v>
      </c>
      <c r="D659" s="8">
        <v>0.0</v>
      </c>
      <c r="E659" s="8">
        <v>0.0</v>
      </c>
      <c r="F659" s="8">
        <v>0.0</v>
      </c>
      <c r="G659" s="9" t="s">
        <v>26</v>
      </c>
      <c r="H659" s="10">
        <v>45828.74213665509</v>
      </c>
      <c r="I659" s="10">
        <v>45828.74213665509</v>
      </c>
      <c r="J659" s="8">
        <v>0.0</v>
      </c>
      <c r="K659" s="11">
        <v>6.615073839E7</v>
      </c>
      <c r="L659" s="8" t="str">
        <f>+VLOOKUP(A659,Hoja2!$A$2:$X$2596,19,FALSE)</f>
        <v>#N/A</v>
      </c>
      <c r="M659" s="9" t="str">
        <f>+VLOOKUP(A659,Hoja2!$A$2:$X$2596,15,FALSE)</f>
        <v>#N/A</v>
      </c>
      <c r="N659" s="9" t="str">
        <f>+VLOOKUP(A659,Hoja2!$A$2:$X$2596,17,FALSE)</f>
        <v>#N/A</v>
      </c>
      <c r="O659" s="9" t="str">
        <f>+VLOOKUP(A659,Hoja2!$A$2:$X$2596,22,FALSE)</f>
        <v>#N/A</v>
      </c>
      <c r="P659" s="9" t="str">
        <f>+VLOOKUP(A659,Hoja2!$A$2:$X$2596,23,FALSE)</f>
        <v>#N/A</v>
      </c>
      <c r="Q659" s="9" t="str">
        <f>+VLOOKUP(A659,Hoja2!$A$2:$X$2596,24,FALSE)</f>
        <v>#N/A</v>
      </c>
    </row>
    <row r="660" ht="15.75" hidden="1" customHeight="1">
      <c r="A660" s="8">
        <v>2538682.0</v>
      </c>
      <c r="B660" s="8">
        <v>2538682.0</v>
      </c>
      <c r="C660" s="9" t="s">
        <v>25</v>
      </c>
      <c r="D660" s="8">
        <v>0.0</v>
      </c>
      <c r="E660" s="8">
        <v>0.0</v>
      </c>
      <c r="F660" s="8">
        <v>0.0</v>
      </c>
      <c r="G660" s="9" t="s">
        <v>26</v>
      </c>
      <c r="H660" s="10">
        <v>45828.744117939816</v>
      </c>
      <c r="I660" s="10">
        <v>45828.744117939816</v>
      </c>
      <c r="J660" s="8">
        <v>0.0</v>
      </c>
      <c r="K660" s="11">
        <v>6.615073839E7</v>
      </c>
      <c r="L660" s="8" t="str">
        <f>+VLOOKUP(A660,Hoja2!$A$2:$X$2596,19,FALSE)</f>
        <v>#N/A</v>
      </c>
      <c r="M660" s="9" t="str">
        <f>+VLOOKUP(A660,Hoja2!$A$2:$X$2596,15,FALSE)</f>
        <v>#N/A</v>
      </c>
      <c r="N660" s="9" t="str">
        <f>+VLOOKUP(A660,Hoja2!$A$2:$X$2596,17,FALSE)</f>
        <v>#N/A</v>
      </c>
      <c r="O660" s="9" t="str">
        <f>+VLOOKUP(A660,Hoja2!$A$2:$X$2596,22,FALSE)</f>
        <v>#N/A</v>
      </c>
      <c r="P660" s="9" t="str">
        <f>+VLOOKUP(A660,Hoja2!$A$2:$X$2596,23,FALSE)</f>
        <v>#N/A</v>
      </c>
      <c r="Q660" s="9" t="str">
        <f>+VLOOKUP(A660,Hoja2!$A$2:$X$2596,24,FALSE)</f>
        <v>#N/A</v>
      </c>
    </row>
    <row r="661" ht="15.75" hidden="1" customHeight="1">
      <c r="A661" s="8">
        <v>2538682.0</v>
      </c>
      <c r="B661" s="8">
        <v>2538682.0</v>
      </c>
      <c r="C661" s="9" t="s">
        <v>22</v>
      </c>
      <c r="D661" s="8">
        <v>3.0</v>
      </c>
      <c r="E661" s="8">
        <v>1.0</v>
      </c>
      <c r="F661" s="8">
        <v>0.0</v>
      </c>
      <c r="G661" s="9" t="s">
        <v>18</v>
      </c>
      <c r="H661" s="10">
        <v>45829.46065069445</v>
      </c>
      <c r="I661" s="10">
        <v>45947.758222337965</v>
      </c>
      <c r="J661" s="8">
        <v>118.0</v>
      </c>
      <c r="K661" s="11">
        <v>6.615073839E7</v>
      </c>
      <c r="L661" s="8" t="str">
        <f>+VLOOKUP(A661,Hoja2!$A$2:$X$2596,19,FALSE)</f>
        <v>#N/A</v>
      </c>
      <c r="M661" s="9" t="str">
        <f>+VLOOKUP(A661,Hoja2!$A$2:$X$2596,15,FALSE)</f>
        <v>#N/A</v>
      </c>
      <c r="N661" s="9" t="str">
        <f>+VLOOKUP(A661,Hoja2!$A$2:$X$2596,17,FALSE)</f>
        <v>#N/A</v>
      </c>
      <c r="O661" s="9" t="str">
        <f>+VLOOKUP(A661,Hoja2!$A$2:$X$2596,22,FALSE)</f>
        <v>#N/A</v>
      </c>
      <c r="P661" s="9" t="str">
        <f>+VLOOKUP(A661,Hoja2!$A$2:$X$2596,23,FALSE)</f>
        <v>#N/A</v>
      </c>
      <c r="Q661" s="9" t="str">
        <f>+VLOOKUP(A661,Hoja2!$A$2:$X$2596,24,FALSE)</f>
        <v>#N/A</v>
      </c>
    </row>
    <row r="662" ht="15.75" hidden="1" customHeight="1">
      <c r="A662" s="8">
        <v>2540967.0</v>
      </c>
      <c r="B662" s="8">
        <v>2540967.0</v>
      </c>
      <c r="C662" s="9" t="s">
        <v>17</v>
      </c>
      <c r="D662" s="8">
        <v>2.0</v>
      </c>
      <c r="E662" s="8">
        <v>0.0</v>
      </c>
      <c r="F662" s="8">
        <v>0.0</v>
      </c>
      <c r="G662" s="9" t="s">
        <v>21</v>
      </c>
      <c r="H662" s="10">
        <v>45265.684832175924</v>
      </c>
      <c r="I662" s="10">
        <v>45288.40626408565</v>
      </c>
      <c r="J662" s="8">
        <v>23.0</v>
      </c>
      <c r="K662" s="11">
        <v>2931520.86</v>
      </c>
      <c r="L662" s="8" t="str">
        <f>+VLOOKUP(A662,Hoja2!$A$2:$X$2596,19,FALSE)</f>
        <v>#N/A</v>
      </c>
      <c r="M662" s="9" t="str">
        <f>+VLOOKUP(A662,Hoja2!$A$2:$X$2596,15,FALSE)</f>
        <v>#N/A</v>
      </c>
      <c r="N662" s="9" t="str">
        <f>+VLOOKUP(A662,Hoja2!$A$2:$X$2596,17,FALSE)</f>
        <v>#N/A</v>
      </c>
      <c r="O662" s="9" t="str">
        <f>+VLOOKUP(A662,Hoja2!$A$2:$X$2596,22,FALSE)</f>
        <v>#N/A</v>
      </c>
      <c r="P662" s="9" t="str">
        <f>+VLOOKUP(A662,Hoja2!$A$2:$X$2596,23,FALSE)</f>
        <v>#N/A</v>
      </c>
      <c r="Q662" s="9" t="str">
        <f>+VLOOKUP(A662,Hoja2!$A$2:$X$2596,24,FALSE)</f>
        <v>#N/A</v>
      </c>
    </row>
    <row r="663" ht="15.75" hidden="1" customHeight="1">
      <c r="A663" s="8">
        <v>2540967.0</v>
      </c>
      <c r="B663" s="8">
        <v>2540967.0</v>
      </c>
      <c r="C663" s="9" t="s">
        <v>17</v>
      </c>
      <c r="D663" s="8">
        <v>2.0</v>
      </c>
      <c r="E663" s="8">
        <v>0.0</v>
      </c>
      <c r="F663" s="8">
        <v>0.0</v>
      </c>
      <c r="G663" s="9" t="s">
        <v>21</v>
      </c>
      <c r="H663" s="10">
        <v>45329.67902052083</v>
      </c>
      <c r="I663" s="10">
        <v>45336.71842503472</v>
      </c>
      <c r="J663" s="8">
        <v>7.0</v>
      </c>
      <c r="K663" s="11">
        <v>2931520.86</v>
      </c>
      <c r="L663" s="8" t="str">
        <f>+VLOOKUP(A663,Hoja2!$A$2:$X$2596,19,FALSE)</f>
        <v>#N/A</v>
      </c>
      <c r="M663" s="9" t="str">
        <f>+VLOOKUP(A663,Hoja2!$A$2:$X$2596,15,FALSE)</f>
        <v>#N/A</v>
      </c>
      <c r="N663" s="9" t="str">
        <f>+VLOOKUP(A663,Hoja2!$A$2:$X$2596,17,FALSE)</f>
        <v>#N/A</v>
      </c>
      <c r="O663" s="9" t="str">
        <f>+VLOOKUP(A663,Hoja2!$A$2:$X$2596,22,FALSE)</f>
        <v>#N/A</v>
      </c>
      <c r="P663" s="9" t="str">
        <f>+VLOOKUP(A663,Hoja2!$A$2:$X$2596,23,FALSE)</f>
        <v>#N/A</v>
      </c>
      <c r="Q663" s="9" t="str">
        <f>+VLOOKUP(A663,Hoja2!$A$2:$X$2596,24,FALSE)</f>
        <v>#N/A</v>
      </c>
    </row>
    <row r="664" ht="15.75" customHeight="1">
      <c r="A664" s="8">
        <v>2553124.0</v>
      </c>
      <c r="B664" s="8">
        <v>2553124.0</v>
      </c>
      <c r="C664" s="9" t="s">
        <v>20</v>
      </c>
      <c r="D664" s="8">
        <v>2.0</v>
      </c>
      <c r="E664" s="8">
        <v>9.0</v>
      </c>
      <c r="F664" s="8">
        <v>0.0</v>
      </c>
      <c r="G664" s="9" t="s">
        <v>18</v>
      </c>
      <c r="H664" s="10">
        <v>45357.73546782407</v>
      </c>
      <c r="I664" s="10">
        <v>45586.49688452546</v>
      </c>
      <c r="J664" s="8">
        <v>229.0</v>
      </c>
      <c r="K664" s="11">
        <v>1.103371276E7</v>
      </c>
      <c r="L664" s="8" t="str">
        <f>+VLOOKUP(A664,Hoja2!$A$2:$X$2596,19,FALSE)</f>
        <v>Actos Previos</v>
      </c>
      <c r="M664" s="9">
        <f>+VLOOKUP(A664,Hoja2!$A$2:$X$2596,15,FALSE)</f>
        <v>0</v>
      </c>
      <c r="N664" s="9" t="str">
        <f>+VLOOKUP(A664,Hoja2!$A$2:$X$2596,17,FALSE)</f>
        <v/>
      </c>
      <c r="O664" s="9" t="str">
        <f>+VLOOKUP(A664,Hoja2!$A$2:$X$2596,22,FALSE)</f>
        <v/>
      </c>
      <c r="P664" s="9" t="str">
        <f>+VLOOKUP(A664,Hoja2!$A$2:$X$2596,23,FALSE)</f>
        <v/>
      </c>
      <c r="Q664" s="9" t="str">
        <f>+VLOOKUP(A664,Hoja2!$A$2:$X$2596,24,FALSE)</f>
        <v/>
      </c>
    </row>
    <row r="665" ht="15.75" hidden="1" customHeight="1">
      <c r="A665" s="8">
        <v>2553414.0</v>
      </c>
      <c r="B665" s="8">
        <v>2553414.0</v>
      </c>
      <c r="C665" s="9" t="s">
        <v>17</v>
      </c>
      <c r="D665" s="8">
        <v>2.0</v>
      </c>
      <c r="E665" s="8">
        <v>0.0</v>
      </c>
      <c r="F665" s="8">
        <v>0.0</v>
      </c>
      <c r="G665" s="9" t="s">
        <v>21</v>
      </c>
      <c r="H665" s="10">
        <v>44939.47967488426</v>
      </c>
      <c r="I665" s="10">
        <v>44956.45851484954</v>
      </c>
      <c r="J665" s="8">
        <v>17.0</v>
      </c>
      <c r="K665" s="11">
        <v>3165920.72</v>
      </c>
      <c r="L665" s="8" t="str">
        <f>+VLOOKUP(A665,Hoja2!$A$2:$X$2596,19,FALSE)</f>
        <v>#N/A</v>
      </c>
      <c r="M665" s="9" t="str">
        <f>+VLOOKUP(A665,Hoja2!$A$2:$X$2596,15,FALSE)</f>
        <v>#N/A</v>
      </c>
      <c r="N665" s="9" t="str">
        <f>+VLOOKUP(A665,Hoja2!$A$2:$X$2596,17,FALSE)</f>
        <v>#N/A</v>
      </c>
      <c r="O665" s="9" t="str">
        <f>+VLOOKUP(A665,Hoja2!$A$2:$X$2596,22,FALSE)</f>
        <v>#N/A</v>
      </c>
      <c r="P665" s="9" t="str">
        <f>+VLOOKUP(A665,Hoja2!$A$2:$X$2596,23,FALSE)</f>
        <v>#N/A</v>
      </c>
      <c r="Q665" s="9" t="str">
        <f>+VLOOKUP(A665,Hoja2!$A$2:$X$2596,24,FALSE)</f>
        <v>#N/A</v>
      </c>
    </row>
    <row r="666" ht="15.75" hidden="1" customHeight="1">
      <c r="A666" s="8">
        <v>2553442.0</v>
      </c>
      <c r="B666" s="8">
        <v>2553442.0</v>
      </c>
      <c r="C666" s="9" t="s">
        <v>17</v>
      </c>
      <c r="D666" s="8">
        <v>2.0</v>
      </c>
      <c r="E666" s="8">
        <v>0.0</v>
      </c>
      <c r="F666" s="8">
        <v>0.0</v>
      </c>
      <c r="G666" s="9" t="s">
        <v>21</v>
      </c>
      <c r="H666" s="10">
        <v>44939.50973773148</v>
      </c>
      <c r="I666" s="10">
        <v>44956.4687383912</v>
      </c>
      <c r="J666" s="8">
        <v>17.0</v>
      </c>
      <c r="K666" s="11">
        <v>3640808.84</v>
      </c>
      <c r="L666" s="8" t="str">
        <f>+VLOOKUP(A666,Hoja2!$A$2:$X$2596,19,FALSE)</f>
        <v>#N/A</v>
      </c>
      <c r="M666" s="9" t="str">
        <f>+VLOOKUP(A666,Hoja2!$A$2:$X$2596,15,FALSE)</f>
        <v>#N/A</v>
      </c>
      <c r="N666" s="9" t="str">
        <f>+VLOOKUP(A666,Hoja2!$A$2:$X$2596,17,FALSE)</f>
        <v>#N/A</v>
      </c>
      <c r="O666" s="9" t="str">
        <f>+VLOOKUP(A666,Hoja2!$A$2:$X$2596,22,FALSE)</f>
        <v>#N/A</v>
      </c>
      <c r="P666" s="9" t="str">
        <f>+VLOOKUP(A666,Hoja2!$A$2:$X$2596,23,FALSE)</f>
        <v>#N/A</v>
      </c>
      <c r="Q666" s="9" t="str">
        <f>+VLOOKUP(A666,Hoja2!$A$2:$X$2596,24,FALSE)</f>
        <v>#N/A</v>
      </c>
    </row>
    <row r="667" ht="15.75" hidden="1" customHeight="1">
      <c r="A667" s="8">
        <v>2553467.0</v>
      </c>
      <c r="B667" s="8">
        <v>2553467.0</v>
      </c>
      <c r="C667" s="9" t="s">
        <v>17</v>
      </c>
      <c r="D667" s="8">
        <v>2.0</v>
      </c>
      <c r="E667" s="8">
        <v>0.0</v>
      </c>
      <c r="F667" s="8">
        <v>0.0</v>
      </c>
      <c r="G667" s="9" t="s">
        <v>21</v>
      </c>
      <c r="H667" s="10">
        <v>44939.51235833333</v>
      </c>
      <c r="I667" s="10">
        <v>44956.47218009259</v>
      </c>
      <c r="J667" s="8">
        <v>17.0</v>
      </c>
      <c r="K667" s="11">
        <v>2308659.79</v>
      </c>
      <c r="L667" s="8" t="str">
        <f>+VLOOKUP(A667,Hoja2!$A$2:$X$2596,19,FALSE)</f>
        <v>#N/A</v>
      </c>
      <c r="M667" s="9" t="str">
        <f>+VLOOKUP(A667,Hoja2!$A$2:$X$2596,15,FALSE)</f>
        <v>#N/A</v>
      </c>
      <c r="N667" s="9" t="str">
        <f>+VLOOKUP(A667,Hoja2!$A$2:$X$2596,17,FALSE)</f>
        <v>#N/A</v>
      </c>
      <c r="O667" s="9" t="str">
        <f>+VLOOKUP(A667,Hoja2!$A$2:$X$2596,22,FALSE)</f>
        <v>#N/A</v>
      </c>
      <c r="P667" s="9" t="str">
        <f>+VLOOKUP(A667,Hoja2!$A$2:$X$2596,23,FALSE)</f>
        <v>#N/A</v>
      </c>
      <c r="Q667" s="9" t="str">
        <f>+VLOOKUP(A667,Hoja2!$A$2:$X$2596,24,FALSE)</f>
        <v>#N/A</v>
      </c>
    </row>
    <row r="668" ht="15.75" hidden="1" customHeight="1">
      <c r="A668" s="8">
        <v>2553722.0</v>
      </c>
      <c r="B668" s="8">
        <v>2553722.0</v>
      </c>
      <c r="C668" s="9" t="s">
        <v>19</v>
      </c>
      <c r="D668" s="8">
        <v>4.0</v>
      </c>
      <c r="E668" s="8">
        <v>2.0</v>
      </c>
      <c r="F668" s="8">
        <v>0.0</v>
      </c>
      <c r="G668" s="9" t="s">
        <v>18</v>
      </c>
      <c r="H668" s="10">
        <v>44860.92133518519</v>
      </c>
      <c r="I668" s="10">
        <v>45009.66812045139</v>
      </c>
      <c r="J668" s="8">
        <v>149.0</v>
      </c>
      <c r="K668" s="11">
        <v>5481070.22</v>
      </c>
      <c r="L668" s="8" t="str">
        <f>+VLOOKUP(A668,Hoja2!$A$2:$X$2596,19,FALSE)</f>
        <v>#N/A</v>
      </c>
      <c r="M668" s="9" t="str">
        <f>+VLOOKUP(A668,Hoja2!$A$2:$X$2596,15,FALSE)</f>
        <v>#N/A</v>
      </c>
      <c r="N668" s="9" t="str">
        <f>+VLOOKUP(A668,Hoja2!$A$2:$X$2596,17,FALSE)</f>
        <v>#N/A</v>
      </c>
      <c r="O668" s="9" t="str">
        <f>+VLOOKUP(A668,Hoja2!$A$2:$X$2596,22,FALSE)</f>
        <v>#N/A</v>
      </c>
      <c r="P668" s="9" t="str">
        <f>+VLOOKUP(A668,Hoja2!$A$2:$X$2596,23,FALSE)</f>
        <v>#N/A</v>
      </c>
      <c r="Q668" s="9" t="str">
        <f>+VLOOKUP(A668,Hoja2!$A$2:$X$2596,24,FALSE)</f>
        <v>#N/A</v>
      </c>
    </row>
    <row r="669" ht="15.75" hidden="1" customHeight="1">
      <c r="A669" s="8">
        <v>2553722.0</v>
      </c>
      <c r="B669" s="8">
        <v>2553722.0</v>
      </c>
      <c r="C669" s="9" t="s">
        <v>19</v>
      </c>
      <c r="D669" s="8">
        <v>4.0</v>
      </c>
      <c r="E669" s="8">
        <v>0.0</v>
      </c>
      <c r="F669" s="8">
        <v>0.0</v>
      </c>
      <c r="G669" s="9" t="s">
        <v>21</v>
      </c>
      <c r="H669" s="10">
        <v>45508.91771015046</v>
      </c>
      <c r="I669" s="10">
        <v>45596.535740127314</v>
      </c>
      <c r="J669" s="8">
        <v>88.0</v>
      </c>
      <c r="K669" s="11">
        <v>5481070.22</v>
      </c>
      <c r="L669" s="8" t="str">
        <f>+VLOOKUP(A669,Hoja2!$A$2:$X$2596,19,FALSE)</f>
        <v>#N/A</v>
      </c>
      <c r="M669" s="9" t="str">
        <f>+VLOOKUP(A669,Hoja2!$A$2:$X$2596,15,FALSE)</f>
        <v>#N/A</v>
      </c>
      <c r="N669" s="9" t="str">
        <f>+VLOOKUP(A669,Hoja2!$A$2:$X$2596,17,FALSE)</f>
        <v>#N/A</v>
      </c>
      <c r="O669" s="9" t="str">
        <f>+VLOOKUP(A669,Hoja2!$A$2:$X$2596,22,FALSE)</f>
        <v>#N/A</v>
      </c>
      <c r="P669" s="9" t="str">
        <f>+VLOOKUP(A669,Hoja2!$A$2:$X$2596,23,FALSE)</f>
        <v>#N/A</v>
      </c>
      <c r="Q669" s="9" t="str">
        <f>+VLOOKUP(A669,Hoja2!$A$2:$X$2596,24,FALSE)</f>
        <v>#N/A</v>
      </c>
    </row>
    <row r="670" ht="15.75" hidden="1" customHeight="1">
      <c r="A670" s="8">
        <v>2553722.0</v>
      </c>
      <c r="B670" s="8">
        <v>2553722.0</v>
      </c>
      <c r="C670" s="9" t="s">
        <v>19</v>
      </c>
      <c r="D670" s="8">
        <v>2.0</v>
      </c>
      <c r="E670" s="8">
        <v>0.0</v>
      </c>
      <c r="F670" s="8">
        <v>0.0</v>
      </c>
      <c r="G670" s="9" t="s">
        <v>21</v>
      </c>
      <c r="H670" s="10">
        <v>45728.33795262731</v>
      </c>
      <c r="I670" s="10">
        <v>45729.722912349534</v>
      </c>
      <c r="J670" s="8">
        <v>1.0</v>
      </c>
      <c r="K670" s="11">
        <v>5481070.22</v>
      </c>
      <c r="L670" s="8" t="str">
        <f>+VLOOKUP(A670,Hoja2!$A$2:$X$2596,19,FALSE)</f>
        <v>#N/A</v>
      </c>
      <c r="M670" s="9" t="str">
        <f>+VLOOKUP(A670,Hoja2!$A$2:$X$2596,15,FALSE)</f>
        <v>#N/A</v>
      </c>
      <c r="N670" s="9" t="str">
        <f>+VLOOKUP(A670,Hoja2!$A$2:$X$2596,17,FALSE)</f>
        <v>#N/A</v>
      </c>
      <c r="O670" s="9" t="str">
        <f>+VLOOKUP(A670,Hoja2!$A$2:$X$2596,22,FALSE)</f>
        <v>#N/A</v>
      </c>
      <c r="P670" s="9" t="str">
        <f>+VLOOKUP(A670,Hoja2!$A$2:$X$2596,23,FALSE)</f>
        <v>#N/A</v>
      </c>
      <c r="Q670" s="9" t="str">
        <f>+VLOOKUP(A670,Hoja2!$A$2:$X$2596,24,FALSE)</f>
        <v>#N/A</v>
      </c>
    </row>
    <row r="671" ht="15.75" hidden="1" customHeight="1">
      <c r="A671" s="8">
        <v>2553722.0</v>
      </c>
      <c r="B671" s="8">
        <v>2553722.0</v>
      </c>
      <c r="C671" s="9" t="s">
        <v>25</v>
      </c>
      <c r="D671" s="8">
        <v>0.0</v>
      </c>
      <c r="E671" s="8">
        <v>0.0</v>
      </c>
      <c r="F671" s="8">
        <v>0.0</v>
      </c>
      <c r="G671" s="9" t="s">
        <v>26</v>
      </c>
      <c r="H671" s="10">
        <v>45820.69136435185</v>
      </c>
      <c r="I671" s="10">
        <v>45889.692354942126</v>
      </c>
      <c r="J671" s="8">
        <v>69.0</v>
      </c>
      <c r="K671" s="11">
        <v>5481070.22</v>
      </c>
      <c r="L671" s="8" t="str">
        <f>+VLOOKUP(A671,Hoja2!$A$2:$X$2596,19,FALSE)</f>
        <v>#N/A</v>
      </c>
      <c r="M671" s="9" t="str">
        <f>+VLOOKUP(A671,Hoja2!$A$2:$X$2596,15,FALSE)</f>
        <v>#N/A</v>
      </c>
      <c r="N671" s="9" t="str">
        <f>+VLOOKUP(A671,Hoja2!$A$2:$X$2596,17,FALSE)</f>
        <v>#N/A</v>
      </c>
      <c r="O671" s="9" t="str">
        <f>+VLOOKUP(A671,Hoja2!$A$2:$X$2596,22,FALSE)</f>
        <v>#N/A</v>
      </c>
      <c r="P671" s="9" t="str">
        <f>+VLOOKUP(A671,Hoja2!$A$2:$X$2596,23,FALSE)</f>
        <v>#N/A</v>
      </c>
      <c r="Q671" s="9" t="str">
        <f>+VLOOKUP(A671,Hoja2!$A$2:$X$2596,24,FALSE)</f>
        <v>#N/A</v>
      </c>
    </row>
    <row r="672" ht="15.75" hidden="1" customHeight="1">
      <c r="A672" s="8">
        <v>2553722.0</v>
      </c>
      <c r="B672" s="8">
        <v>2553722.0</v>
      </c>
      <c r="C672" s="9" t="s">
        <v>27</v>
      </c>
      <c r="D672" s="8">
        <v>1.0</v>
      </c>
      <c r="E672" s="8">
        <v>0.0</v>
      </c>
      <c r="F672" s="8">
        <v>0.0</v>
      </c>
      <c r="G672" s="9" t="s">
        <v>21</v>
      </c>
      <c r="H672" s="10">
        <v>45952.468068368056</v>
      </c>
      <c r="I672" s="10">
        <v>45952.468068368056</v>
      </c>
      <c r="J672" s="8">
        <v>0.0</v>
      </c>
      <c r="K672" s="11">
        <v>5481070.22</v>
      </c>
      <c r="L672" s="8" t="str">
        <f>+VLOOKUP(A672,Hoja2!$A$2:$X$2596,19,FALSE)</f>
        <v>#N/A</v>
      </c>
      <c r="M672" s="9" t="str">
        <f>+VLOOKUP(A672,Hoja2!$A$2:$X$2596,15,FALSE)</f>
        <v>#N/A</v>
      </c>
      <c r="N672" s="9" t="str">
        <f>+VLOOKUP(A672,Hoja2!$A$2:$X$2596,17,FALSE)</f>
        <v>#N/A</v>
      </c>
      <c r="O672" s="9" t="str">
        <f>+VLOOKUP(A672,Hoja2!$A$2:$X$2596,22,FALSE)</f>
        <v>#N/A</v>
      </c>
      <c r="P672" s="9" t="str">
        <f>+VLOOKUP(A672,Hoja2!$A$2:$X$2596,23,FALSE)</f>
        <v>#N/A</v>
      </c>
      <c r="Q672" s="9" t="str">
        <f>+VLOOKUP(A672,Hoja2!$A$2:$X$2596,24,FALSE)</f>
        <v>#N/A</v>
      </c>
    </row>
    <row r="673" ht="15.75" hidden="1" customHeight="1">
      <c r="A673" s="8">
        <v>2554193.0</v>
      </c>
      <c r="B673" s="8">
        <v>2554193.0</v>
      </c>
      <c r="C673" s="9" t="s">
        <v>17</v>
      </c>
      <c r="D673" s="8">
        <v>2.0</v>
      </c>
      <c r="E673" s="8">
        <v>0.0</v>
      </c>
      <c r="F673" s="8">
        <v>0.0</v>
      </c>
      <c r="G673" s="9" t="s">
        <v>21</v>
      </c>
      <c r="H673" s="10">
        <v>44939.73106866898</v>
      </c>
      <c r="I673" s="10">
        <v>44956.4923128125</v>
      </c>
      <c r="J673" s="8">
        <v>17.0</v>
      </c>
      <c r="K673" s="11">
        <v>549431.01</v>
      </c>
      <c r="L673" s="8" t="str">
        <f>+VLOOKUP(A673,Hoja2!$A$2:$X$2596,19,FALSE)</f>
        <v>#N/A</v>
      </c>
      <c r="M673" s="9" t="str">
        <f>+VLOOKUP(A673,Hoja2!$A$2:$X$2596,15,FALSE)</f>
        <v>#N/A</v>
      </c>
      <c r="N673" s="9" t="str">
        <f>+VLOOKUP(A673,Hoja2!$A$2:$X$2596,17,FALSE)</f>
        <v>#N/A</v>
      </c>
      <c r="O673" s="9" t="str">
        <f>+VLOOKUP(A673,Hoja2!$A$2:$X$2596,22,FALSE)</f>
        <v>#N/A</v>
      </c>
      <c r="P673" s="9" t="str">
        <f>+VLOOKUP(A673,Hoja2!$A$2:$X$2596,23,FALSE)</f>
        <v>#N/A</v>
      </c>
      <c r="Q673" s="9" t="str">
        <f>+VLOOKUP(A673,Hoja2!$A$2:$X$2596,24,FALSE)</f>
        <v>#N/A</v>
      </c>
    </row>
    <row r="674" ht="15.75" hidden="1" customHeight="1">
      <c r="A674" s="8">
        <v>2555270.0</v>
      </c>
      <c r="B674" s="8">
        <v>2555270.0</v>
      </c>
      <c r="C674" s="9" t="s">
        <v>19</v>
      </c>
      <c r="D674" s="8">
        <v>4.0</v>
      </c>
      <c r="E674" s="8">
        <v>0.0</v>
      </c>
      <c r="F674" s="8">
        <v>0.0</v>
      </c>
      <c r="G674" s="9" t="s">
        <v>21</v>
      </c>
      <c r="H674" s="10">
        <v>45162.65807534722</v>
      </c>
      <c r="I674" s="10">
        <v>45247.707761921294</v>
      </c>
      <c r="J674" s="8">
        <v>85.0</v>
      </c>
      <c r="K674" s="11">
        <v>2026490.17</v>
      </c>
      <c r="L674" s="8" t="str">
        <f>+VLOOKUP(A674,Hoja2!$A$2:$X$2596,19,FALSE)</f>
        <v>#N/A</v>
      </c>
      <c r="M674" s="9" t="str">
        <f>+VLOOKUP(A674,Hoja2!$A$2:$X$2596,15,FALSE)</f>
        <v>#N/A</v>
      </c>
      <c r="N674" s="9" t="str">
        <f>+VLOOKUP(A674,Hoja2!$A$2:$X$2596,17,FALSE)</f>
        <v>#N/A</v>
      </c>
      <c r="O674" s="9" t="str">
        <f>+VLOOKUP(A674,Hoja2!$A$2:$X$2596,22,FALSE)</f>
        <v>#N/A</v>
      </c>
      <c r="P674" s="9" t="str">
        <f>+VLOOKUP(A674,Hoja2!$A$2:$X$2596,23,FALSE)</f>
        <v>#N/A</v>
      </c>
      <c r="Q674" s="9" t="str">
        <f>+VLOOKUP(A674,Hoja2!$A$2:$X$2596,24,FALSE)</f>
        <v>#N/A</v>
      </c>
    </row>
    <row r="675" ht="15.75" hidden="1" customHeight="1">
      <c r="A675" s="8">
        <v>2555361.0</v>
      </c>
      <c r="B675" s="8">
        <v>2555361.0</v>
      </c>
      <c r="C675" s="9" t="s">
        <v>17</v>
      </c>
      <c r="D675" s="8">
        <v>2.0</v>
      </c>
      <c r="E675" s="8">
        <v>0.0</v>
      </c>
      <c r="F675" s="8">
        <v>0.0</v>
      </c>
      <c r="G675" s="9" t="s">
        <v>21</v>
      </c>
      <c r="H675" s="10">
        <v>44939.47015277778</v>
      </c>
      <c r="I675" s="10">
        <v>44956.45601686343</v>
      </c>
      <c r="J675" s="8">
        <v>17.0</v>
      </c>
      <c r="K675" s="11">
        <v>1060245.35</v>
      </c>
      <c r="L675" s="8" t="str">
        <f>+VLOOKUP(A675,Hoja2!$A$2:$X$2596,19,FALSE)</f>
        <v>#N/A</v>
      </c>
      <c r="M675" s="9" t="str">
        <f>+VLOOKUP(A675,Hoja2!$A$2:$X$2596,15,FALSE)</f>
        <v>#N/A</v>
      </c>
      <c r="N675" s="9" t="str">
        <f>+VLOOKUP(A675,Hoja2!$A$2:$X$2596,17,FALSE)</f>
        <v>#N/A</v>
      </c>
      <c r="O675" s="9" t="str">
        <f>+VLOOKUP(A675,Hoja2!$A$2:$X$2596,22,FALSE)</f>
        <v>#N/A</v>
      </c>
      <c r="P675" s="9" t="str">
        <f>+VLOOKUP(A675,Hoja2!$A$2:$X$2596,23,FALSE)</f>
        <v>#N/A</v>
      </c>
      <c r="Q675" s="9" t="str">
        <f>+VLOOKUP(A675,Hoja2!$A$2:$X$2596,24,FALSE)</f>
        <v>#N/A</v>
      </c>
    </row>
    <row r="676" ht="15.75" hidden="1" customHeight="1">
      <c r="A676" s="8">
        <v>2556833.0</v>
      </c>
      <c r="B676" s="8">
        <v>2556833.0</v>
      </c>
      <c r="C676" s="9" t="s">
        <v>17</v>
      </c>
      <c r="D676" s="8">
        <v>2.0</v>
      </c>
      <c r="E676" s="8">
        <v>0.0</v>
      </c>
      <c r="F676" s="8">
        <v>0.0</v>
      </c>
      <c r="G676" s="9" t="s">
        <v>21</v>
      </c>
      <c r="H676" s="10">
        <v>45260.73644980324</v>
      </c>
      <c r="I676" s="10">
        <v>45266.69271423611</v>
      </c>
      <c r="J676" s="8">
        <v>6.0</v>
      </c>
      <c r="K676" s="11">
        <v>5662390.52</v>
      </c>
      <c r="L676" s="8" t="str">
        <f>+VLOOKUP(A676,Hoja2!$A$2:$X$2596,19,FALSE)</f>
        <v>#N/A</v>
      </c>
      <c r="M676" s="9" t="str">
        <f>+VLOOKUP(A676,Hoja2!$A$2:$X$2596,15,FALSE)</f>
        <v>#N/A</v>
      </c>
      <c r="N676" s="9" t="str">
        <f>+VLOOKUP(A676,Hoja2!$A$2:$X$2596,17,FALSE)</f>
        <v>#N/A</v>
      </c>
      <c r="O676" s="9" t="str">
        <f>+VLOOKUP(A676,Hoja2!$A$2:$X$2596,22,FALSE)</f>
        <v>#N/A</v>
      </c>
      <c r="P676" s="9" t="str">
        <f>+VLOOKUP(A676,Hoja2!$A$2:$X$2596,23,FALSE)</f>
        <v>#N/A</v>
      </c>
      <c r="Q676" s="9" t="str">
        <f>+VLOOKUP(A676,Hoja2!$A$2:$X$2596,24,FALSE)</f>
        <v>#N/A</v>
      </c>
    </row>
    <row r="677" ht="15.75" hidden="1" customHeight="1">
      <c r="A677" s="8">
        <v>2556833.0</v>
      </c>
      <c r="B677" s="8">
        <v>2556833.0</v>
      </c>
      <c r="C677" s="9" t="s">
        <v>17</v>
      </c>
      <c r="D677" s="8">
        <v>2.0</v>
      </c>
      <c r="E677" s="8">
        <v>0.0</v>
      </c>
      <c r="F677" s="8">
        <v>0.0</v>
      </c>
      <c r="G677" s="9" t="s">
        <v>21</v>
      </c>
      <c r="H677" s="10">
        <v>45329.67926616898</v>
      </c>
      <c r="I677" s="10">
        <v>45336.71831273148</v>
      </c>
      <c r="J677" s="8">
        <v>7.0</v>
      </c>
      <c r="K677" s="11">
        <v>5662390.52</v>
      </c>
      <c r="L677" s="8" t="str">
        <f>+VLOOKUP(A677,Hoja2!$A$2:$X$2596,19,FALSE)</f>
        <v>#N/A</v>
      </c>
      <c r="M677" s="9" t="str">
        <f>+VLOOKUP(A677,Hoja2!$A$2:$X$2596,15,FALSE)</f>
        <v>#N/A</v>
      </c>
      <c r="N677" s="9" t="str">
        <f>+VLOOKUP(A677,Hoja2!$A$2:$X$2596,17,FALSE)</f>
        <v>#N/A</v>
      </c>
      <c r="O677" s="9" t="str">
        <f>+VLOOKUP(A677,Hoja2!$A$2:$X$2596,22,FALSE)</f>
        <v>#N/A</v>
      </c>
      <c r="P677" s="9" t="str">
        <f>+VLOOKUP(A677,Hoja2!$A$2:$X$2596,23,FALSE)</f>
        <v>#N/A</v>
      </c>
      <c r="Q677" s="9" t="str">
        <f>+VLOOKUP(A677,Hoja2!$A$2:$X$2596,24,FALSE)</f>
        <v>#N/A</v>
      </c>
    </row>
    <row r="678" ht="15.75" customHeight="1">
      <c r="A678" s="8">
        <v>2565120.0</v>
      </c>
      <c r="B678" s="8">
        <v>2565120.0</v>
      </c>
      <c r="C678" s="9" t="s">
        <v>20</v>
      </c>
      <c r="D678" s="8">
        <v>3.0</v>
      </c>
      <c r="E678" s="8">
        <v>4.0</v>
      </c>
      <c r="F678" s="8">
        <v>0.0</v>
      </c>
      <c r="G678" s="9" t="s">
        <v>18</v>
      </c>
      <c r="H678" s="10">
        <v>44978.649630011576</v>
      </c>
      <c r="I678" s="10">
        <v>45097.71977920139</v>
      </c>
      <c r="J678" s="8">
        <v>119.0</v>
      </c>
      <c r="K678" s="11">
        <v>7938860.58</v>
      </c>
      <c r="L678" s="8" t="str">
        <f>+VLOOKUP(A678,Hoja2!$A$2:$X$2596,19,FALSE)</f>
        <v>Concluido</v>
      </c>
      <c r="M678" s="9">
        <f>+VLOOKUP(A678,Hoja2!$A$2:$X$2596,15,FALSE)</f>
        <v>7121346.86</v>
      </c>
      <c r="N678" s="9">
        <f>+VLOOKUP(A678,Hoja2!$A$2:$X$2596,17,FALSE)</f>
        <v>409197.15</v>
      </c>
      <c r="O678" s="9">
        <f>+VLOOKUP(A678,Hoja2!$A$2:$X$2596,22,FALSE)</f>
        <v>6910548.99</v>
      </c>
      <c r="P678" s="9">
        <f>+VLOOKUP(A678,Hoja2!$A$2:$X$2596,23,FALSE)</f>
        <v>409197.14</v>
      </c>
      <c r="Q678" s="9">
        <f>+VLOOKUP(A678,Hoja2!$A$2:$X$2596,24,FALSE)</f>
        <v>0</v>
      </c>
    </row>
    <row r="679" ht="15.75" hidden="1" customHeight="1">
      <c r="A679" s="8">
        <v>2569031.0</v>
      </c>
      <c r="B679" s="8">
        <v>2569031.0</v>
      </c>
      <c r="C679" s="9" t="s">
        <v>22</v>
      </c>
      <c r="D679" s="8">
        <v>2.0</v>
      </c>
      <c r="E679" s="8">
        <v>0.0</v>
      </c>
      <c r="F679" s="8">
        <v>0.0</v>
      </c>
      <c r="G679" s="9" t="s">
        <v>21</v>
      </c>
      <c r="H679" s="10">
        <v>45939.437768206015</v>
      </c>
      <c r="I679" s="10">
        <v>45947.39474251158</v>
      </c>
      <c r="J679" s="8">
        <v>8.0</v>
      </c>
      <c r="K679" s="11">
        <v>1023680.27</v>
      </c>
      <c r="L679" s="8" t="str">
        <f>+VLOOKUP(A679,Hoja2!$A$2:$X$2596,19,FALSE)</f>
        <v>#N/A</v>
      </c>
      <c r="M679" s="9" t="str">
        <f>+VLOOKUP(A679,Hoja2!$A$2:$X$2596,15,FALSE)</f>
        <v>#N/A</v>
      </c>
      <c r="N679" s="9" t="str">
        <f>+VLOOKUP(A679,Hoja2!$A$2:$X$2596,17,FALSE)</f>
        <v>#N/A</v>
      </c>
      <c r="O679" s="9" t="str">
        <f>+VLOOKUP(A679,Hoja2!$A$2:$X$2596,22,FALSE)</f>
        <v>#N/A</v>
      </c>
      <c r="P679" s="9" t="str">
        <f>+VLOOKUP(A679,Hoja2!$A$2:$X$2596,23,FALSE)</f>
        <v>#N/A</v>
      </c>
      <c r="Q679" s="9" t="str">
        <f>+VLOOKUP(A679,Hoja2!$A$2:$X$2596,24,FALSE)</f>
        <v>#N/A</v>
      </c>
    </row>
    <row r="680" ht="15.75" hidden="1" customHeight="1">
      <c r="A680" s="8">
        <v>2571917.0</v>
      </c>
      <c r="B680" s="8">
        <v>2571917.0</v>
      </c>
      <c r="C680" s="9" t="s">
        <v>17</v>
      </c>
      <c r="D680" s="8">
        <v>2.0</v>
      </c>
      <c r="E680" s="8">
        <v>0.0</v>
      </c>
      <c r="F680" s="8">
        <v>0.0</v>
      </c>
      <c r="G680" s="9" t="s">
        <v>21</v>
      </c>
      <c r="H680" s="10">
        <v>45511.80947167824</v>
      </c>
      <c r="I680" s="10">
        <v>45513.71286782408</v>
      </c>
      <c r="J680" s="8">
        <v>2.0</v>
      </c>
      <c r="K680" s="11">
        <v>2360134.26</v>
      </c>
      <c r="L680" s="8" t="str">
        <f>+VLOOKUP(A680,Hoja2!$A$2:$X$2596,19,FALSE)</f>
        <v>#N/A</v>
      </c>
      <c r="M680" s="9" t="str">
        <f>+VLOOKUP(A680,Hoja2!$A$2:$X$2596,15,FALSE)</f>
        <v>#N/A</v>
      </c>
      <c r="N680" s="9" t="str">
        <f>+VLOOKUP(A680,Hoja2!$A$2:$X$2596,17,FALSE)</f>
        <v>#N/A</v>
      </c>
      <c r="O680" s="9" t="str">
        <f>+VLOOKUP(A680,Hoja2!$A$2:$X$2596,22,FALSE)</f>
        <v>#N/A</v>
      </c>
      <c r="P680" s="9" t="str">
        <f>+VLOOKUP(A680,Hoja2!$A$2:$X$2596,23,FALSE)</f>
        <v>#N/A</v>
      </c>
      <c r="Q680" s="9" t="str">
        <f>+VLOOKUP(A680,Hoja2!$A$2:$X$2596,24,FALSE)</f>
        <v>#N/A</v>
      </c>
    </row>
    <row r="681" ht="15.75" hidden="1" customHeight="1">
      <c r="A681" s="8">
        <v>2571917.0</v>
      </c>
      <c r="B681" s="8">
        <v>2571917.0</v>
      </c>
      <c r="C681" s="9" t="s">
        <v>22</v>
      </c>
      <c r="D681" s="8">
        <v>2.0</v>
      </c>
      <c r="E681" s="8">
        <v>0.0</v>
      </c>
      <c r="F681" s="8">
        <v>0.0</v>
      </c>
      <c r="G681" s="9" t="s">
        <v>21</v>
      </c>
      <c r="H681" s="10">
        <v>45951.805502118055</v>
      </c>
      <c r="I681" s="10">
        <v>45958.59348927083</v>
      </c>
      <c r="J681" s="8">
        <v>7.0</v>
      </c>
      <c r="K681" s="11">
        <v>2360134.26</v>
      </c>
      <c r="L681" s="8" t="str">
        <f>+VLOOKUP(A681,Hoja2!$A$2:$X$2596,19,FALSE)</f>
        <v>#N/A</v>
      </c>
      <c r="M681" s="9" t="str">
        <f>+VLOOKUP(A681,Hoja2!$A$2:$X$2596,15,FALSE)</f>
        <v>#N/A</v>
      </c>
      <c r="N681" s="9" t="str">
        <f>+VLOOKUP(A681,Hoja2!$A$2:$X$2596,17,FALSE)</f>
        <v>#N/A</v>
      </c>
      <c r="O681" s="9" t="str">
        <f>+VLOOKUP(A681,Hoja2!$A$2:$X$2596,22,FALSE)</f>
        <v>#N/A</v>
      </c>
      <c r="P681" s="9" t="str">
        <f>+VLOOKUP(A681,Hoja2!$A$2:$X$2596,23,FALSE)</f>
        <v>#N/A</v>
      </c>
      <c r="Q681" s="9" t="str">
        <f>+VLOOKUP(A681,Hoja2!$A$2:$X$2596,24,FALSE)</f>
        <v>#N/A</v>
      </c>
    </row>
    <row r="682" ht="15.75" hidden="1" customHeight="1">
      <c r="A682" s="8">
        <v>2577562.0</v>
      </c>
      <c r="B682" s="8">
        <v>2577562.0</v>
      </c>
      <c r="C682" s="9" t="s">
        <v>17</v>
      </c>
      <c r="D682" s="8">
        <v>2.0</v>
      </c>
      <c r="E682" s="8">
        <v>0.0</v>
      </c>
      <c r="F682" s="8">
        <v>0.0</v>
      </c>
      <c r="G682" s="9" t="s">
        <v>21</v>
      </c>
      <c r="H682" s="10">
        <v>45369.73932453704</v>
      </c>
      <c r="I682" s="10">
        <v>45392.83492577546</v>
      </c>
      <c r="J682" s="8">
        <v>23.0</v>
      </c>
      <c r="K682" s="11">
        <v>2.397228445E7</v>
      </c>
      <c r="L682" s="8" t="str">
        <f>+VLOOKUP(A682,Hoja2!$A$2:$X$2596,19,FALSE)</f>
        <v>#N/A</v>
      </c>
      <c r="M682" s="9" t="str">
        <f>+VLOOKUP(A682,Hoja2!$A$2:$X$2596,15,FALSE)</f>
        <v>#N/A</v>
      </c>
      <c r="N682" s="9" t="str">
        <f>+VLOOKUP(A682,Hoja2!$A$2:$X$2596,17,FALSE)</f>
        <v>#N/A</v>
      </c>
      <c r="O682" s="9" t="str">
        <f>+VLOOKUP(A682,Hoja2!$A$2:$X$2596,22,FALSE)</f>
        <v>#N/A</v>
      </c>
      <c r="P682" s="9" t="str">
        <f>+VLOOKUP(A682,Hoja2!$A$2:$X$2596,23,FALSE)</f>
        <v>#N/A</v>
      </c>
      <c r="Q682" s="9" t="str">
        <f>+VLOOKUP(A682,Hoja2!$A$2:$X$2596,24,FALSE)</f>
        <v>#N/A</v>
      </c>
    </row>
    <row r="683" ht="15.75" hidden="1" customHeight="1">
      <c r="A683" s="8">
        <v>2577562.0</v>
      </c>
      <c r="B683" s="8">
        <v>2577562.0</v>
      </c>
      <c r="C683" s="9" t="s">
        <v>19</v>
      </c>
      <c r="D683" s="8">
        <v>4.0</v>
      </c>
      <c r="E683" s="8">
        <v>0.0</v>
      </c>
      <c r="F683" s="8">
        <v>0.0</v>
      </c>
      <c r="G683" s="9" t="s">
        <v>21</v>
      </c>
      <c r="H683" s="10">
        <v>45432.990160416666</v>
      </c>
      <c r="I683" s="10">
        <v>45533.62115690972</v>
      </c>
      <c r="J683" s="8">
        <v>101.0</v>
      </c>
      <c r="K683" s="11">
        <v>2.397228445E7</v>
      </c>
      <c r="L683" s="8" t="str">
        <f>+VLOOKUP(A683,Hoja2!$A$2:$X$2596,19,FALSE)</f>
        <v>#N/A</v>
      </c>
      <c r="M683" s="9" t="str">
        <f>+VLOOKUP(A683,Hoja2!$A$2:$X$2596,15,FALSE)</f>
        <v>#N/A</v>
      </c>
      <c r="N683" s="9" t="str">
        <f>+VLOOKUP(A683,Hoja2!$A$2:$X$2596,17,FALSE)</f>
        <v>#N/A</v>
      </c>
      <c r="O683" s="9" t="str">
        <f>+VLOOKUP(A683,Hoja2!$A$2:$X$2596,22,FALSE)</f>
        <v>#N/A</v>
      </c>
      <c r="P683" s="9" t="str">
        <f>+VLOOKUP(A683,Hoja2!$A$2:$X$2596,23,FALSE)</f>
        <v>#N/A</v>
      </c>
      <c r="Q683" s="9" t="str">
        <f>+VLOOKUP(A683,Hoja2!$A$2:$X$2596,24,FALSE)</f>
        <v>#N/A</v>
      </c>
    </row>
    <row r="684" ht="15.75" hidden="1" customHeight="1">
      <c r="A684" s="8">
        <v>2577562.0</v>
      </c>
      <c r="B684" s="8">
        <v>2577562.0</v>
      </c>
      <c r="C684" s="9" t="s">
        <v>25</v>
      </c>
      <c r="D684" s="8">
        <v>0.0</v>
      </c>
      <c r="E684" s="8">
        <v>0.0</v>
      </c>
      <c r="F684" s="8">
        <v>0.0</v>
      </c>
      <c r="G684" s="9" t="s">
        <v>26</v>
      </c>
      <c r="H684" s="10">
        <v>45544.620729710645</v>
      </c>
      <c r="I684" s="10">
        <v>45544.620729710645</v>
      </c>
      <c r="J684" s="8">
        <v>0.0</v>
      </c>
      <c r="K684" s="11">
        <v>2.397228445E7</v>
      </c>
      <c r="L684" s="8" t="str">
        <f>+VLOOKUP(A684,Hoja2!$A$2:$X$2596,19,FALSE)</f>
        <v>#N/A</v>
      </c>
      <c r="M684" s="9" t="str">
        <f>+VLOOKUP(A684,Hoja2!$A$2:$X$2596,15,FALSE)</f>
        <v>#N/A</v>
      </c>
      <c r="N684" s="9" t="str">
        <f>+VLOOKUP(A684,Hoja2!$A$2:$X$2596,17,FALSE)</f>
        <v>#N/A</v>
      </c>
      <c r="O684" s="9" t="str">
        <f>+VLOOKUP(A684,Hoja2!$A$2:$X$2596,22,FALSE)</f>
        <v>#N/A</v>
      </c>
      <c r="P684" s="9" t="str">
        <f>+VLOOKUP(A684,Hoja2!$A$2:$X$2596,23,FALSE)</f>
        <v>#N/A</v>
      </c>
      <c r="Q684" s="9" t="str">
        <f>+VLOOKUP(A684,Hoja2!$A$2:$X$2596,24,FALSE)</f>
        <v>#N/A</v>
      </c>
    </row>
    <row r="685" ht="15.75" hidden="1" customHeight="1">
      <c r="A685" s="8">
        <v>2577562.0</v>
      </c>
      <c r="B685" s="8">
        <v>2577562.0</v>
      </c>
      <c r="C685" s="9" t="s">
        <v>25</v>
      </c>
      <c r="D685" s="8">
        <v>0.0</v>
      </c>
      <c r="E685" s="8">
        <v>0.0</v>
      </c>
      <c r="F685" s="8">
        <v>0.0</v>
      </c>
      <c r="G685" s="9" t="s">
        <v>26</v>
      </c>
      <c r="H685" s="10">
        <v>45667.37731269676</v>
      </c>
      <c r="I685" s="10">
        <v>45667.37731269676</v>
      </c>
      <c r="J685" s="8">
        <v>0.0</v>
      </c>
      <c r="K685" s="11">
        <v>2.397228445E7</v>
      </c>
      <c r="L685" s="8" t="str">
        <f>+VLOOKUP(A685,Hoja2!$A$2:$X$2596,19,FALSE)</f>
        <v>#N/A</v>
      </c>
      <c r="M685" s="9" t="str">
        <f>+VLOOKUP(A685,Hoja2!$A$2:$X$2596,15,FALSE)</f>
        <v>#N/A</v>
      </c>
      <c r="N685" s="9" t="str">
        <f>+VLOOKUP(A685,Hoja2!$A$2:$X$2596,17,FALSE)</f>
        <v>#N/A</v>
      </c>
      <c r="O685" s="9" t="str">
        <f>+VLOOKUP(A685,Hoja2!$A$2:$X$2596,22,FALSE)</f>
        <v>#N/A</v>
      </c>
      <c r="P685" s="9" t="str">
        <f>+VLOOKUP(A685,Hoja2!$A$2:$X$2596,23,FALSE)</f>
        <v>#N/A</v>
      </c>
      <c r="Q685" s="9" t="str">
        <f>+VLOOKUP(A685,Hoja2!$A$2:$X$2596,24,FALSE)</f>
        <v>#N/A</v>
      </c>
    </row>
    <row r="686" ht="15.75" hidden="1" customHeight="1">
      <c r="A686" s="8">
        <v>2577562.0</v>
      </c>
      <c r="B686" s="8">
        <v>2577562.0</v>
      </c>
      <c r="C686" s="9" t="s">
        <v>22</v>
      </c>
      <c r="D686" s="8">
        <v>2.0</v>
      </c>
      <c r="E686" s="8">
        <v>0.0</v>
      </c>
      <c r="F686" s="8">
        <v>0.0</v>
      </c>
      <c r="G686" s="9" t="s">
        <v>21</v>
      </c>
      <c r="H686" s="10">
        <v>45956.47642924768</v>
      </c>
      <c r="I686" s="10">
        <v>45958.743597141205</v>
      </c>
      <c r="J686" s="8">
        <v>2.0</v>
      </c>
      <c r="K686" s="11">
        <v>2.397228445E7</v>
      </c>
      <c r="L686" s="8" t="str">
        <f>+VLOOKUP(A686,Hoja2!$A$2:$X$2596,19,FALSE)</f>
        <v>#N/A</v>
      </c>
      <c r="M686" s="9" t="str">
        <f>+VLOOKUP(A686,Hoja2!$A$2:$X$2596,15,FALSE)</f>
        <v>#N/A</v>
      </c>
      <c r="N686" s="9" t="str">
        <f>+VLOOKUP(A686,Hoja2!$A$2:$X$2596,17,FALSE)</f>
        <v>#N/A</v>
      </c>
      <c r="O686" s="9" t="str">
        <f>+VLOOKUP(A686,Hoja2!$A$2:$X$2596,22,FALSE)</f>
        <v>#N/A</v>
      </c>
      <c r="P686" s="9" t="str">
        <f>+VLOOKUP(A686,Hoja2!$A$2:$X$2596,23,FALSE)</f>
        <v>#N/A</v>
      </c>
      <c r="Q686" s="9" t="str">
        <f>+VLOOKUP(A686,Hoja2!$A$2:$X$2596,24,FALSE)</f>
        <v>#N/A</v>
      </c>
    </row>
    <row r="687" ht="15.75" hidden="1" customHeight="1">
      <c r="A687" s="8">
        <v>2601763.0</v>
      </c>
      <c r="B687" s="8">
        <v>2601763.0</v>
      </c>
      <c r="C687" s="9" t="s">
        <v>22</v>
      </c>
      <c r="D687" s="8">
        <v>2.0</v>
      </c>
      <c r="E687" s="8">
        <v>0.0</v>
      </c>
      <c r="F687" s="8">
        <v>0.0</v>
      </c>
      <c r="G687" s="9" t="s">
        <v>21</v>
      </c>
      <c r="H687" s="10">
        <v>45878.65050671296</v>
      </c>
      <c r="I687" s="10">
        <v>45895.724025578704</v>
      </c>
      <c r="J687" s="8">
        <v>17.0</v>
      </c>
      <c r="K687" s="11">
        <v>7015711.02</v>
      </c>
      <c r="L687" s="8" t="str">
        <f>+VLOOKUP(A687,Hoja2!$A$2:$X$2596,19,FALSE)</f>
        <v>#N/A</v>
      </c>
      <c r="M687" s="9" t="str">
        <f>+VLOOKUP(A687,Hoja2!$A$2:$X$2596,15,FALSE)</f>
        <v>#N/A</v>
      </c>
      <c r="N687" s="9" t="str">
        <f>+VLOOKUP(A687,Hoja2!$A$2:$X$2596,17,FALSE)</f>
        <v>#N/A</v>
      </c>
      <c r="O687" s="9" t="str">
        <f>+VLOOKUP(A687,Hoja2!$A$2:$X$2596,22,FALSE)</f>
        <v>#N/A</v>
      </c>
      <c r="P687" s="9" t="str">
        <f>+VLOOKUP(A687,Hoja2!$A$2:$X$2596,23,FALSE)</f>
        <v>#N/A</v>
      </c>
      <c r="Q687" s="9" t="str">
        <f>+VLOOKUP(A687,Hoja2!$A$2:$X$2596,24,FALSE)</f>
        <v>#N/A</v>
      </c>
    </row>
    <row r="688" ht="15.75" customHeight="1">
      <c r="A688" s="8">
        <v>2602482.0</v>
      </c>
      <c r="B688" s="8">
        <v>2602482.0</v>
      </c>
      <c r="C688" s="9" t="s">
        <v>20</v>
      </c>
      <c r="D688" s="8">
        <v>3.0</v>
      </c>
      <c r="E688" s="8">
        <v>7.0</v>
      </c>
      <c r="F688" s="8">
        <v>0.0</v>
      </c>
      <c r="G688" s="9" t="s">
        <v>18</v>
      </c>
      <c r="H688" s="10">
        <v>45154.513076585645</v>
      </c>
      <c r="I688" s="10">
        <v>45264.47655868056</v>
      </c>
      <c r="J688" s="8">
        <v>110.0</v>
      </c>
      <c r="K688" s="11">
        <v>3032844.74</v>
      </c>
      <c r="L688" s="8" t="str">
        <f>+VLOOKUP(A688,Hoja2!$A$2:$X$2596,19,FALSE)</f>
        <v>Actos Previos</v>
      </c>
      <c r="M688" s="9">
        <f>+VLOOKUP(A688,Hoja2!$A$2:$X$2596,15,FALSE)</f>
        <v>3079262.42</v>
      </c>
      <c r="N688" s="9">
        <f>+VLOOKUP(A688,Hoja2!$A$2:$X$2596,17,FALSE)</f>
        <v>137341.86</v>
      </c>
      <c r="O688" s="9" t="str">
        <f>+VLOOKUP(A688,Hoja2!$A$2:$X$2596,22,FALSE)</f>
        <v/>
      </c>
      <c r="P688" s="9" t="str">
        <f>+VLOOKUP(A688,Hoja2!$A$2:$X$2596,23,FALSE)</f>
        <v/>
      </c>
      <c r="Q688" s="9" t="str">
        <f>+VLOOKUP(A688,Hoja2!$A$2:$X$2596,24,FALSE)</f>
        <v/>
      </c>
    </row>
    <row r="689" ht="15.75" hidden="1" customHeight="1">
      <c r="A689" s="8">
        <v>2607177.0</v>
      </c>
      <c r="B689" s="8">
        <v>2607177.0</v>
      </c>
      <c r="C689" s="9" t="s">
        <v>19</v>
      </c>
      <c r="D689" s="8">
        <v>2.0</v>
      </c>
      <c r="E689" s="8">
        <v>0.0</v>
      </c>
      <c r="F689" s="8">
        <v>0.0</v>
      </c>
      <c r="G689" s="9" t="s">
        <v>21</v>
      </c>
      <c r="H689" s="10">
        <v>45742.515919363424</v>
      </c>
      <c r="I689" s="10">
        <v>45777.65506574074</v>
      </c>
      <c r="J689" s="8">
        <v>35.0</v>
      </c>
      <c r="K689" s="11">
        <v>4409266.81</v>
      </c>
      <c r="L689" s="8" t="str">
        <f>+VLOOKUP(A689,Hoja2!$A$2:$X$2596,19,FALSE)</f>
        <v>#N/A</v>
      </c>
      <c r="M689" s="9" t="str">
        <f>+VLOOKUP(A689,Hoja2!$A$2:$X$2596,15,FALSE)</f>
        <v>#N/A</v>
      </c>
      <c r="N689" s="9" t="str">
        <f>+VLOOKUP(A689,Hoja2!$A$2:$X$2596,17,FALSE)</f>
        <v>#N/A</v>
      </c>
      <c r="O689" s="9" t="str">
        <f>+VLOOKUP(A689,Hoja2!$A$2:$X$2596,22,FALSE)</f>
        <v>#N/A</v>
      </c>
      <c r="P689" s="9" t="str">
        <f>+VLOOKUP(A689,Hoja2!$A$2:$X$2596,23,FALSE)</f>
        <v>#N/A</v>
      </c>
      <c r="Q689" s="9" t="str">
        <f>+VLOOKUP(A689,Hoja2!$A$2:$X$2596,24,FALSE)</f>
        <v>#N/A</v>
      </c>
    </row>
    <row r="690" ht="15.75" hidden="1" customHeight="1">
      <c r="A690" s="8">
        <v>2607177.0</v>
      </c>
      <c r="B690" s="8">
        <v>2607177.0</v>
      </c>
      <c r="C690" s="9" t="s">
        <v>22</v>
      </c>
      <c r="D690" s="8">
        <v>2.0</v>
      </c>
      <c r="E690" s="8">
        <v>0.0</v>
      </c>
      <c r="F690" s="8">
        <v>0.0</v>
      </c>
      <c r="G690" s="9" t="s">
        <v>21</v>
      </c>
      <c r="H690" s="10">
        <v>45936.723829016206</v>
      </c>
      <c r="I690" s="10">
        <v>45944.68378252315</v>
      </c>
      <c r="J690" s="8">
        <v>8.0</v>
      </c>
      <c r="K690" s="11">
        <v>4409266.81</v>
      </c>
      <c r="L690" s="8" t="str">
        <f>+VLOOKUP(A690,Hoja2!$A$2:$X$2596,19,FALSE)</f>
        <v>#N/A</v>
      </c>
      <c r="M690" s="9" t="str">
        <f>+VLOOKUP(A690,Hoja2!$A$2:$X$2596,15,FALSE)</f>
        <v>#N/A</v>
      </c>
      <c r="N690" s="9" t="str">
        <f>+VLOOKUP(A690,Hoja2!$A$2:$X$2596,17,FALSE)</f>
        <v>#N/A</v>
      </c>
      <c r="O690" s="9" t="str">
        <f>+VLOOKUP(A690,Hoja2!$A$2:$X$2596,22,FALSE)</f>
        <v>#N/A</v>
      </c>
      <c r="P690" s="9" t="str">
        <f>+VLOOKUP(A690,Hoja2!$A$2:$X$2596,23,FALSE)</f>
        <v>#N/A</v>
      </c>
      <c r="Q690" s="9" t="str">
        <f>+VLOOKUP(A690,Hoja2!$A$2:$X$2596,24,FALSE)</f>
        <v>#N/A</v>
      </c>
    </row>
    <row r="691" ht="15.75" hidden="1" customHeight="1">
      <c r="A691" s="8">
        <v>2607720.0</v>
      </c>
      <c r="B691" s="8">
        <v>2607720.0</v>
      </c>
      <c r="C691" s="9" t="s">
        <v>25</v>
      </c>
      <c r="D691" s="8">
        <v>0.0</v>
      </c>
      <c r="E691" s="8">
        <v>0.0</v>
      </c>
      <c r="F691" s="8">
        <v>0.0</v>
      </c>
      <c r="G691" s="9" t="s">
        <v>26</v>
      </c>
      <c r="H691" s="10">
        <v>45530.649216122685</v>
      </c>
      <c r="I691" s="10">
        <v>45530.649216122685</v>
      </c>
      <c r="J691" s="8">
        <v>0.0</v>
      </c>
      <c r="K691" s="11">
        <v>5115157.54</v>
      </c>
      <c r="L691" s="8" t="str">
        <f>+VLOOKUP(A691,Hoja2!$A$2:$X$2596,19,FALSE)</f>
        <v>#N/A</v>
      </c>
      <c r="M691" s="9" t="str">
        <f>+VLOOKUP(A691,Hoja2!$A$2:$X$2596,15,FALSE)</f>
        <v>#N/A</v>
      </c>
      <c r="N691" s="9" t="str">
        <f>+VLOOKUP(A691,Hoja2!$A$2:$X$2596,17,FALSE)</f>
        <v>#N/A</v>
      </c>
      <c r="O691" s="9" t="str">
        <f>+VLOOKUP(A691,Hoja2!$A$2:$X$2596,22,FALSE)</f>
        <v>#N/A</v>
      </c>
      <c r="P691" s="9" t="str">
        <f>+VLOOKUP(A691,Hoja2!$A$2:$X$2596,23,FALSE)</f>
        <v>#N/A</v>
      </c>
      <c r="Q691" s="9" t="str">
        <f>+VLOOKUP(A691,Hoja2!$A$2:$X$2596,24,FALSE)</f>
        <v>#N/A</v>
      </c>
    </row>
    <row r="692" ht="15.75" hidden="1" customHeight="1">
      <c r="A692" s="8">
        <v>2607912.0</v>
      </c>
      <c r="B692" s="8">
        <v>2607912.0</v>
      </c>
      <c r="C692" s="9" t="s">
        <v>17</v>
      </c>
      <c r="D692" s="8">
        <v>2.0</v>
      </c>
      <c r="E692" s="8">
        <v>0.0</v>
      </c>
      <c r="F692" s="8">
        <v>0.0</v>
      </c>
      <c r="G692" s="9" t="s">
        <v>21</v>
      </c>
      <c r="H692" s="10">
        <v>45252.84819892361</v>
      </c>
      <c r="I692" s="10">
        <v>45258.6306303588</v>
      </c>
      <c r="J692" s="8">
        <v>6.0</v>
      </c>
      <c r="K692" s="11">
        <v>1.480765772E7</v>
      </c>
      <c r="L692" s="8" t="str">
        <f>+VLOOKUP(A692,Hoja2!$A$2:$X$2596,19,FALSE)</f>
        <v>#N/A</v>
      </c>
      <c r="M692" s="9" t="str">
        <f>+VLOOKUP(A692,Hoja2!$A$2:$X$2596,15,FALSE)</f>
        <v>#N/A</v>
      </c>
      <c r="N692" s="9" t="str">
        <f>+VLOOKUP(A692,Hoja2!$A$2:$X$2596,17,FALSE)</f>
        <v>#N/A</v>
      </c>
      <c r="O692" s="9" t="str">
        <f>+VLOOKUP(A692,Hoja2!$A$2:$X$2596,22,FALSE)</f>
        <v>#N/A</v>
      </c>
      <c r="P692" s="9" t="str">
        <f>+VLOOKUP(A692,Hoja2!$A$2:$X$2596,23,FALSE)</f>
        <v>#N/A</v>
      </c>
      <c r="Q692" s="9" t="str">
        <f>+VLOOKUP(A692,Hoja2!$A$2:$X$2596,24,FALSE)</f>
        <v>#N/A</v>
      </c>
    </row>
    <row r="693" ht="15.75" hidden="1" customHeight="1">
      <c r="A693" s="8">
        <v>2607912.0</v>
      </c>
      <c r="B693" s="8">
        <v>2607912.0</v>
      </c>
      <c r="C693" s="9" t="s">
        <v>19</v>
      </c>
      <c r="D693" s="8">
        <v>5.0</v>
      </c>
      <c r="E693" s="8">
        <v>1.0</v>
      </c>
      <c r="F693" s="8">
        <v>0.0</v>
      </c>
      <c r="G693" s="9" t="s">
        <v>18</v>
      </c>
      <c r="H693" s="10">
        <v>45391.39263275463</v>
      </c>
      <c r="I693" s="10">
        <v>45433.44598657407</v>
      </c>
      <c r="J693" s="8">
        <v>42.0</v>
      </c>
      <c r="K693" s="11">
        <v>1.480765772E7</v>
      </c>
      <c r="L693" s="8" t="str">
        <f>+VLOOKUP(A693,Hoja2!$A$2:$X$2596,19,FALSE)</f>
        <v>#N/A</v>
      </c>
      <c r="M693" s="9" t="str">
        <f>+VLOOKUP(A693,Hoja2!$A$2:$X$2596,15,FALSE)</f>
        <v>#N/A</v>
      </c>
      <c r="N693" s="9" t="str">
        <f>+VLOOKUP(A693,Hoja2!$A$2:$X$2596,17,FALSE)</f>
        <v>#N/A</v>
      </c>
      <c r="O693" s="9" t="str">
        <f>+VLOOKUP(A693,Hoja2!$A$2:$X$2596,22,FALSE)</f>
        <v>#N/A</v>
      </c>
      <c r="P693" s="9" t="str">
        <f>+VLOOKUP(A693,Hoja2!$A$2:$X$2596,23,FALSE)</f>
        <v>#N/A</v>
      </c>
      <c r="Q693" s="9" t="str">
        <f>+VLOOKUP(A693,Hoja2!$A$2:$X$2596,24,FALSE)</f>
        <v>#N/A</v>
      </c>
    </row>
    <row r="694" ht="15.75" hidden="1" customHeight="1">
      <c r="A694" s="8">
        <v>2608776.0</v>
      </c>
      <c r="B694" s="8">
        <v>2608776.0</v>
      </c>
      <c r="C694" s="9" t="s">
        <v>17</v>
      </c>
      <c r="D694" s="8">
        <v>4.0</v>
      </c>
      <c r="E694" s="8">
        <v>0.0</v>
      </c>
      <c r="F694" s="8">
        <v>0.0</v>
      </c>
      <c r="G694" s="9" t="s">
        <v>21</v>
      </c>
      <c r="H694" s="10">
        <v>45232.35385008102</v>
      </c>
      <c r="I694" s="10">
        <v>45282.38500844908</v>
      </c>
      <c r="J694" s="8">
        <v>50.0</v>
      </c>
      <c r="K694" s="11">
        <v>4521274.51</v>
      </c>
      <c r="L694" s="8" t="str">
        <f>+VLOOKUP(A694,Hoja2!$A$2:$X$2596,19,FALSE)</f>
        <v>#N/A</v>
      </c>
      <c r="M694" s="9" t="str">
        <f>+VLOOKUP(A694,Hoja2!$A$2:$X$2596,15,FALSE)</f>
        <v>#N/A</v>
      </c>
      <c r="N694" s="9" t="str">
        <f>+VLOOKUP(A694,Hoja2!$A$2:$X$2596,17,FALSE)</f>
        <v>#N/A</v>
      </c>
      <c r="O694" s="9" t="str">
        <f>+VLOOKUP(A694,Hoja2!$A$2:$X$2596,22,FALSE)</f>
        <v>#N/A</v>
      </c>
      <c r="P694" s="9" t="str">
        <f>+VLOOKUP(A694,Hoja2!$A$2:$X$2596,23,FALSE)</f>
        <v>#N/A</v>
      </c>
      <c r="Q694" s="9" t="str">
        <f>+VLOOKUP(A694,Hoja2!$A$2:$X$2596,24,FALSE)</f>
        <v>#N/A</v>
      </c>
    </row>
    <row r="695" ht="15.75" hidden="1" customHeight="1">
      <c r="A695" s="8">
        <v>2608776.0</v>
      </c>
      <c r="B695" s="8">
        <v>2608776.0</v>
      </c>
      <c r="C695" s="9" t="s">
        <v>17</v>
      </c>
      <c r="D695" s="8">
        <v>2.0</v>
      </c>
      <c r="E695" s="8">
        <v>0.0</v>
      </c>
      <c r="F695" s="8">
        <v>0.0</v>
      </c>
      <c r="G695" s="9" t="s">
        <v>21</v>
      </c>
      <c r="H695" s="10">
        <v>45373.43512905093</v>
      </c>
      <c r="I695" s="10">
        <v>45377.51291084491</v>
      </c>
      <c r="J695" s="8">
        <v>4.0</v>
      </c>
      <c r="K695" s="11">
        <v>4521274.51</v>
      </c>
      <c r="L695" s="8" t="str">
        <f>+VLOOKUP(A695,Hoja2!$A$2:$X$2596,19,FALSE)</f>
        <v>#N/A</v>
      </c>
      <c r="M695" s="9" t="str">
        <f>+VLOOKUP(A695,Hoja2!$A$2:$X$2596,15,FALSE)</f>
        <v>#N/A</v>
      </c>
      <c r="N695" s="9" t="str">
        <f>+VLOOKUP(A695,Hoja2!$A$2:$X$2596,17,FALSE)</f>
        <v>#N/A</v>
      </c>
      <c r="O695" s="9" t="str">
        <f>+VLOOKUP(A695,Hoja2!$A$2:$X$2596,22,FALSE)</f>
        <v>#N/A</v>
      </c>
      <c r="P695" s="9" t="str">
        <f>+VLOOKUP(A695,Hoja2!$A$2:$X$2596,23,FALSE)</f>
        <v>#N/A</v>
      </c>
      <c r="Q695" s="9" t="str">
        <f>+VLOOKUP(A695,Hoja2!$A$2:$X$2596,24,FALSE)</f>
        <v>#N/A</v>
      </c>
    </row>
    <row r="696" ht="15.75" customHeight="1">
      <c r="A696" s="8">
        <v>2609132.0</v>
      </c>
      <c r="B696" s="8">
        <v>2609132.0</v>
      </c>
      <c r="C696" s="9" t="s">
        <v>20</v>
      </c>
      <c r="D696" s="8">
        <v>3.0</v>
      </c>
      <c r="E696" s="8">
        <v>6.0</v>
      </c>
      <c r="F696" s="8">
        <v>0.0</v>
      </c>
      <c r="G696" s="9" t="s">
        <v>18</v>
      </c>
      <c r="H696" s="10">
        <v>45313.523472106484</v>
      </c>
      <c r="I696" s="10">
        <v>45390.69035211806</v>
      </c>
      <c r="J696" s="8">
        <v>77.0</v>
      </c>
      <c r="K696" s="11">
        <v>4122189.89</v>
      </c>
      <c r="L696" s="8" t="str">
        <f>+VLOOKUP(A696,Hoja2!$A$2:$X$2596,19,FALSE)</f>
        <v>Concluido</v>
      </c>
      <c r="M696" s="9">
        <f>+VLOOKUP(A696,Hoja2!$A$2:$X$2596,15,FALSE)</f>
        <v>3823838.27</v>
      </c>
      <c r="N696" s="9">
        <f>+VLOOKUP(A696,Hoja2!$A$2:$X$2596,17,FALSE)</f>
        <v>167493.51</v>
      </c>
      <c r="O696" s="9" t="str">
        <f>+VLOOKUP(A696,Hoja2!$A$2:$X$2596,22,FALSE)</f>
        <v/>
      </c>
      <c r="P696" s="9" t="str">
        <f>+VLOOKUP(A696,Hoja2!$A$2:$X$2596,23,FALSE)</f>
        <v/>
      </c>
      <c r="Q696" s="9" t="str">
        <f>+VLOOKUP(A696,Hoja2!$A$2:$X$2596,24,FALSE)</f>
        <v/>
      </c>
    </row>
    <row r="697" ht="15.75" hidden="1" customHeight="1">
      <c r="A697" s="8">
        <v>2610262.0</v>
      </c>
      <c r="B697" s="8">
        <v>2610262.0</v>
      </c>
      <c r="C697" s="9" t="s">
        <v>19</v>
      </c>
      <c r="D697" s="8">
        <v>2.0</v>
      </c>
      <c r="E697" s="8">
        <v>4.0</v>
      </c>
      <c r="F697" s="8">
        <v>0.0</v>
      </c>
      <c r="G697" s="9" t="s">
        <v>18</v>
      </c>
      <c r="H697" s="10">
        <v>45198.59840633102</v>
      </c>
      <c r="I697" s="10">
        <v>45488.67945269676</v>
      </c>
      <c r="J697" s="8">
        <v>290.0</v>
      </c>
      <c r="K697" s="11">
        <v>3.51412075E7</v>
      </c>
      <c r="L697" s="8" t="str">
        <f>+VLOOKUP(A697,Hoja2!$A$2:$X$2596,19,FALSE)</f>
        <v>#N/A</v>
      </c>
      <c r="M697" s="9" t="str">
        <f>+VLOOKUP(A697,Hoja2!$A$2:$X$2596,15,FALSE)</f>
        <v>#N/A</v>
      </c>
      <c r="N697" s="9" t="str">
        <f>+VLOOKUP(A697,Hoja2!$A$2:$X$2596,17,FALSE)</f>
        <v>#N/A</v>
      </c>
      <c r="O697" s="9" t="str">
        <f>+VLOOKUP(A697,Hoja2!$A$2:$X$2596,22,FALSE)</f>
        <v>#N/A</v>
      </c>
      <c r="P697" s="9" t="str">
        <f>+VLOOKUP(A697,Hoja2!$A$2:$X$2596,23,FALSE)</f>
        <v>#N/A</v>
      </c>
      <c r="Q697" s="9" t="str">
        <f>+VLOOKUP(A697,Hoja2!$A$2:$X$2596,24,FALSE)</f>
        <v>#N/A</v>
      </c>
    </row>
    <row r="698" ht="15.75" customHeight="1">
      <c r="A698" s="8">
        <v>2610262.0</v>
      </c>
      <c r="B698" s="8">
        <v>2610262.0</v>
      </c>
      <c r="C698" s="9" t="s">
        <v>20</v>
      </c>
      <c r="D698" s="8">
        <v>1.0</v>
      </c>
      <c r="E698" s="8">
        <v>6.0</v>
      </c>
      <c r="F698" s="8">
        <v>0.0</v>
      </c>
      <c r="G698" s="9" t="s">
        <v>18</v>
      </c>
      <c r="H698" s="10">
        <v>45491.02745524306</v>
      </c>
      <c r="I698" s="10">
        <v>45695.92845818287</v>
      </c>
      <c r="J698" s="8">
        <v>204.0</v>
      </c>
      <c r="K698" s="11">
        <v>3.51412075E7</v>
      </c>
      <c r="L698" s="8" t="str">
        <f>+VLOOKUP(A698,Hoja2!$A$2:$X$2596,19,FALSE)</f>
        <v>#N/A</v>
      </c>
      <c r="M698" s="9" t="str">
        <f>+VLOOKUP(A698,Hoja2!$A$2:$X$2596,15,FALSE)</f>
        <v>#N/A</v>
      </c>
      <c r="N698" s="9" t="str">
        <f>+VLOOKUP(A698,Hoja2!$A$2:$X$2596,17,FALSE)</f>
        <v>#N/A</v>
      </c>
      <c r="O698" s="9" t="str">
        <f>+VLOOKUP(A698,Hoja2!$A$2:$X$2596,22,FALSE)</f>
        <v>#N/A</v>
      </c>
      <c r="P698" s="9" t="str">
        <f>+VLOOKUP(A698,Hoja2!$A$2:$X$2596,23,FALSE)</f>
        <v>#N/A</v>
      </c>
      <c r="Q698" s="9" t="str">
        <f>+VLOOKUP(A698,Hoja2!$A$2:$X$2596,24,FALSE)</f>
        <v>#N/A</v>
      </c>
    </row>
    <row r="699" ht="15.75" hidden="1" customHeight="1">
      <c r="A699" s="8">
        <v>2610449.0</v>
      </c>
      <c r="B699" s="8">
        <v>2610449.0</v>
      </c>
      <c r="C699" s="9" t="s">
        <v>17</v>
      </c>
      <c r="D699" s="8">
        <v>2.0</v>
      </c>
      <c r="E699" s="8">
        <v>0.0</v>
      </c>
      <c r="F699" s="8">
        <v>0.0</v>
      </c>
      <c r="G699" s="9" t="s">
        <v>21</v>
      </c>
      <c r="H699" s="10">
        <v>45253.95879467593</v>
      </c>
      <c r="I699" s="10">
        <v>45274.64582534722</v>
      </c>
      <c r="J699" s="8">
        <v>21.0</v>
      </c>
      <c r="K699" s="11">
        <v>7492359.71</v>
      </c>
      <c r="L699" s="8" t="str">
        <f>+VLOOKUP(A699,Hoja2!$A$2:$X$2596,19,FALSE)</f>
        <v>#N/A</v>
      </c>
      <c r="M699" s="9" t="str">
        <f>+VLOOKUP(A699,Hoja2!$A$2:$X$2596,15,FALSE)</f>
        <v>#N/A</v>
      </c>
      <c r="N699" s="9" t="str">
        <f>+VLOOKUP(A699,Hoja2!$A$2:$X$2596,17,FALSE)</f>
        <v>#N/A</v>
      </c>
      <c r="O699" s="9" t="str">
        <f>+VLOOKUP(A699,Hoja2!$A$2:$X$2596,22,FALSE)</f>
        <v>#N/A</v>
      </c>
      <c r="P699" s="9" t="str">
        <f>+VLOOKUP(A699,Hoja2!$A$2:$X$2596,23,FALSE)</f>
        <v>#N/A</v>
      </c>
      <c r="Q699" s="9" t="str">
        <f>+VLOOKUP(A699,Hoja2!$A$2:$X$2596,24,FALSE)</f>
        <v>#N/A</v>
      </c>
    </row>
    <row r="700" ht="15.75" hidden="1" customHeight="1">
      <c r="A700" s="8">
        <v>2610449.0</v>
      </c>
      <c r="B700" s="8">
        <v>2610449.0</v>
      </c>
      <c r="C700" s="9" t="s">
        <v>17</v>
      </c>
      <c r="D700" s="8">
        <v>2.0</v>
      </c>
      <c r="E700" s="8">
        <v>0.0</v>
      </c>
      <c r="F700" s="8">
        <v>0.0</v>
      </c>
      <c r="G700" s="9" t="s">
        <v>21</v>
      </c>
      <c r="H700" s="10">
        <v>45335.74838927083</v>
      </c>
      <c r="I700" s="10">
        <v>45338.73285324074</v>
      </c>
      <c r="J700" s="8">
        <v>3.0</v>
      </c>
      <c r="K700" s="11">
        <v>7492359.71</v>
      </c>
      <c r="L700" s="8" t="str">
        <f>+VLOOKUP(A700,Hoja2!$A$2:$X$2596,19,FALSE)</f>
        <v>#N/A</v>
      </c>
      <c r="M700" s="9" t="str">
        <f>+VLOOKUP(A700,Hoja2!$A$2:$X$2596,15,FALSE)</f>
        <v>#N/A</v>
      </c>
      <c r="N700" s="9" t="str">
        <f>+VLOOKUP(A700,Hoja2!$A$2:$X$2596,17,FALSE)</f>
        <v>#N/A</v>
      </c>
      <c r="O700" s="9" t="str">
        <f>+VLOOKUP(A700,Hoja2!$A$2:$X$2596,22,FALSE)</f>
        <v>#N/A</v>
      </c>
      <c r="P700" s="9" t="str">
        <f>+VLOOKUP(A700,Hoja2!$A$2:$X$2596,23,FALSE)</f>
        <v>#N/A</v>
      </c>
      <c r="Q700" s="9" t="str">
        <f>+VLOOKUP(A700,Hoja2!$A$2:$X$2596,24,FALSE)</f>
        <v>#N/A</v>
      </c>
    </row>
    <row r="701" ht="15.75" hidden="1" customHeight="1">
      <c r="A701" s="8">
        <v>2611648.0</v>
      </c>
      <c r="B701" s="8">
        <v>2611648.0</v>
      </c>
      <c r="C701" s="9" t="s">
        <v>25</v>
      </c>
      <c r="D701" s="8">
        <v>0.0</v>
      </c>
      <c r="E701" s="8">
        <v>0.0</v>
      </c>
      <c r="F701" s="8">
        <v>0.0</v>
      </c>
      <c r="G701" s="9" t="s">
        <v>26</v>
      </c>
      <c r="H701" s="10">
        <v>45530.65809765046</v>
      </c>
      <c r="I701" s="10">
        <v>45530.65809765046</v>
      </c>
      <c r="J701" s="8">
        <v>0.0</v>
      </c>
      <c r="K701" s="11">
        <v>1.668707681E7</v>
      </c>
      <c r="L701" s="8" t="str">
        <f>+VLOOKUP(A701,Hoja2!$A$2:$X$2596,19,FALSE)</f>
        <v>#N/A</v>
      </c>
      <c r="M701" s="9" t="str">
        <f>+VLOOKUP(A701,Hoja2!$A$2:$X$2596,15,FALSE)</f>
        <v>#N/A</v>
      </c>
      <c r="N701" s="9" t="str">
        <f>+VLOOKUP(A701,Hoja2!$A$2:$X$2596,17,FALSE)</f>
        <v>#N/A</v>
      </c>
      <c r="O701" s="9" t="str">
        <f>+VLOOKUP(A701,Hoja2!$A$2:$X$2596,22,FALSE)</f>
        <v>#N/A</v>
      </c>
      <c r="P701" s="9" t="str">
        <f>+VLOOKUP(A701,Hoja2!$A$2:$X$2596,23,FALSE)</f>
        <v>#N/A</v>
      </c>
      <c r="Q701" s="9" t="str">
        <f>+VLOOKUP(A701,Hoja2!$A$2:$X$2596,24,FALSE)</f>
        <v>#N/A</v>
      </c>
    </row>
    <row r="702" ht="15.75" hidden="1" customHeight="1">
      <c r="A702" s="8">
        <v>2611648.0</v>
      </c>
      <c r="B702" s="8">
        <v>2611648.0</v>
      </c>
      <c r="C702" s="9" t="s">
        <v>25</v>
      </c>
      <c r="D702" s="8">
        <v>0.0</v>
      </c>
      <c r="E702" s="8">
        <v>0.0</v>
      </c>
      <c r="F702" s="8">
        <v>0.0</v>
      </c>
      <c r="G702" s="9" t="s">
        <v>26</v>
      </c>
      <c r="H702" s="10">
        <v>45693.666278703706</v>
      </c>
      <c r="I702" s="10">
        <v>45693.666278703706</v>
      </c>
      <c r="J702" s="8">
        <v>0.0</v>
      </c>
      <c r="K702" s="11">
        <v>1.668707681E7</v>
      </c>
      <c r="L702" s="8" t="str">
        <f>+VLOOKUP(A702,Hoja2!$A$2:$X$2596,19,FALSE)</f>
        <v>#N/A</v>
      </c>
      <c r="M702" s="9" t="str">
        <f>+VLOOKUP(A702,Hoja2!$A$2:$X$2596,15,FALSE)</f>
        <v>#N/A</v>
      </c>
      <c r="N702" s="9" t="str">
        <f>+VLOOKUP(A702,Hoja2!$A$2:$X$2596,17,FALSE)</f>
        <v>#N/A</v>
      </c>
      <c r="O702" s="9" t="str">
        <f>+VLOOKUP(A702,Hoja2!$A$2:$X$2596,22,FALSE)</f>
        <v>#N/A</v>
      </c>
      <c r="P702" s="9" t="str">
        <f>+VLOOKUP(A702,Hoja2!$A$2:$X$2596,23,FALSE)</f>
        <v>#N/A</v>
      </c>
      <c r="Q702" s="9" t="str">
        <f>+VLOOKUP(A702,Hoja2!$A$2:$X$2596,24,FALSE)</f>
        <v>#N/A</v>
      </c>
    </row>
    <row r="703" ht="15.75" hidden="1" customHeight="1">
      <c r="A703" s="8">
        <v>2611648.0</v>
      </c>
      <c r="B703" s="8">
        <v>2611648.0</v>
      </c>
      <c r="C703" s="9" t="s">
        <v>19</v>
      </c>
      <c r="D703" s="8">
        <v>2.0</v>
      </c>
      <c r="E703" s="8">
        <v>0.0</v>
      </c>
      <c r="F703" s="8">
        <v>0.0</v>
      </c>
      <c r="G703" s="9" t="s">
        <v>21</v>
      </c>
      <c r="H703" s="10">
        <v>45730.525333020836</v>
      </c>
      <c r="I703" s="10">
        <v>45740.729533136575</v>
      </c>
      <c r="J703" s="8">
        <v>10.0</v>
      </c>
      <c r="K703" s="11">
        <v>1.668707681E7</v>
      </c>
      <c r="L703" s="8" t="str">
        <f>+VLOOKUP(A703,Hoja2!$A$2:$X$2596,19,FALSE)</f>
        <v>#N/A</v>
      </c>
      <c r="M703" s="9" t="str">
        <f>+VLOOKUP(A703,Hoja2!$A$2:$X$2596,15,FALSE)</f>
        <v>#N/A</v>
      </c>
      <c r="N703" s="9" t="str">
        <f>+VLOOKUP(A703,Hoja2!$A$2:$X$2596,17,FALSE)</f>
        <v>#N/A</v>
      </c>
      <c r="O703" s="9" t="str">
        <f>+VLOOKUP(A703,Hoja2!$A$2:$X$2596,22,FALSE)</f>
        <v>#N/A</v>
      </c>
      <c r="P703" s="9" t="str">
        <f>+VLOOKUP(A703,Hoja2!$A$2:$X$2596,23,FALSE)</f>
        <v>#N/A</v>
      </c>
      <c r="Q703" s="9" t="str">
        <f>+VLOOKUP(A703,Hoja2!$A$2:$X$2596,24,FALSE)</f>
        <v>#N/A</v>
      </c>
    </row>
    <row r="704" ht="15.75" hidden="1" customHeight="1">
      <c r="A704" s="8">
        <v>2611838.0</v>
      </c>
      <c r="B704" s="8">
        <v>2611838.0</v>
      </c>
      <c r="C704" s="9" t="s">
        <v>19</v>
      </c>
      <c r="D704" s="8">
        <v>3.0</v>
      </c>
      <c r="E704" s="8">
        <v>3.0</v>
      </c>
      <c r="F704" s="8">
        <v>0.0</v>
      </c>
      <c r="G704" s="9" t="s">
        <v>18</v>
      </c>
      <c r="H704" s="10">
        <v>45541.35809644676</v>
      </c>
      <c r="I704" s="10">
        <v>45693.70990300926</v>
      </c>
      <c r="J704" s="8">
        <v>152.0</v>
      </c>
      <c r="K704" s="11">
        <v>1.657084541E7</v>
      </c>
      <c r="L704" s="8" t="str">
        <f>+VLOOKUP(A704,Hoja2!$A$2:$X$2596,19,FALSE)</f>
        <v>#N/A</v>
      </c>
      <c r="M704" s="9" t="str">
        <f>+VLOOKUP(A704,Hoja2!$A$2:$X$2596,15,FALSE)</f>
        <v>#N/A</v>
      </c>
      <c r="N704" s="9" t="str">
        <f>+VLOOKUP(A704,Hoja2!$A$2:$X$2596,17,FALSE)</f>
        <v>#N/A</v>
      </c>
      <c r="O704" s="9" t="str">
        <f>+VLOOKUP(A704,Hoja2!$A$2:$X$2596,22,FALSE)</f>
        <v>#N/A</v>
      </c>
      <c r="P704" s="9" t="str">
        <f>+VLOOKUP(A704,Hoja2!$A$2:$X$2596,23,FALSE)</f>
        <v>#N/A</v>
      </c>
      <c r="Q704" s="9" t="str">
        <f>+VLOOKUP(A704,Hoja2!$A$2:$X$2596,24,FALSE)</f>
        <v>#N/A</v>
      </c>
    </row>
    <row r="705" ht="15.75" hidden="1" customHeight="1">
      <c r="A705" s="8">
        <v>2611838.0</v>
      </c>
      <c r="B705" s="8">
        <v>2611838.0</v>
      </c>
      <c r="C705" s="9" t="s">
        <v>25</v>
      </c>
      <c r="D705" s="8">
        <v>0.0</v>
      </c>
      <c r="E705" s="8">
        <v>0.0</v>
      </c>
      <c r="F705" s="8">
        <v>0.0</v>
      </c>
      <c r="G705" s="9" t="s">
        <v>26</v>
      </c>
      <c r="H705" s="10">
        <v>45730.67501315972</v>
      </c>
      <c r="I705" s="10">
        <v>45730.67501315972</v>
      </c>
      <c r="J705" s="8">
        <v>0.0</v>
      </c>
      <c r="K705" s="11">
        <v>1.657084541E7</v>
      </c>
      <c r="L705" s="8" t="str">
        <f>+VLOOKUP(A705,Hoja2!$A$2:$X$2596,19,FALSE)</f>
        <v>#N/A</v>
      </c>
      <c r="M705" s="9" t="str">
        <f>+VLOOKUP(A705,Hoja2!$A$2:$X$2596,15,FALSE)</f>
        <v>#N/A</v>
      </c>
      <c r="N705" s="9" t="str">
        <f>+VLOOKUP(A705,Hoja2!$A$2:$X$2596,17,FALSE)</f>
        <v>#N/A</v>
      </c>
      <c r="O705" s="9" t="str">
        <f>+VLOOKUP(A705,Hoja2!$A$2:$X$2596,22,FALSE)</f>
        <v>#N/A</v>
      </c>
      <c r="P705" s="9" t="str">
        <f>+VLOOKUP(A705,Hoja2!$A$2:$X$2596,23,FALSE)</f>
        <v>#N/A</v>
      </c>
      <c r="Q705" s="9" t="str">
        <f>+VLOOKUP(A705,Hoja2!$A$2:$X$2596,24,FALSE)</f>
        <v>#N/A</v>
      </c>
    </row>
    <row r="706" ht="15.75" hidden="1" customHeight="1">
      <c r="A706" s="8">
        <v>2611838.0</v>
      </c>
      <c r="B706" s="8">
        <v>2611838.0</v>
      </c>
      <c r="C706" s="9" t="s">
        <v>25</v>
      </c>
      <c r="D706" s="8">
        <v>0.0</v>
      </c>
      <c r="E706" s="8">
        <v>0.0</v>
      </c>
      <c r="F706" s="8">
        <v>0.0</v>
      </c>
      <c r="G706" s="9" t="s">
        <v>26</v>
      </c>
      <c r="H706" s="10">
        <v>45744.66468321759</v>
      </c>
      <c r="I706" s="10">
        <v>45744.66468321759</v>
      </c>
      <c r="J706" s="8">
        <v>0.0</v>
      </c>
      <c r="K706" s="11">
        <v>1.657084541E7</v>
      </c>
      <c r="L706" s="8" t="str">
        <f>+VLOOKUP(A706,Hoja2!$A$2:$X$2596,19,FALSE)</f>
        <v>#N/A</v>
      </c>
      <c r="M706" s="9" t="str">
        <f>+VLOOKUP(A706,Hoja2!$A$2:$X$2596,15,FALSE)</f>
        <v>#N/A</v>
      </c>
      <c r="N706" s="9" t="str">
        <f>+VLOOKUP(A706,Hoja2!$A$2:$X$2596,17,FALSE)</f>
        <v>#N/A</v>
      </c>
      <c r="O706" s="9" t="str">
        <f>+VLOOKUP(A706,Hoja2!$A$2:$X$2596,22,FALSE)</f>
        <v>#N/A</v>
      </c>
      <c r="P706" s="9" t="str">
        <f>+VLOOKUP(A706,Hoja2!$A$2:$X$2596,23,FALSE)</f>
        <v>#N/A</v>
      </c>
      <c r="Q706" s="9" t="str">
        <f>+VLOOKUP(A706,Hoja2!$A$2:$X$2596,24,FALSE)</f>
        <v>#N/A</v>
      </c>
    </row>
    <row r="707" ht="15.75" hidden="1" customHeight="1">
      <c r="A707" s="8">
        <v>2611838.0</v>
      </c>
      <c r="B707" s="8">
        <v>2611838.0</v>
      </c>
      <c r="C707" s="9" t="s">
        <v>25</v>
      </c>
      <c r="D707" s="8">
        <v>0.0</v>
      </c>
      <c r="E707" s="8">
        <v>0.0</v>
      </c>
      <c r="F707" s="8">
        <v>0.0</v>
      </c>
      <c r="G707" s="9" t="s">
        <v>26</v>
      </c>
      <c r="H707" s="10">
        <v>45750.70622353009</v>
      </c>
      <c r="I707" s="10">
        <v>45750.70622353009</v>
      </c>
      <c r="J707" s="8">
        <v>0.0</v>
      </c>
      <c r="K707" s="11">
        <v>1.657084541E7</v>
      </c>
      <c r="L707" s="8" t="str">
        <f>+VLOOKUP(A707,Hoja2!$A$2:$X$2596,19,FALSE)</f>
        <v>#N/A</v>
      </c>
      <c r="M707" s="9" t="str">
        <f>+VLOOKUP(A707,Hoja2!$A$2:$X$2596,15,FALSE)</f>
        <v>#N/A</v>
      </c>
      <c r="N707" s="9" t="str">
        <f>+VLOOKUP(A707,Hoja2!$A$2:$X$2596,17,FALSE)</f>
        <v>#N/A</v>
      </c>
      <c r="O707" s="9" t="str">
        <f>+VLOOKUP(A707,Hoja2!$A$2:$X$2596,22,FALSE)</f>
        <v>#N/A</v>
      </c>
      <c r="P707" s="9" t="str">
        <f>+VLOOKUP(A707,Hoja2!$A$2:$X$2596,23,FALSE)</f>
        <v>#N/A</v>
      </c>
      <c r="Q707" s="9" t="str">
        <f>+VLOOKUP(A707,Hoja2!$A$2:$X$2596,24,FALSE)</f>
        <v>#N/A</v>
      </c>
    </row>
    <row r="708" ht="15.75" hidden="1" customHeight="1">
      <c r="A708" s="8">
        <v>2611838.0</v>
      </c>
      <c r="B708" s="8">
        <v>2611838.0</v>
      </c>
      <c r="C708" s="9" t="s">
        <v>25</v>
      </c>
      <c r="D708" s="8">
        <v>0.0</v>
      </c>
      <c r="E708" s="8">
        <v>0.0</v>
      </c>
      <c r="F708" s="8">
        <v>0.0</v>
      </c>
      <c r="G708" s="9" t="s">
        <v>26</v>
      </c>
      <c r="H708" s="10">
        <v>45763.412926770834</v>
      </c>
      <c r="I708" s="10">
        <v>45763.412926770834</v>
      </c>
      <c r="J708" s="8">
        <v>0.0</v>
      </c>
      <c r="K708" s="11">
        <v>1.657084541E7</v>
      </c>
      <c r="L708" s="8" t="str">
        <f>+VLOOKUP(A708,Hoja2!$A$2:$X$2596,19,FALSE)</f>
        <v>#N/A</v>
      </c>
      <c r="M708" s="9" t="str">
        <f>+VLOOKUP(A708,Hoja2!$A$2:$X$2596,15,FALSE)</f>
        <v>#N/A</v>
      </c>
      <c r="N708" s="9" t="str">
        <f>+VLOOKUP(A708,Hoja2!$A$2:$X$2596,17,FALSE)</f>
        <v>#N/A</v>
      </c>
      <c r="O708" s="9" t="str">
        <f>+VLOOKUP(A708,Hoja2!$A$2:$X$2596,22,FALSE)</f>
        <v>#N/A</v>
      </c>
      <c r="P708" s="9" t="str">
        <f>+VLOOKUP(A708,Hoja2!$A$2:$X$2596,23,FALSE)</f>
        <v>#N/A</v>
      </c>
      <c r="Q708" s="9" t="str">
        <f>+VLOOKUP(A708,Hoja2!$A$2:$X$2596,24,FALSE)</f>
        <v>#N/A</v>
      </c>
    </row>
    <row r="709" ht="15.75" customHeight="1">
      <c r="A709" s="8">
        <v>2611838.0</v>
      </c>
      <c r="B709" s="8">
        <v>2611838.0</v>
      </c>
      <c r="C709" s="9" t="s">
        <v>20</v>
      </c>
      <c r="D709" s="8">
        <v>1.0</v>
      </c>
      <c r="E709" s="8">
        <v>2.0</v>
      </c>
      <c r="F709" s="8">
        <v>1.0</v>
      </c>
      <c r="G709" s="9" t="s">
        <v>23</v>
      </c>
      <c r="H709" s="10">
        <v>45764.63021015046</v>
      </c>
      <c r="I709" s="10">
        <v>45840.68260162037</v>
      </c>
      <c r="J709" s="8">
        <v>76.0</v>
      </c>
      <c r="K709" s="11">
        <v>1.657084541E7</v>
      </c>
      <c r="L709" s="8" t="str">
        <f>+VLOOKUP(A709,Hoja2!$A$2:$X$2596,19,FALSE)</f>
        <v>#N/A</v>
      </c>
      <c r="M709" s="9" t="str">
        <f>+VLOOKUP(A709,Hoja2!$A$2:$X$2596,15,FALSE)</f>
        <v>#N/A</v>
      </c>
      <c r="N709" s="9" t="str">
        <f>+VLOOKUP(A709,Hoja2!$A$2:$X$2596,17,FALSE)</f>
        <v>#N/A</v>
      </c>
      <c r="O709" s="9" t="str">
        <f>+VLOOKUP(A709,Hoja2!$A$2:$X$2596,22,FALSE)</f>
        <v>#N/A</v>
      </c>
      <c r="P709" s="9" t="str">
        <f>+VLOOKUP(A709,Hoja2!$A$2:$X$2596,23,FALSE)</f>
        <v>#N/A</v>
      </c>
      <c r="Q709" s="9" t="str">
        <f>+VLOOKUP(A709,Hoja2!$A$2:$X$2596,24,FALSE)</f>
        <v>#N/A</v>
      </c>
    </row>
    <row r="710" ht="15.75" hidden="1" customHeight="1">
      <c r="A710" s="8">
        <v>2612209.0</v>
      </c>
      <c r="B710" s="8">
        <v>2612209.0</v>
      </c>
      <c r="C710" s="9" t="s">
        <v>19</v>
      </c>
      <c r="D710" s="8">
        <v>2.0</v>
      </c>
      <c r="E710" s="8">
        <v>0.0</v>
      </c>
      <c r="F710" s="8">
        <v>0.0</v>
      </c>
      <c r="G710" s="9" t="s">
        <v>21</v>
      </c>
      <c r="H710" s="10">
        <v>45757.92578637732</v>
      </c>
      <c r="I710" s="10">
        <v>45762.51716782407</v>
      </c>
      <c r="J710" s="8">
        <v>5.0</v>
      </c>
      <c r="K710" s="11">
        <v>5.342638773E7</v>
      </c>
      <c r="L710" s="8" t="str">
        <f>+VLOOKUP(A710,Hoja2!$A$2:$X$2596,19,FALSE)</f>
        <v>#N/A</v>
      </c>
      <c r="M710" s="9" t="str">
        <f>+VLOOKUP(A710,Hoja2!$A$2:$X$2596,15,FALSE)</f>
        <v>#N/A</v>
      </c>
      <c r="N710" s="9" t="str">
        <f>+VLOOKUP(A710,Hoja2!$A$2:$X$2596,17,FALSE)</f>
        <v>#N/A</v>
      </c>
      <c r="O710" s="9" t="str">
        <f>+VLOOKUP(A710,Hoja2!$A$2:$X$2596,22,FALSE)</f>
        <v>#N/A</v>
      </c>
      <c r="P710" s="9" t="str">
        <f>+VLOOKUP(A710,Hoja2!$A$2:$X$2596,23,FALSE)</f>
        <v>#N/A</v>
      </c>
      <c r="Q710" s="9" t="str">
        <f>+VLOOKUP(A710,Hoja2!$A$2:$X$2596,24,FALSE)</f>
        <v>#N/A</v>
      </c>
    </row>
    <row r="711" ht="15.75" hidden="1" customHeight="1">
      <c r="A711" s="8">
        <v>2613629.0</v>
      </c>
      <c r="B711" s="8">
        <v>2613629.0</v>
      </c>
      <c r="C711" s="9" t="s">
        <v>19</v>
      </c>
      <c r="D711" s="8">
        <v>3.0</v>
      </c>
      <c r="E711" s="8">
        <v>0.0</v>
      </c>
      <c r="F711" s="8">
        <v>0.0</v>
      </c>
      <c r="G711" s="9" t="s">
        <v>21</v>
      </c>
      <c r="H711" s="10">
        <v>45559.835802546295</v>
      </c>
      <c r="I711" s="10">
        <v>45663.496603472224</v>
      </c>
      <c r="J711" s="8">
        <v>104.0</v>
      </c>
      <c r="K711" s="11">
        <v>4766965.2</v>
      </c>
      <c r="L711" s="8" t="str">
        <f>+VLOOKUP(A711,Hoja2!$A$2:$X$2596,19,FALSE)</f>
        <v>#N/A</v>
      </c>
      <c r="M711" s="9" t="str">
        <f>+VLOOKUP(A711,Hoja2!$A$2:$X$2596,15,FALSE)</f>
        <v>#N/A</v>
      </c>
      <c r="N711" s="9" t="str">
        <f>+VLOOKUP(A711,Hoja2!$A$2:$X$2596,17,FALSE)</f>
        <v>#N/A</v>
      </c>
      <c r="O711" s="9" t="str">
        <f>+VLOOKUP(A711,Hoja2!$A$2:$X$2596,22,FALSE)</f>
        <v>#N/A</v>
      </c>
      <c r="P711" s="9" t="str">
        <f>+VLOOKUP(A711,Hoja2!$A$2:$X$2596,23,FALSE)</f>
        <v>#N/A</v>
      </c>
      <c r="Q711" s="9" t="str">
        <f>+VLOOKUP(A711,Hoja2!$A$2:$X$2596,24,FALSE)</f>
        <v>#N/A</v>
      </c>
    </row>
    <row r="712" ht="15.75" hidden="1" customHeight="1">
      <c r="A712" s="8">
        <v>2613629.0</v>
      </c>
      <c r="B712" s="8">
        <v>2613629.0</v>
      </c>
      <c r="C712" s="9" t="s">
        <v>19</v>
      </c>
      <c r="D712" s="8">
        <v>3.0</v>
      </c>
      <c r="E712" s="8">
        <v>3.0</v>
      </c>
      <c r="F712" s="8">
        <v>0.0</v>
      </c>
      <c r="G712" s="9" t="s">
        <v>18</v>
      </c>
      <c r="H712" s="10">
        <v>45686.74655243056</v>
      </c>
      <c r="I712" s="10">
        <v>45882.51547329861</v>
      </c>
      <c r="J712" s="8">
        <v>196.0</v>
      </c>
      <c r="K712" s="11">
        <v>4766965.2</v>
      </c>
      <c r="L712" s="8" t="str">
        <f>+VLOOKUP(A712,Hoja2!$A$2:$X$2596,19,FALSE)</f>
        <v>#N/A</v>
      </c>
      <c r="M712" s="9" t="str">
        <f>+VLOOKUP(A712,Hoja2!$A$2:$X$2596,15,FALSE)</f>
        <v>#N/A</v>
      </c>
      <c r="N712" s="9" t="str">
        <f>+VLOOKUP(A712,Hoja2!$A$2:$X$2596,17,FALSE)</f>
        <v>#N/A</v>
      </c>
      <c r="O712" s="9" t="str">
        <f>+VLOOKUP(A712,Hoja2!$A$2:$X$2596,22,FALSE)</f>
        <v>#N/A</v>
      </c>
      <c r="P712" s="9" t="str">
        <f>+VLOOKUP(A712,Hoja2!$A$2:$X$2596,23,FALSE)</f>
        <v>#N/A</v>
      </c>
      <c r="Q712" s="9" t="str">
        <f>+VLOOKUP(A712,Hoja2!$A$2:$X$2596,24,FALSE)</f>
        <v>#N/A</v>
      </c>
    </row>
    <row r="713" ht="15.75" hidden="1" customHeight="1">
      <c r="A713" s="8">
        <v>2613676.0</v>
      </c>
      <c r="B713" s="8">
        <v>2613676.0</v>
      </c>
      <c r="C713" s="9" t="s">
        <v>19</v>
      </c>
      <c r="D713" s="8">
        <v>2.0</v>
      </c>
      <c r="E713" s="8">
        <v>0.0</v>
      </c>
      <c r="F713" s="8">
        <v>0.0</v>
      </c>
      <c r="G713" s="9" t="s">
        <v>21</v>
      </c>
      <c r="H713" s="10">
        <v>45729.62474039352</v>
      </c>
      <c r="I713" s="10">
        <v>45783.66716732639</v>
      </c>
      <c r="J713" s="8">
        <v>54.0</v>
      </c>
      <c r="K713" s="11">
        <v>2654027.51</v>
      </c>
      <c r="L713" s="8" t="str">
        <f>+VLOOKUP(A713,Hoja2!$A$2:$X$2596,19,FALSE)</f>
        <v>#N/A</v>
      </c>
      <c r="M713" s="9" t="str">
        <f>+VLOOKUP(A713,Hoja2!$A$2:$X$2596,15,FALSE)</f>
        <v>#N/A</v>
      </c>
      <c r="N713" s="9" t="str">
        <f>+VLOOKUP(A713,Hoja2!$A$2:$X$2596,17,FALSE)</f>
        <v>#N/A</v>
      </c>
      <c r="O713" s="9" t="str">
        <f>+VLOOKUP(A713,Hoja2!$A$2:$X$2596,22,FALSE)</f>
        <v>#N/A</v>
      </c>
      <c r="P713" s="9" t="str">
        <f>+VLOOKUP(A713,Hoja2!$A$2:$X$2596,23,FALSE)</f>
        <v>#N/A</v>
      </c>
      <c r="Q713" s="9" t="str">
        <f>+VLOOKUP(A713,Hoja2!$A$2:$X$2596,24,FALSE)</f>
        <v>#N/A</v>
      </c>
    </row>
    <row r="714" ht="15.75" hidden="1" customHeight="1">
      <c r="A714" s="8">
        <v>2613676.0</v>
      </c>
      <c r="B714" s="8">
        <v>2613676.0</v>
      </c>
      <c r="C714" s="9" t="s">
        <v>22</v>
      </c>
      <c r="D714" s="8">
        <v>2.0</v>
      </c>
      <c r="E714" s="8">
        <v>0.0</v>
      </c>
      <c r="F714" s="8">
        <v>0.0</v>
      </c>
      <c r="G714" s="9" t="s">
        <v>21</v>
      </c>
      <c r="H714" s="10">
        <v>45930.86015998843</v>
      </c>
      <c r="I714" s="10">
        <v>45944.64415072917</v>
      </c>
      <c r="J714" s="8">
        <v>14.0</v>
      </c>
      <c r="K714" s="11">
        <v>2654027.51</v>
      </c>
      <c r="L714" s="8" t="str">
        <f>+VLOOKUP(A714,Hoja2!$A$2:$X$2596,19,FALSE)</f>
        <v>#N/A</v>
      </c>
      <c r="M714" s="9" t="str">
        <f>+VLOOKUP(A714,Hoja2!$A$2:$X$2596,15,FALSE)</f>
        <v>#N/A</v>
      </c>
      <c r="N714" s="9" t="str">
        <f>+VLOOKUP(A714,Hoja2!$A$2:$X$2596,17,FALSE)</f>
        <v>#N/A</v>
      </c>
      <c r="O714" s="9" t="str">
        <f>+VLOOKUP(A714,Hoja2!$A$2:$X$2596,22,FALSE)</f>
        <v>#N/A</v>
      </c>
      <c r="P714" s="9" t="str">
        <f>+VLOOKUP(A714,Hoja2!$A$2:$X$2596,23,FALSE)</f>
        <v>#N/A</v>
      </c>
      <c r="Q714" s="9" t="str">
        <f>+VLOOKUP(A714,Hoja2!$A$2:$X$2596,24,FALSE)</f>
        <v>#N/A</v>
      </c>
    </row>
    <row r="715" ht="15.75" hidden="1" customHeight="1">
      <c r="A715" s="8">
        <v>2613765.0</v>
      </c>
      <c r="B715" s="8">
        <v>2613765.0</v>
      </c>
      <c r="C715" s="9" t="s">
        <v>19</v>
      </c>
      <c r="D715" s="8">
        <v>4.0</v>
      </c>
      <c r="E715" s="8">
        <v>5.0</v>
      </c>
      <c r="F715" s="8">
        <v>0.0</v>
      </c>
      <c r="G715" s="9" t="s">
        <v>18</v>
      </c>
      <c r="H715" s="10">
        <v>45435.70725771991</v>
      </c>
      <c r="I715" s="10">
        <v>45667.56509390046</v>
      </c>
      <c r="J715" s="8">
        <v>232.0</v>
      </c>
      <c r="K715" s="11">
        <v>3151188.16</v>
      </c>
      <c r="L715" s="8" t="str">
        <f>+VLOOKUP(A715,Hoja2!$A$2:$X$2596,19,FALSE)</f>
        <v>#N/A</v>
      </c>
      <c r="M715" s="9" t="str">
        <f>+VLOOKUP(A715,Hoja2!$A$2:$X$2596,15,FALSE)</f>
        <v>#N/A</v>
      </c>
      <c r="N715" s="9" t="str">
        <f>+VLOOKUP(A715,Hoja2!$A$2:$X$2596,17,FALSE)</f>
        <v>#N/A</v>
      </c>
      <c r="O715" s="9" t="str">
        <f>+VLOOKUP(A715,Hoja2!$A$2:$X$2596,22,FALSE)</f>
        <v>#N/A</v>
      </c>
      <c r="P715" s="9" t="str">
        <f>+VLOOKUP(A715,Hoja2!$A$2:$X$2596,23,FALSE)</f>
        <v>#N/A</v>
      </c>
      <c r="Q715" s="9" t="str">
        <f>+VLOOKUP(A715,Hoja2!$A$2:$X$2596,24,FALSE)</f>
        <v>#N/A</v>
      </c>
    </row>
    <row r="716" ht="15.75" hidden="1" customHeight="1">
      <c r="A716" s="8">
        <v>2615088.0</v>
      </c>
      <c r="B716" s="8">
        <v>2615088.0</v>
      </c>
      <c r="C716" s="9" t="s">
        <v>19</v>
      </c>
      <c r="D716" s="8">
        <v>3.0</v>
      </c>
      <c r="E716" s="8">
        <v>5.0</v>
      </c>
      <c r="F716" s="8">
        <v>0.0</v>
      </c>
      <c r="G716" s="9" t="s">
        <v>18</v>
      </c>
      <c r="H716" s="10">
        <v>45524.50863730324</v>
      </c>
      <c r="I716" s="10">
        <v>45667.35202453704</v>
      </c>
      <c r="J716" s="8">
        <v>143.0</v>
      </c>
      <c r="K716" s="11">
        <v>6720310.32</v>
      </c>
      <c r="L716" s="8" t="str">
        <f>+VLOOKUP(A716,Hoja2!$A$2:$X$2596,19,FALSE)</f>
        <v>#N/A</v>
      </c>
      <c r="M716" s="9" t="str">
        <f>+VLOOKUP(A716,Hoja2!$A$2:$X$2596,15,FALSE)</f>
        <v>#N/A</v>
      </c>
      <c r="N716" s="9" t="str">
        <f>+VLOOKUP(A716,Hoja2!$A$2:$X$2596,17,FALSE)</f>
        <v>#N/A</v>
      </c>
      <c r="O716" s="9" t="str">
        <f>+VLOOKUP(A716,Hoja2!$A$2:$X$2596,22,FALSE)</f>
        <v>#N/A</v>
      </c>
      <c r="P716" s="9" t="str">
        <f>+VLOOKUP(A716,Hoja2!$A$2:$X$2596,23,FALSE)</f>
        <v>#N/A</v>
      </c>
      <c r="Q716" s="9" t="str">
        <f>+VLOOKUP(A716,Hoja2!$A$2:$X$2596,24,FALSE)</f>
        <v>#N/A</v>
      </c>
    </row>
    <row r="717" ht="15.75" customHeight="1">
      <c r="A717" s="8">
        <v>2615088.0</v>
      </c>
      <c r="B717" s="8">
        <v>2615088.0</v>
      </c>
      <c r="C717" s="9" t="s">
        <v>20</v>
      </c>
      <c r="D717" s="8">
        <v>1.0</v>
      </c>
      <c r="E717" s="8">
        <v>11.0</v>
      </c>
      <c r="F717" s="8">
        <v>1.0</v>
      </c>
      <c r="G717" s="9" t="s">
        <v>23</v>
      </c>
      <c r="H717" s="10">
        <v>45702.440932060184</v>
      </c>
      <c r="I717" s="10">
        <v>45840.682771099535</v>
      </c>
      <c r="J717" s="8">
        <v>138.0</v>
      </c>
      <c r="K717" s="11">
        <v>6720310.32</v>
      </c>
      <c r="L717" s="8" t="str">
        <f>+VLOOKUP(A717,Hoja2!$A$2:$X$2596,19,FALSE)</f>
        <v>#N/A</v>
      </c>
      <c r="M717" s="9" t="str">
        <f>+VLOOKUP(A717,Hoja2!$A$2:$X$2596,15,FALSE)</f>
        <v>#N/A</v>
      </c>
      <c r="N717" s="9" t="str">
        <f>+VLOOKUP(A717,Hoja2!$A$2:$X$2596,17,FALSE)</f>
        <v>#N/A</v>
      </c>
      <c r="O717" s="9" t="str">
        <f>+VLOOKUP(A717,Hoja2!$A$2:$X$2596,22,FALSE)</f>
        <v>#N/A</v>
      </c>
      <c r="P717" s="9" t="str">
        <f>+VLOOKUP(A717,Hoja2!$A$2:$X$2596,23,FALSE)</f>
        <v>#N/A</v>
      </c>
      <c r="Q717" s="9" t="str">
        <f>+VLOOKUP(A717,Hoja2!$A$2:$X$2596,24,FALSE)</f>
        <v>#N/A</v>
      </c>
    </row>
    <row r="718" ht="15.75" hidden="1" customHeight="1">
      <c r="A718" s="8">
        <v>2615295.0</v>
      </c>
      <c r="B718" s="8">
        <v>2615295.0</v>
      </c>
      <c r="C718" s="9" t="s">
        <v>19</v>
      </c>
      <c r="D718" s="8">
        <v>3.0</v>
      </c>
      <c r="E718" s="8">
        <v>0.0</v>
      </c>
      <c r="F718" s="8">
        <v>0.0</v>
      </c>
      <c r="G718" s="9" t="s">
        <v>21</v>
      </c>
      <c r="H718" s="10">
        <v>45595.50055162037</v>
      </c>
      <c r="I718" s="10">
        <v>45625.676257604166</v>
      </c>
      <c r="J718" s="8">
        <v>30.0</v>
      </c>
      <c r="K718" s="11">
        <v>1.875598396E7</v>
      </c>
      <c r="L718" s="8" t="str">
        <f>+VLOOKUP(A718,Hoja2!$A$2:$X$2596,19,FALSE)</f>
        <v>#N/A</v>
      </c>
      <c r="M718" s="9" t="str">
        <f>+VLOOKUP(A718,Hoja2!$A$2:$X$2596,15,FALSE)</f>
        <v>#N/A</v>
      </c>
      <c r="N718" s="9" t="str">
        <f>+VLOOKUP(A718,Hoja2!$A$2:$X$2596,17,FALSE)</f>
        <v>#N/A</v>
      </c>
      <c r="O718" s="9" t="str">
        <f>+VLOOKUP(A718,Hoja2!$A$2:$X$2596,22,FALSE)</f>
        <v>#N/A</v>
      </c>
      <c r="P718" s="9" t="str">
        <f>+VLOOKUP(A718,Hoja2!$A$2:$X$2596,23,FALSE)</f>
        <v>#N/A</v>
      </c>
      <c r="Q718" s="9" t="str">
        <f>+VLOOKUP(A718,Hoja2!$A$2:$X$2596,24,FALSE)</f>
        <v>#N/A</v>
      </c>
    </row>
    <row r="719" ht="15.75" hidden="1" customHeight="1">
      <c r="A719" s="8">
        <v>2615295.0</v>
      </c>
      <c r="B719" s="8">
        <v>2615295.0</v>
      </c>
      <c r="C719" s="9" t="s">
        <v>22</v>
      </c>
      <c r="D719" s="8">
        <v>2.0</v>
      </c>
      <c r="E719" s="8">
        <v>1.0</v>
      </c>
      <c r="F719" s="8">
        <v>0.0</v>
      </c>
      <c r="G719" s="9" t="s">
        <v>18</v>
      </c>
      <c r="H719" s="10">
        <v>45825.26798105324</v>
      </c>
      <c r="I719" s="10">
        <v>45895.485646493056</v>
      </c>
      <c r="J719" s="8">
        <v>70.0</v>
      </c>
      <c r="K719" s="11">
        <v>1.875598396E7</v>
      </c>
      <c r="L719" s="8" t="str">
        <f>+VLOOKUP(A719,Hoja2!$A$2:$X$2596,19,FALSE)</f>
        <v>#N/A</v>
      </c>
      <c r="M719" s="9" t="str">
        <f>+VLOOKUP(A719,Hoja2!$A$2:$X$2596,15,FALSE)</f>
        <v>#N/A</v>
      </c>
      <c r="N719" s="9" t="str">
        <f>+VLOOKUP(A719,Hoja2!$A$2:$X$2596,17,FALSE)</f>
        <v>#N/A</v>
      </c>
      <c r="O719" s="9" t="str">
        <f>+VLOOKUP(A719,Hoja2!$A$2:$X$2596,22,FALSE)</f>
        <v>#N/A</v>
      </c>
      <c r="P719" s="9" t="str">
        <f>+VLOOKUP(A719,Hoja2!$A$2:$X$2596,23,FALSE)</f>
        <v>#N/A</v>
      </c>
      <c r="Q719" s="9" t="str">
        <f>+VLOOKUP(A719,Hoja2!$A$2:$X$2596,24,FALSE)</f>
        <v>#N/A</v>
      </c>
    </row>
    <row r="720" ht="15.75" hidden="1" customHeight="1">
      <c r="A720" s="8">
        <v>2617060.0</v>
      </c>
      <c r="B720" s="8">
        <v>2617060.0</v>
      </c>
      <c r="C720" s="9" t="s">
        <v>19</v>
      </c>
      <c r="D720" s="8">
        <v>4.0</v>
      </c>
      <c r="E720" s="8">
        <v>0.0</v>
      </c>
      <c r="F720" s="8">
        <v>0.0</v>
      </c>
      <c r="G720" s="9" t="s">
        <v>21</v>
      </c>
      <c r="H720" s="10">
        <v>45343.79133688658</v>
      </c>
      <c r="I720" s="10">
        <v>45432.42931944445</v>
      </c>
      <c r="J720" s="8">
        <v>89.0</v>
      </c>
      <c r="K720" s="11">
        <v>1.544699869E7</v>
      </c>
      <c r="L720" s="8" t="str">
        <f>+VLOOKUP(A720,Hoja2!$A$2:$X$2596,19,FALSE)</f>
        <v>#N/A</v>
      </c>
      <c r="M720" s="9" t="str">
        <f>+VLOOKUP(A720,Hoja2!$A$2:$X$2596,15,FALSE)</f>
        <v>#N/A</v>
      </c>
      <c r="N720" s="9" t="str">
        <f>+VLOOKUP(A720,Hoja2!$A$2:$X$2596,17,FALSE)</f>
        <v>#N/A</v>
      </c>
      <c r="O720" s="9" t="str">
        <f>+VLOOKUP(A720,Hoja2!$A$2:$X$2596,22,FALSE)</f>
        <v>#N/A</v>
      </c>
      <c r="P720" s="9" t="str">
        <f>+VLOOKUP(A720,Hoja2!$A$2:$X$2596,23,FALSE)</f>
        <v>#N/A</v>
      </c>
      <c r="Q720" s="9" t="str">
        <f>+VLOOKUP(A720,Hoja2!$A$2:$X$2596,24,FALSE)</f>
        <v>#N/A</v>
      </c>
    </row>
    <row r="721" ht="15.75" hidden="1" customHeight="1">
      <c r="A721" s="8">
        <v>2617060.0</v>
      </c>
      <c r="B721" s="8">
        <v>2617060.0</v>
      </c>
      <c r="C721" s="9" t="s">
        <v>19</v>
      </c>
      <c r="D721" s="8">
        <v>2.0</v>
      </c>
      <c r="E721" s="8">
        <v>0.0</v>
      </c>
      <c r="F721" s="8">
        <v>0.0</v>
      </c>
      <c r="G721" s="9" t="s">
        <v>21</v>
      </c>
      <c r="H721" s="10">
        <v>45538.478815821756</v>
      </c>
      <c r="I721" s="10">
        <v>45577.676045636574</v>
      </c>
      <c r="J721" s="8">
        <v>39.0</v>
      </c>
      <c r="K721" s="11">
        <v>1.544699869E7</v>
      </c>
      <c r="L721" s="8" t="str">
        <f>+VLOOKUP(A721,Hoja2!$A$2:$X$2596,19,FALSE)</f>
        <v>#N/A</v>
      </c>
      <c r="M721" s="9" t="str">
        <f>+VLOOKUP(A721,Hoja2!$A$2:$X$2596,15,FALSE)</f>
        <v>#N/A</v>
      </c>
      <c r="N721" s="9" t="str">
        <f>+VLOOKUP(A721,Hoja2!$A$2:$X$2596,17,FALSE)</f>
        <v>#N/A</v>
      </c>
      <c r="O721" s="9" t="str">
        <f>+VLOOKUP(A721,Hoja2!$A$2:$X$2596,22,FALSE)</f>
        <v>#N/A</v>
      </c>
      <c r="P721" s="9" t="str">
        <f>+VLOOKUP(A721,Hoja2!$A$2:$X$2596,23,FALSE)</f>
        <v>#N/A</v>
      </c>
      <c r="Q721" s="9" t="str">
        <f>+VLOOKUP(A721,Hoja2!$A$2:$X$2596,24,FALSE)</f>
        <v>#N/A</v>
      </c>
    </row>
    <row r="722" ht="15.75" hidden="1" customHeight="1">
      <c r="A722" s="8">
        <v>2617060.0</v>
      </c>
      <c r="B722" s="8">
        <v>2617060.0</v>
      </c>
      <c r="C722" s="9" t="s">
        <v>19</v>
      </c>
      <c r="D722" s="8">
        <v>3.0</v>
      </c>
      <c r="E722" s="8">
        <v>1.0</v>
      </c>
      <c r="F722" s="8">
        <v>0.0</v>
      </c>
      <c r="G722" s="9" t="s">
        <v>18</v>
      </c>
      <c r="H722" s="10">
        <v>45678.37477465278</v>
      </c>
      <c r="I722" s="10">
        <v>45699.35306246528</v>
      </c>
      <c r="J722" s="8">
        <v>21.0</v>
      </c>
      <c r="K722" s="11">
        <v>1.544699869E7</v>
      </c>
      <c r="L722" s="8" t="str">
        <f>+VLOOKUP(A722,Hoja2!$A$2:$X$2596,19,FALSE)</f>
        <v>#N/A</v>
      </c>
      <c r="M722" s="9" t="str">
        <f>+VLOOKUP(A722,Hoja2!$A$2:$X$2596,15,FALSE)</f>
        <v>#N/A</v>
      </c>
      <c r="N722" s="9" t="str">
        <f>+VLOOKUP(A722,Hoja2!$A$2:$X$2596,17,FALSE)</f>
        <v>#N/A</v>
      </c>
      <c r="O722" s="9" t="str">
        <f>+VLOOKUP(A722,Hoja2!$A$2:$X$2596,22,FALSE)</f>
        <v>#N/A</v>
      </c>
      <c r="P722" s="9" t="str">
        <f>+VLOOKUP(A722,Hoja2!$A$2:$X$2596,23,FALSE)</f>
        <v>#N/A</v>
      </c>
      <c r="Q722" s="9" t="str">
        <f>+VLOOKUP(A722,Hoja2!$A$2:$X$2596,24,FALSE)</f>
        <v>#N/A</v>
      </c>
    </row>
    <row r="723" ht="15.75" hidden="1" customHeight="1">
      <c r="A723" s="8">
        <v>2617060.0</v>
      </c>
      <c r="B723" s="8">
        <v>2617060.0</v>
      </c>
      <c r="C723" s="9" t="s">
        <v>19</v>
      </c>
      <c r="D723" s="8">
        <v>1.0</v>
      </c>
      <c r="E723" s="8">
        <v>1.0</v>
      </c>
      <c r="F723" s="8">
        <v>0.0</v>
      </c>
      <c r="G723" s="9" t="s">
        <v>18</v>
      </c>
      <c r="H723" s="10">
        <v>45838.74536778935</v>
      </c>
      <c r="I723" s="10">
        <v>45848.66401994213</v>
      </c>
      <c r="J723" s="8">
        <v>10.0</v>
      </c>
      <c r="K723" s="11">
        <v>1.544699869E7</v>
      </c>
      <c r="L723" s="8" t="str">
        <f>+VLOOKUP(A723,Hoja2!$A$2:$X$2596,19,FALSE)</f>
        <v>#N/A</v>
      </c>
      <c r="M723" s="9" t="str">
        <f>+VLOOKUP(A723,Hoja2!$A$2:$X$2596,15,FALSE)</f>
        <v>#N/A</v>
      </c>
      <c r="N723" s="9" t="str">
        <f>+VLOOKUP(A723,Hoja2!$A$2:$X$2596,17,FALSE)</f>
        <v>#N/A</v>
      </c>
      <c r="O723" s="9" t="str">
        <f>+VLOOKUP(A723,Hoja2!$A$2:$X$2596,22,FALSE)</f>
        <v>#N/A</v>
      </c>
      <c r="P723" s="9" t="str">
        <f>+VLOOKUP(A723,Hoja2!$A$2:$X$2596,23,FALSE)</f>
        <v>#N/A</v>
      </c>
      <c r="Q723" s="9" t="str">
        <f>+VLOOKUP(A723,Hoja2!$A$2:$X$2596,24,FALSE)</f>
        <v>#N/A</v>
      </c>
    </row>
    <row r="724" ht="15.75" hidden="1" customHeight="1">
      <c r="A724" s="8">
        <v>2618856.0</v>
      </c>
      <c r="B724" s="8">
        <v>2618856.0</v>
      </c>
      <c r="C724" s="9" t="s">
        <v>19</v>
      </c>
      <c r="D724" s="8">
        <v>4.0</v>
      </c>
      <c r="E724" s="8">
        <v>2.0</v>
      </c>
      <c r="F724" s="8">
        <v>0.0</v>
      </c>
      <c r="G724" s="9" t="s">
        <v>18</v>
      </c>
      <c r="H724" s="10">
        <v>45694.420738043984</v>
      </c>
      <c r="I724" s="10">
        <v>45888.40675991898</v>
      </c>
      <c r="J724" s="8">
        <v>194.0</v>
      </c>
      <c r="K724" s="11">
        <v>4688552.37</v>
      </c>
      <c r="L724" s="8" t="str">
        <f>+VLOOKUP(A724,Hoja2!$A$2:$X$2596,19,FALSE)</f>
        <v>#N/A</v>
      </c>
      <c r="M724" s="9" t="str">
        <f>+VLOOKUP(A724,Hoja2!$A$2:$X$2596,15,FALSE)</f>
        <v>#N/A</v>
      </c>
      <c r="N724" s="9" t="str">
        <f>+VLOOKUP(A724,Hoja2!$A$2:$X$2596,17,FALSE)</f>
        <v>#N/A</v>
      </c>
      <c r="O724" s="9" t="str">
        <f>+VLOOKUP(A724,Hoja2!$A$2:$X$2596,22,FALSE)</f>
        <v>#N/A</v>
      </c>
      <c r="P724" s="9" t="str">
        <f>+VLOOKUP(A724,Hoja2!$A$2:$X$2596,23,FALSE)</f>
        <v>#N/A</v>
      </c>
      <c r="Q724" s="9" t="str">
        <f>+VLOOKUP(A724,Hoja2!$A$2:$X$2596,24,FALSE)</f>
        <v>#N/A</v>
      </c>
    </row>
    <row r="725" ht="15.75" hidden="1" customHeight="1">
      <c r="A725" s="8">
        <v>2620285.0</v>
      </c>
      <c r="B725" s="8">
        <v>2620285.0</v>
      </c>
      <c r="C725" s="9" t="s">
        <v>19</v>
      </c>
      <c r="D725" s="8">
        <v>4.0</v>
      </c>
      <c r="E725" s="8">
        <v>2.0</v>
      </c>
      <c r="F725" s="8">
        <v>0.0</v>
      </c>
      <c r="G725" s="9" t="s">
        <v>18</v>
      </c>
      <c r="H725" s="10">
        <v>45684.76051959491</v>
      </c>
      <c r="I725" s="10">
        <v>45895.62357974537</v>
      </c>
      <c r="J725" s="8">
        <v>211.0</v>
      </c>
      <c r="K725" s="11">
        <v>2.852492324E7</v>
      </c>
      <c r="L725" s="8" t="str">
        <f>+VLOOKUP(A725,Hoja2!$A$2:$X$2596,19,FALSE)</f>
        <v>#N/A</v>
      </c>
      <c r="M725" s="9" t="str">
        <f>+VLOOKUP(A725,Hoja2!$A$2:$X$2596,15,FALSE)</f>
        <v>#N/A</v>
      </c>
      <c r="N725" s="9" t="str">
        <f>+VLOOKUP(A725,Hoja2!$A$2:$X$2596,17,FALSE)</f>
        <v>#N/A</v>
      </c>
      <c r="O725" s="9" t="str">
        <f>+VLOOKUP(A725,Hoja2!$A$2:$X$2596,22,FALSE)</f>
        <v>#N/A</v>
      </c>
      <c r="P725" s="9" t="str">
        <f>+VLOOKUP(A725,Hoja2!$A$2:$X$2596,23,FALSE)</f>
        <v>#N/A</v>
      </c>
      <c r="Q725" s="9" t="str">
        <f>+VLOOKUP(A725,Hoja2!$A$2:$X$2596,24,FALSE)</f>
        <v>#N/A</v>
      </c>
    </row>
    <row r="726" ht="15.75" hidden="1" customHeight="1">
      <c r="A726" s="8">
        <v>2620285.0</v>
      </c>
      <c r="B726" s="8">
        <v>2620285.0</v>
      </c>
      <c r="C726" s="9" t="s">
        <v>27</v>
      </c>
      <c r="D726" s="8">
        <v>3.0</v>
      </c>
      <c r="E726" s="8">
        <v>0.0</v>
      </c>
      <c r="F726" s="8">
        <v>0.0</v>
      </c>
      <c r="G726" s="9" t="s">
        <v>21</v>
      </c>
      <c r="H726" s="10">
        <v>45923.97636813657</v>
      </c>
      <c r="I726" s="10">
        <v>45937.437798113424</v>
      </c>
      <c r="J726" s="8">
        <v>14.0</v>
      </c>
      <c r="K726" s="11">
        <v>2.852492324E7</v>
      </c>
      <c r="L726" s="8" t="str">
        <f>+VLOOKUP(A726,Hoja2!$A$2:$X$2596,19,FALSE)</f>
        <v>#N/A</v>
      </c>
      <c r="M726" s="9" t="str">
        <f>+VLOOKUP(A726,Hoja2!$A$2:$X$2596,15,FALSE)</f>
        <v>#N/A</v>
      </c>
      <c r="N726" s="9" t="str">
        <f>+VLOOKUP(A726,Hoja2!$A$2:$X$2596,17,FALSE)</f>
        <v>#N/A</v>
      </c>
      <c r="O726" s="9" t="str">
        <f>+VLOOKUP(A726,Hoja2!$A$2:$X$2596,22,FALSE)</f>
        <v>#N/A</v>
      </c>
      <c r="P726" s="9" t="str">
        <f>+VLOOKUP(A726,Hoja2!$A$2:$X$2596,23,FALSE)</f>
        <v>#N/A</v>
      </c>
      <c r="Q726" s="9" t="str">
        <f>+VLOOKUP(A726,Hoja2!$A$2:$X$2596,24,FALSE)</f>
        <v>#N/A</v>
      </c>
    </row>
    <row r="727" ht="15.75" hidden="1" customHeight="1">
      <c r="A727" s="8">
        <v>2621444.0</v>
      </c>
      <c r="B727" s="8">
        <v>2621444.0</v>
      </c>
      <c r="C727" s="9" t="s">
        <v>19</v>
      </c>
      <c r="D727" s="8">
        <v>2.0</v>
      </c>
      <c r="E727" s="8">
        <v>0.0</v>
      </c>
      <c r="F727" s="8">
        <v>0.0</v>
      </c>
      <c r="G727" s="9" t="s">
        <v>21</v>
      </c>
      <c r="H727" s="10">
        <v>45708.42932418981</v>
      </c>
      <c r="I727" s="10">
        <v>45736.66556165509</v>
      </c>
      <c r="J727" s="8">
        <v>28.0</v>
      </c>
      <c r="K727" s="11">
        <v>8000410.36</v>
      </c>
      <c r="L727" s="8" t="str">
        <f>+VLOOKUP(A727,Hoja2!$A$2:$X$2596,19,FALSE)</f>
        <v>#N/A</v>
      </c>
      <c r="M727" s="9" t="str">
        <f>+VLOOKUP(A727,Hoja2!$A$2:$X$2596,15,FALSE)</f>
        <v>#N/A</v>
      </c>
      <c r="N727" s="9" t="str">
        <f>+VLOOKUP(A727,Hoja2!$A$2:$X$2596,17,FALSE)</f>
        <v>#N/A</v>
      </c>
      <c r="O727" s="9" t="str">
        <f>+VLOOKUP(A727,Hoja2!$A$2:$X$2596,22,FALSE)</f>
        <v>#N/A</v>
      </c>
      <c r="P727" s="9" t="str">
        <f>+VLOOKUP(A727,Hoja2!$A$2:$X$2596,23,FALSE)</f>
        <v>#N/A</v>
      </c>
      <c r="Q727" s="9" t="str">
        <f>+VLOOKUP(A727,Hoja2!$A$2:$X$2596,24,FALSE)</f>
        <v>#N/A</v>
      </c>
    </row>
    <row r="728" ht="15.75" hidden="1" customHeight="1">
      <c r="A728" s="8">
        <v>2622112.0</v>
      </c>
      <c r="B728" s="8">
        <v>2622112.0</v>
      </c>
      <c r="C728" s="9" t="s">
        <v>19</v>
      </c>
      <c r="D728" s="8">
        <v>2.0</v>
      </c>
      <c r="E728" s="8">
        <v>0.0</v>
      </c>
      <c r="F728" s="8">
        <v>0.0</v>
      </c>
      <c r="G728" s="9" t="s">
        <v>21</v>
      </c>
      <c r="H728" s="10">
        <v>45712.35945755787</v>
      </c>
      <c r="I728" s="10">
        <v>45727.37247982639</v>
      </c>
      <c r="J728" s="8">
        <v>15.0</v>
      </c>
      <c r="K728" s="11">
        <v>5.704966548E7</v>
      </c>
      <c r="L728" s="8" t="str">
        <f>+VLOOKUP(A728,Hoja2!$A$2:$X$2596,19,FALSE)</f>
        <v>#N/A</v>
      </c>
      <c r="M728" s="9" t="str">
        <f>+VLOOKUP(A728,Hoja2!$A$2:$X$2596,15,FALSE)</f>
        <v>#N/A</v>
      </c>
      <c r="N728" s="9" t="str">
        <f>+VLOOKUP(A728,Hoja2!$A$2:$X$2596,17,FALSE)</f>
        <v>#N/A</v>
      </c>
      <c r="O728" s="9" t="str">
        <f>+VLOOKUP(A728,Hoja2!$A$2:$X$2596,22,FALSE)</f>
        <v>#N/A</v>
      </c>
      <c r="P728" s="9" t="str">
        <f>+VLOOKUP(A728,Hoja2!$A$2:$X$2596,23,FALSE)</f>
        <v>#N/A</v>
      </c>
      <c r="Q728" s="9" t="str">
        <f>+VLOOKUP(A728,Hoja2!$A$2:$X$2596,24,FALSE)</f>
        <v>#N/A</v>
      </c>
    </row>
    <row r="729" ht="15.75" hidden="1" customHeight="1">
      <c r="A729" s="8">
        <v>2623402.0</v>
      </c>
      <c r="B729" s="8">
        <v>2623402.0</v>
      </c>
      <c r="C729" s="9" t="s">
        <v>19</v>
      </c>
      <c r="D729" s="8">
        <v>2.0</v>
      </c>
      <c r="E729" s="8">
        <v>0.0</v>
      </c>
      <c r="F729" s="8">
        <v>0.0</v>
      </c>
      <c r="G729" s="9" t="s">
        <v>21</v>
      </c>
      <c r="H729" s="10">
        <v>45709.40719039352</v>
      </c>
      <c r="I729" s="10">
        <v>45735.749004826386</v>
      </c>
      <c r="J729" s="8">
        <v>26.0</v>
      </c>
      <c r="K729" s="11">
        <v>33000.0</v>
      </c>
      <c r="L729" s="8" t="str">
        <f>+VLOOKUP(A729,Hoja2!$A$2:$X$2596,19,FALSE)</f>
        <v>#N/A</v>
      </c>
      <c r="M729" s="9" t="str">
        <f>+VLOOKUP(A729,Hoja2!$A$2:$X$2596,15,FALSE)</f>
        <v>#N/A</v>
      </c>
      <c r="N729" s="9" t="str">
        <f>+VLOOKUP(A729,Hoja2!$A$2:$X$2596,17,FALSE)</f>
        <v>#N/A</v>
      </c>
      <c r="O729" s="9" t="str">
        <f>+VLOOKUP(A729,Hoja2!$A$2:$X$2596,22,FALSE)</f>
        <v>#N/A</v>
      </c>
      <c r="P729" s="9" t="str">
        <f>+VLOOKUP(A729,Hoja2!$A$2:$X$2596,23,FALSE)</f>
        <v>#N/A</v>
      </c>
      <c r="Q729" s="9" t="str">
        <f>+VLOOKUP(A729,Hoja2!$A$2:$X$2596,24,FALSE)</f>
        <v>#N/A</v>
      </c>
    </row>
    <row r="730" ht="15.75" hidden="1" customHeight="1">
      <c r="A730" s="8">
        <v>2623404.0</v>
      </c>
      <c r="B730" s="8">
        <v>2623404.0</v>
      </c>
      <c r="C730" s="9" t="s">
        <v>25</v>
      </c>
      <c r="D730" s="8">
        <v>0.0</v>
      </c>
      <c r="E730" s="8">
        <v>0.0</v>
      </c>
      <c r="F730" s="8">
        <v>0.0</v>
      </c>
      <c r="G730" s="9" t="s">
        <v>26</v>
      </c>
      <c r="H730" s="10">
        <v>45707.62606793982</v>
      </c>
      <c r="I730" s="10">
        <v>45707.62606793982</v>
      </c>
      <c r="J730" s="8">
        <v>0.0</v>
      </c>
      <c r="K730" s="11">
        <v>1453437.98</v>
      </c>
      <c r="L730" s="8" t="str">
        <f>+VLOOKUP(A730,Hoja2!$A$2:$X$2596,19,FALSE)</f>
        <v>#N/A</v>
      </c>
      <c r="M730" s="9" t="str">
        <f>+VLOOKUP(A730,Hoja2!$A$2:$X$2596,15,FALSE)</f>
        <v>#N/A</v>
      </c>
      <c r="N730" s="9" t="str">
        <f>+VLOOKUP(A730,Hoja2!$A$2:$X$2596,17,FALSE)</f>
        <v>#N/A</v>
      </c>
      <c r="O730" s="9" t="str">
        <f>+VLOOKUP(A730,Hoja2!$A$2:$X$2596,22,FALSE)</f>
        <v>#N/A</v>
      </c>
      <c r="P730" s="9" t="str">
        <f>+VLOOKUP(A730,Hoja2!$A$2:$X$2596,23,FALSE)</f>
        <v>#N/A</v>
      </c>
      <c r="Q730" s="9" t="str">
        <f>+VLOOKUP(A730,Hoja2!$A$2:$X$2596,24,FALSE)</f>
        <v>#N/A</v>
      </c>
    </row>
    <row r="731" ht="15.75" hidden="1" customHeight="1">
      <c r="A731" s="8">
        <v>2623422.0</v>
      </c>
      <c r="B731" s="8">
        <v>2623422.0</v>
      </c>
      <c r="C731" s="9" t="s">
        <v>25</v>
      </c>
      <c r="D731" s="8">
        <v>0.0</v>
      </c>
      <c r="E731" s="8">
        <v>0.0</v>
      </c>
      <c r="F731" s="8">
        <v>0.0</v>
      </c>
      <c r="G731" s="9" t="s">
        <v>26</v>
      </c>
      <c r="H731" s="10">
        <v>45708.52986403935</v>
      </c>
      <c r="I731" s="10">
        <v>45708.52986403935</v>
      </c>
      <c r="J731" s="8">
        <v>0.0</v>
      </c>
      <c r="K731" s="11">
        <v>651635.48</v>
      </c>
      <c r="L731" s="8" t="str">
        <f>+VLOOKUP(A731,Hoja2!$A$2:$X$2596,19,FALSE)</f>
        <v>#N/A</v>
      </c>
      <c r="M731" s="9" t="str">
        <f>+VLOOKUP(A731,Hoja2!$A$2:$X$2596,15,FALSE)</f>
        <v>#N/A</v>
      </c>
      <c r="N731" s="9" t="str">
        <f>+VLOOKUP(A731,Hoja2!$A$2:$X$2596,17,FALSE)</f>
        <v>#N/A</v>
      </c>
      <c r="O731" s="9" t="str">
        <f>+VLOOKUP(A731,Hoja2!$A$2:$X$2596,22,FALSE)</f>
        <v>#N/A</v>
      </c>
      <c r="P731" s="9" t="str">
        <f>+VLOOKUP(A731,Hoja2!$A$2:$X$2596,23,FALSE)</f>
        <v>#N/A</v>
      </c>
      <c r="Q731" s="9" t="str">
        <f>+VLOOKUP(A731,Hoja2!$A$2:$X$2596,24,FALSE)</f>
        <v>#N/A</v>
      </c>
    </row>
    <row r="732" ht="15.75" hidden="1" customHeight="1">
      <c r="A732" s="8">
        <v>2625783.0</v>
      </c>
      <c r="B732" s="8">
        <v>2625783.0</v>
      </c>
      <c r="C732" s="9" t="s">
        <v>19</v>
      </c>
      <c r="D732" s="8">
        <v>2.0</v>
      </c>
      <c r="E732" s="8">
        <v>0.0</v>
      </c>
      <c r="F732" s="8">
        <v>0.0</v>
      </c>
      <c r="G732" s="9" t="s">
        <v>21</v>
      </c>
      <c r="H732" s="10">
        <v>45712.341152546294</v>
      </c>
      <c r="I732" s="10">
        <v>45741.72427245371</v>
      </c>
      <c r="J732" s="8">
        <v>29.0</v>
      </c>
      <c r="K732" s="11">
        <v>543006.02</v>
      </c>
      <c r="L732" s="8" t="str">
        <f>+VLOOKUP(A732,Hoja2!$A$2:$X$2596,19,FALSE)</f>
        <v>#N/A</v>
      </c>
      <c r="M732" s="9" t="str">
        <f>+VLOOKUP(A732,Hoja2!$A$2:$X$2596,15,FALSE)</f>
        <v>#N/A</v>
      </c>
      <c r="N732" s="9" t="str">
        <f>+VLOOKUP(A732,Hoja2!$A$2:$X$2596,17,FALSE)</f>
        <v>#N/A</v>
      </c>
      <c r="O732" s="9" t="str">
        <f>+VLOOKUP(A732,Hoja2!$A$2:$X$2596,22,FALSE)</f>
        <v>#N/A</v>
      </c>
      <c r="P732" s="9" t="str">
        <f>+VLOOKUP(A732,Hoja2!$A$2:$X$2596,23,FALSE)</f>
        <v>#N/A</v>
      </c>
      <c r="Q732" s="9" t="str">
        <f>+VLOOKUP(A732,Hoja2!$A$2:$X$2596,24,FALSE)</f>
        <v>#N/A</v>
      </c>
    </row>
    <row r="733" ht="15.75" hidden="1" customHeight="1">
      <c r="A733" s="8">
        <v>2626158.0</v>
      </c>
      <c r="B733" s="8">
        <v>2626158.0</v>
      </c>
      <c r="C733" s="9" t="s">
        <v>19</v>
      </c>
      <c r="D733" s="8">
        <v>7.0</v>
      </c>
      <c r="E733" s="8">
        <v>0.0</v>
      </c>
      <c r="F733" s="8">
        <v>0.0</v>
      </c>
      <c r="G733" s="9" t="s">
        <v>21</v>
      </c>
      <c r="H733" s="10">
        <v>45436.45754297454</v>
      </c>
      <c r="I733" s="10">
        <v>45552.98365540509</v>
      </c>
      <c r="J733" s="8">
        <v>116.0</v>
      </c>
      <c r="K733" s="11">
        <v>1.976153541E7</v>
      </c>
      <c r="L733" s="8" t="str">
        <f>+VLOOKUP(A733,Hoja2!$A$2:$X$2596,19,FALSE)</f>
        <v>#N/A</v>
      </c>
      <c r="M733" s="9" t="str">
        <f>+VLOOKUP(A733,Hoja2!$A$2:$X$2596,15,FALSE)</f>
        <v>#N/A</v>
      </c>
      <c r="N733" s="9" t="str">
        <f>+VLOOKUP(A733,Hoja2!$A$2:$X$2596,17,FALSE)</f>
        <v>#N/A</v>
      </c>
      <c r="O733" s="9" t="str">
        <f>+VLOOKUP(A733,Hoja2!$A$2:$X$2596,22,FALSE)</f>
        <v>#N/A</v>
      </c>
      <c r="P733" s="9" t="str">
        <f>+VLOOKUP(A733,Hoja2!$A$2:$X$2596,23,FALSE)</f>
        <v>#N/A</v>
      </c>
      <c r="Q733" s="9" t="str">
        <f>+VLOOKUP(A733,Hoja2!$A$2:$X$2596,24,FALSE)</f>
        <v>#N/A</v>
      </c>
    </row>
    <row r="734" ht="15.75" hidden="1" customHeight="1">
      <c r="A734" s="8">
        <v>2626158.0</v>
      </c>
      <c r="B734" s="8">
        <v>2626158.0</v>
      </c>
      <c r="C734" s="9" t="s">
        <v>19</v>
      </c>
      <c r="D734" s="8">
        <v>3.0</v>
      </c>
      <c r="E734" s="8">
        <v>2.0</v>
      </c>
      <c r="F734" s="8">
        <v>0.0</v>
      </c>
      <c r="G734" s="9" t="s">
        <v>18</v>
      </c>
      <c r="H734" s="10">
        <v>45586.751424849535</v>
      </c>
      <c r="I734" s="10">
        <v>45824.917406747685</v>
      </c>
      <c r="J734" s="8">
        <v>238.0</v>
      </c>
      <c r="K734" s="11">
        <v>1.976153541E7</v>
      </c>
      <c r="L734" s="8" t="str">
        <f>+VLOOKUP(A734,Hoja2!$A$2:$X$2596,19,FALSE)</f>
        <v>#N/A</v>
      </c>
      <c r="M734" s="9" t="str">
        <f>+VLOOKUP(A734,Hoja2!$A$2:$X$2596,15,FALSE)</f>
        <v>#N/A</v>
      </c>
      <c r="N734" s="9" t="str">
        <f>+VLOOKUP(A734,Hoja2!$A$2:$X$2596,17,FALSE)</f>
        <v>#N/A</v>
      </c>
      <c r="O734" s="9" t="str">
        <f>+VLOOKUP(A734,Hoja2!$A$2:$X$2596,22,FALSE)</f>
        <v>#N/A</v>
      </c>
      <c r="P734" s="9" t="str">
        <f>+VLOOKUP(A734,Hoja2!$A$2:$X$2596,23,FALSE)</f>
        <v>#N/A</v>
      </c>
      <c r="Q734" s="9" t="str">
        <f>+VLOOKUP(A734,Hoja2!$A$2:$X$2596,24,FALSE)</f>
        <v>#N/A</v>
      </c>
    </row>
    <row r="735" ht="15.75" hidden="1" customHeight="1">
      <c r="A735" s="8">
        <v>2626158.0</v>
      </c>
      <c r="B735" s="8">
        <v>2626158.0</v>
      </c>
      <c r="C735" s="9" t="s">
        <v>27</v>
      </c>
      <c r="D735" s="8">
        <v>1.0</v>
      </c>
      <c r="E735" s="8">
        <v>0.0</v>
      </c>
      <c r="F735" s="8">
        <v>0.0</v>
      </c>
      <c r="G735" s="9" t="s">
        <v>21</v>
      </c>
      <c r="H735" s="10">
        <v>45919.476496180556</v>
      </c>
      <c r="I735" s="10">
        <v>45919.476496180556</v>
      </c>
      <c r="J735" s="8">
        <v>0.0</v>
      </c>
      <c r="K735" s="11">
        <v>1.976153541E7</v>
      </c>
      <c r="L735" s="8" t="str">
        <f>+VLOOKUP(A735,Hoja2!$A$2:$X$2596,19,FALSE)</f>
        <v>#N/A</v>
      </c>
      <c r="M735" s="9" t="str">
        <f>+VLOOKUP(A735,Hoja2!$A$2:$X$2596,15,FALSE)</f>
        <v>#N/A</v>
      </c>
      <c r="N735" s="9" t="str">
        <f>+VLOOKUP(A735,Hoja2!$A$2:$X$2596,17,FALSE)</f>
        <v>#N/A</v>
      </c>
      <c r="O735" s="9" t="str">
        <f>+VLOOKUP(A735,Hoja2!$A$2:$X$2596,22,FALSE)</f>
        <v>#N/A</v>
      </c>
      <c r="P735" s="9" t="str">
        <f>+VLOOKUP(A735,Hoja2!$A$2:$X$2596,23,FALSE)</f>
        <v>#N/A</v>
      </c>
      <c r="Q735" s="9" t="str">
        <f>+VLOOKUP(A735,Hoja2!$A$2:$X$2596,24,FALSE)</f>
        <v>#N/A</v>
      </c>
    </row>
    <row r="736" ht="15.75" hidden="1" customHeight="1">
      <c r="A736" s="8">
        <v>2626187.0</v>
      </c>
      <c r="B736" s="8">
        <v>2626187.0</v>
      </c>
      <c r="C736" s="9" t="s">
        <v>19</v>
      </c>
      <c r="D736" s="8">
        <v>2.0</v>
      </c>
      <c r="E736" s="8">
        <v>0.0</v>
      </c>
      <c r="F736" s="8">
        <v>0.0</v>
      </c>
      <c r="G736" s="9" t="s">
        <v>21</v>
      </c>
      <c r="H736" s="10">
        <v>45701.51707109954</v>
      </c>
      <c r="I736" s="10">
        <v>45736.78087465278</v>
      </c>
      <c r="J736" s="8">
        <v>35.0</v>
      </c>
      <c r="K736" s="11">
        <v>1534435.17</v>
      </c>
      <c r="L736" s="8" t="str">
        <f>+VLOOKUP(A736,Hoja2!$A$2:$X$2596,19,FALSE)</f>
        <v>#N/A</v>
      </c>
      <c r="M736" s="9" t="str">
        <f>+VLOOKUP(A736,Hoja2!$A$2:$X$2596,15,FALSE)</f>
        <v>#N/A</v>
      </c>
      <c r="N736" s="9" t="str">
        <f>+VLOOKUP(A736,Hoja2!$A$2:$X$2596,17,FALSE)</f>
        <v>#N/A</v>
      </c>
      <c r="O736" s="9" t="str">
        <f>+VLOOKUP(A736,Hoja2!$A$2:$X$2596,22,FALSE)</f>
        <v>#N/A</v>
      </c>
      <c r="P736" s="9" t="str">
        <f>+VLOOKUP(A736,Hoja2!$A$2:$X$2596,23,FALSE)</f>
        <v>#N/A</v>
      </c>
      <c r="Q736" s="9" t="str">
        <f>+VLOOKUP(A736,Hoja2!$A$2:$X$2596,24,FALSE)</f>
        <v>#N/A</v>
      </c>
    </row>
    <row r="737" ht="15.75" hidden="1" customHeight="1">
      <c r="A737" s="8">
        <v>2626729.0</v>
      </c>
      <c r="B737" s="8">
        <v>2626729.0</v>
      </c>
      <c r="C737" s="9" t="s">
        <v>25</v>
      </c>
      <c r="D737" s="8">
        <v>0.0</v>
      </c>
      <c r="E737" s="8">
        <v>0.0</v>
      </c>
      <c r="F737" s="8">
        <v>0.0</v>
      </c>
      <c r="G737" s="9" t="s">
        <v>26</v>
      </c>
      <c r="H737" s="10">
        <v>45896.41266126157</v>
      </c>
      <c r="I737" s="10">
        <v>45896.41266126157</v>
      </c>
      <c r="J737" s="8">
        <v>0.0</v>
      </c>
      <c r="K737" s="11">
        <v>6296731.14</v>
      </c>
      <c r="L737" s="8" t="str">
        <f>+VLOOKUP(A737,Hoja2!$A$2:$X$2596,19,FALSE)</f>
        <v>#N/A</v>
      </c>
      <c r="M737" s="9" t="str">
        <f>+VLOOKUP(A737,Hoja2!$A$2:$X$2596,15,FALSE)</f>
        <v>#N/A</v>
      </c>
      <c r="N737" s="9" t="str">
        <f>+VLOOKUP(A737,Hoja2!$A$2:$X$2596,17,FALSE)</f>
        <v>#N/A</v>
      </c>
      <c r="O737" s="9" t="str">
        <f>+VLOOKUP(A737,Hoja2!$A$2:$X$2596,22,FALSE)</f>
        <v>#N/A</v>
      </c>
      <c r="P737" s="9" t="str">
        <f>+VLOOKUP(A737,Hoja2!$A$2:$X$2596,23,FALSE)</f>
        <v>#N/A</v>
      </c>
      <c r="Q737" s="9" t="str">
        <f>+VLOOKUP(A737,Hoja2!$A$2:$X$2596,24,FALSE)</f>
        <v>#N/A</v>
      </c>
    </row>
    <row r="738" ht="15.75" hidden="1" customHeight="1">
      <c r="A738" s="8">
        <v>2626729.0</v>
      </c>
      <c r="B738" s="8">
        <v>2626729.0</v>
      </c>
      <c r="C738" s="9" t="s">
        <v>27</v>
      </c>
      <c r="D738" s="8">
        <v>3.0</v>
      </c>
      <c r="E738" s="8">
        <v>0.0</v>
      </c>
      <c r="F738" s="8">
        <v>0.0</v>
      </c>
      <c r="G738" s="9" t="s">
        <v>21</v>
      </c>
      <c r="H738" s="10">
        <v>45896.45220443287</v>
      </c>
      <c r="I738" s="10">
        <v>45937.494167094905</v>
      </c>
      <c r="J738" s="8">
        <v>41.0</v>
      </c>
      <c r="K738" s="11">
        <v>6296731.14</v>
      </c>
      <c r="L738" s="8" t="str">
        <f>+VLOOKUP(A738,Hoja2!$A$2:$X$2596,19,FALSE)</f>
        <v>#N/A</v>
      </c>
      <c r="M738" s="9" t="str">
        <f>+VLOOKUP(A738,Hoja2!$A$2:$X$2596,15,FALSE)</f>
        <v>#N/A</v>
      </c>
      <c r="N738" s="9" t="str">
        <f>+VLOOKUP(A738,Hoja2!$A$2:$X$2596,17,FALSE)</f>
        <v>#N/A</v>
      </c>
      <c r="O738" s="9" t="str">
        <f>+VLOOKUP(A738,Hoja2!$A$2:$X$2596,22,FALSE)</f>
        <v>#N/A</v>
      </c>
      <c r="P738" s="9" t="str">
        <f>+VLOOKUP(A738,Hoja2!$A$2:$X$2596,23,FALSE)</f>
        <v>#N/A</v>
      </c>
      <c r="Q738" s="9" t="str">
        <f>+VLOOKUP(A738,Hoja2!$A$2:$X$2596,24,FALSE)</f>
        <v>#N/A</v>
      </c>
    </row>
    <row r="739" ht="15.75" hidden="1" customHeight="1">
      <c r="A739" s="8">
        <v>2631505.0</v>
      </c>
      <c r="B739" s="8">
        <v>2631505.0</v>
      </c>
      <c r="C739" s="9" t="s">
        <v>17</v>
      </c>
      <c r="D739" s="8">
        <v>2.0</v>
      </c>
      <c r="E739" s="8">
        <v>0.0</v>
      </c>
      <c r="F739" s="8">
        <v>0.0</v>
      </c>
      <c r="G739" s="9" t="s">
        <v>21</v>
      </c>
      <c r="H739" s="10">
        <v>45357.971622916666</v>
      </c>
      <c r="I739" s="10">
        <v>45363.74291728009</v>
      </c>
      <c r="J739" s="8">
        <v>6.0</v>
      </c>
      <c r="K739" s="11">
        <v>4917541.93</v>
      </c>
      <c r="L739" s="8" t="str">
        <f>+VLOOKUP(A739,Hoja2!$A$2:$X$2596,19,FALSE)</f>
        <v>#N/A</v>
      </c>
      <c r="M739" s="9" t="str">
        <f>+VLOOKUP(A739,Hoja2!$A$2:$X$2596,15,FALSE)</f>
        <v>#N/A</v>
      </c>
      <c r="N739" s="9" t="str">
        <f>+VLOOKUP(A739,Hoja2!$A$2:$X$2596,17,FALSE)</f>
        <v>#N/A</v>
      </c>
      <c r="O739" s="9" t="str">
        <f>+VLOOKUP(A739,Hoja2!$A$2:$X$2596,22,FALSE)</f>
        <v>#N/A</v>
      </c>
      <c r="P739" s="9" t="str">
        <f>+VLOOKUP(A739,Hoja2!$A$2:$X$2596,23,FALSE)</f>
        <v>#N/A</v>
      </c>
      <c r="Q739" s="9" t="str">
        <f>+VLOOKUP(A739,Hoja2!$A$2:$X$2596,24,FALSE)</f>
        <v>#N/A</v>
      </c>
    </row>
    <row r="740" ht="15.75" hidden="1" customHeight="1">
      <c r="A740" s="8">
        <v>2631505.0</v>
      </c>
      <c r="B740" s="8">
        <v>2631505.0</v>
      </c>
      <c r="C740" s="9" t="s">
        <v>19</v>
      </c>
      <c r="D740" s="8">
        <v>2.0</v>
      </c>
      <c r="E740" s="8">
        <v>0.0</v>
      </c>
      <c r="F740" s="8">
        <v>0.0</v>
      </c>
      <c r="G740" s="9" t="s">
        <v>21</v>
      </c>
      <c r="H740" s="10">
        <v>45588.579840081016</v>
      </c>
      <c r="I740" s="10">
        <v>45607.76447542824</v>
      </c>
      <c r="J740" s="8">
        <v>19.0</v>
      </c>
      <c r="K740" s="11">
        <v>4917541.93</v>
      </c>
      <c r="L740" s="8" t="str">
        <f>+VLOOKUP(A740,Hoja2!$A$2:$X$2596,19,FALSE)</f>
        <v>#N/A</v>
      </c>
      <c r="M740" s="9" t="str">
        <f>+VLOOKUP(A740,Hoja2!$A$2:$X$2596,15,FALSE)</f>
        <v>#N/A</v>
      </c>
      <c r="N740" s="9" t="str">
        <f>+VLOOKUP(A740,Hoja2!$A$2:$X$2596,17,FALSE)</f>
        <v>#N/A</v>
      </c>
      <c r="O740" s="9" t="str">
        <f>+VLOOKUP(A740,Hoja2!$A$2:$X$2596,22,FALSE)</f>
        <v>#N/A</v>
      </c>
      <c r="P740" s="9" t="str">
        <f>+VLOOKUP(A740,Hoja2!$A$2:$X$2596,23,FALSE)</f>
        <v>#N/A</v>
      </c>
      <c r="Q740" s="9" t="str">
        <f>+VLOOKUP(A740,Hoja2!$A$2:$X$2596,24,FALSE)</f>
        <v>#N/A</v>
      </c>
    </row>
    <row r="741" ht="15.75" hidden="1" customHeight="1">
      <c r="A741" s="8">
        <v>2631505.0</v>
      </c>
      <c r="B741" s="8">
        <v>2631505.0</v>
      </c>
      <c r="C741" s="9" t="s">
        <v>19</v>
      </c>
      <c r="D741" s="8">
        <v>2.0</v>
      </c>
      <c r="E741" s="8">
        <v>0.0</v>
      </c>
      <c r="F741" s="8">
        <v>0.0</v>
      </c>
      <c r="G741" s="9" t="s">
        <v>21</v>
      </c>
      <c r="H741" s="10">
        <v>45728.45886840278</v>
      </c>
      <c r="I741" s="10">
        <v>45747.77317199074</v>
      </c>
      <c r="J741" s="8">
        <v>19.0</v>
      </c>
      <c r="K741" s="11">
        <v>4917541.93</v>
      </c>
      <c r="L741" s="8" t="str">
        <f>+VLOOKUP(A741,Hoja2!$A$2:$X$2596,19,FALSE)</f>
        <v>#N/A</v>
      </c>
      <c r="M741" s="9" t="str">
        <f>+VLOOKUP(A741,Hoja2!$A$2:$X$2596,15,FALSE)</f>
        <v>#N/A</v>
      </c>
      <c r="N741" s="9" t="str">
        <f>+VLOOKUP(A741,Hoja2!$A$2:$X$2596,17,FALSE)</f>
        <v>#N/A</v>
      </c>
      <c r="O741" s="9" t="str">
        <f>+VLOOKUP(A741,Hoja2!$A$2:$X$2596,22,FALSE)</f>
        <v>#N/A</v>
      </c>
      <c r="P741" s="9" t="str">
        <f>+VLOOKUP(A741,Hoja2!$A$2:$X$2596,23,FALSE)</f>
        <v>#N/A</v>
      </c>
      <c r="Q741" s="9" t="str">
        <f>+VLOOKUP(A741,Hoja2!$A$2:$X$2596,24,FALSE)</f>
        <v>#N/A</v>
      </c>
    </row>
    <row r="742" ht="15.75" hidden="1" customHeight="1">
      <c r="A742" s="8">
        <v>2631511.0</v>
      </c>
      <c r="B742" s="8">
        <v>2631511.0</v>
      </c>
      <c r="C742" s="9" t="s">
        <v>19</v>
      </c>
      <c r="D742" s="8">
        <v>3.0</v>
      </c>
      <c r="E742" s="8">
        <v>0.0</v>
      </c>
      <c r="F742" s="8">
        <v>0.0</v>
      </c>
      <c r="G742" s="9" t="s">
        <v>21</v>
      </c>
      <c r="H742" s="10">
        <v>45785.75014753472</v>
      </c>
      <c r="I742" s="10">
        <v>45849.735124224535</v>
      </c>
      <c r="J742" s="8">
        <v>64.0</v>
      </c>
      <c r="K742" s="11">
        <v>2.129710803E7</v>
      </c>
      <c r="L742" s="8" t="str">
        <f>+VLOOKUP(A742,Hoja2!$A$2:$X$2596,19,FALSE)</f>
        <v>#N/A</v>
      </c>
      <c r="M742" s="9" t="str">
        <f>+VLOOKUP(A742,Hoja2!$A$2:$X$2596,15,FALSE)</f>
        <v>#N/A</v>
      </c>
      <c r="N742" s="9" t="str">
        <f>+VLOOKUP(A742,Hoja2!$A$2:$X$2596,17,FALSE)</f>
        <v>#N/A</v>
      </c>
      <c r="O742" s="9" t="str">
        <f>+VLOOKUP(A742,Hoja2!$A$2:$X$2596,22,FALSE)</f>
        <v>#N/A</v>
      </c>
      <c r="P742" s="9" t="str">
        <f>+VLOOKUP(A742,Hoja2!$A$2:$X$2596,23,FALSE)</f>
        <v>#N/A</v>
      </c>
      <c r="Q742" s="9" t="str">
        <f>+VLOOKUP(A742,Hoja2!$A$2:$X$2596,24,FALSE)</f>
        <v>#N/A</v>
      </c>
    </row>
    <row r="743" ht="15.75" hidden="1" customHeight="1">
      <c r="A743" s="8">
        <v>2632503.0</v>
      </c>
      <c r="B743" s="8">
        <v>2632503.0</v>
      </c>
      <c r="C743" s="9" t="s">
        <v>17</v>
      </c>
      <c r="D743" s="8">
        <v>2.0</v>
      </c>
      <c r="E743" s="8">
        <v>0.0</v>
      </c>
      <c r="F743" s="8">
        <v>0.0</v>
      </c>
      <c r="G743" s="9" t="s">
        <v>21</v>
      </c>
      <c r="H743" s="10">
        <v>45435.50022905093</v>
      </c>
      <c r="I743" s="10">
        <v>45447.39506072917</v>
      </c>
      <c r="J743" s="8">
        <v>12.0</v>
      </c>
      <c r="K743" s="11">
        <v>4293011.7</v>
      </c>
      <c r="L743" s="8" t="str">
        <f>+VLOOKUP(A743,Hoja2!$A$2:$X$2596,19,FALSE)</f>
        <v>#N/A</v>
      </c>
      <c r="M743" s="9" t="str">
        <f>+VLOOKUP(A743,Hoja2!$A$2:$X$2596,15,FALSE)</f>
        <v>#N/A</v>
      </c>
      <c r="N743" s="9" t="str">
        <f>+VLOOKUP(A743,Hoja2!$A$2:$X$2596,17,FALSE)</f>
        <v>#N/A</v>
      </c>
      <c r="O743" s="9" t="str">
        <f>+VLOOKUP(A743,Hoja2!$A$2:$X$2596,22,FALSE)</f>
        <v>#N/A</v>
      </c>
      <c r="P743" s="9" t="str">
        <f>+VLOOKUP(A743,Hoja2!$A$2:$X$2596,23,FALSE)</f>
        <v>#N/A</v>
      </c>
      <c r="Q743" s="9" t="str">
        <f>+VLOOKUP(A743,Hoja2!$A$2:$X$2596,24,FALSE)</f>
        <v>#N/A</v>
      </c>
    </row>
    <row r="744" ht="15.75" hidden="1" customHeight="1">
      <c r="A744" s="8">
        <v>2632987.0</v>
      </c>
      <c r="B744" s="8">
        <v>2632987.0</v>
      </c>
      <c r="C744" s="9" t="s">
        <v>19</v>
      </c>
      <c r="D744" s="8">
        <v>3.0</v>
      </c>
      <c r="E744" s="8">
        <v>0.0</v>
      </c>
      <c r="F744" s="8">
        <v>0.0</v>
      </c>
      <c r="G744" s="9" t="s">
        <v>21</v>
      </c>
      <c r="H744" s="10">
        <v>45594.70166987269</v>
      </c>
      <c r="I744" s="10">
        <v>45643.77294887732</v>
      </c>
      <c r="J744" s="8">
        <v>49.0</v>
      </c>
      <c r="K744" s="11">
        <v>6484582.77</v>
      </c>
      <c r="L744" s="8" t="str">
        <f>+VLOOKUP(A744,Hoja2!$A$2:$X$2596,19,FALSE)</f>
        <v>#N/A</v>
      </c>
      <c r="M744" s="9" t="str">
        <f>+VLOOKUP(A744,Hoja2!$A$2:$X$2596,15,FALSE)</f>
        <v>#N/A</v>
      </c>
      <c r="N744" s="9" t="str">
        <f>+VLOOKUP(A744,Hoja2!$A$2:$X$2596,17,FALSE)</f>
        <v>#N/A</v>
      </c>
      <c r="O744" s="9" t="str">
        <f>+VLOOKUP(A744,Hoja2!$A$2:$X$2596,22,FALSE)</f>
        <v>#N/A</v>
      </c>
      <c r="P744" s="9" t="str">
        <f>+VLOOKUP(A744,Hoja2!$A$2:$X$2596,23,FALSE)</f>
        <v>#N/A</v>
      </c>
      <c r="Q744" s="9" t="str">
        <f>+VLOOKUP(A744,Hoja2!$A$2:$X$2596,24,FALSE)</f>
        <v>#N/A</v>
      </c>
    </row>
    <row r="745" ht="15.75" hidden="1" customHeight="1">
      <c r="A745" s="8">
        <v>2632987.0</v>
      </c>
      <c r="B745" s="8">
        <v>2632987.0</v>
      </c>
      <c r="C745" s="9" t="s">
        <v>25</v>
      </c>
      <c r="D745" s="8">
        <v>0.0</v>
      </c>
      <c r="E745" s="8">
        <v>0.0</v>
      </c>
      <c r="F745" s="8">
        <v>0.0</v>
      </c>
      <c r="G745" s="9" t="s">
        <v>26</v>
      </c>
      <c r="H745" s="10">
        <v>45687.437349768516</v>
      </c>
      <c r="I745" s="10">
        <v>45687.437349768516</v>
      </c>
      <c r="J745" s="8">
        <v>0.0</v>
      </c>
      <c r="K745" s="11">
        <v>6484582.77</v>
      </c>
      <c r="L745" s="8" t="str">
        <f>+VLOOKUP(A745,Hoja2!$A$2:$X$2596,19,FALSE)</f>
        <v>#N/A</v>
      </c>
      <c r="M745" s="9" t="str">
        <f>+VLOOKUP(A745,Hoja2!$A$2:$X$2596,15,FALSE)</f>
        <v>#N/A</v>
      </c>
      <c r="N745" s="9" t="str">
        <f>+VLOOKUP(A745,Hoja2!$A$2:$X$2596,17,FALSE)</f>
        <v>#N/A</v>
      </c>
      <c r="O745" s="9" t="str">
        <f>+VLOOKUP(A745,Hoja2!$A$2:$X$2596,22,FALSE)</f>
        <v>#N/A</v>
      </c>
      <c r="P745" s="9" t="str">
        <f>+VLOOKUP(A745,Hoja2!$A$2:$X$2596,23,FALSE)</f>
        <v>#N/A</v>
      </c>
      <c r="Q745" s="9" t="str">
        <f>+VLOOKUP(A745,Hoja2!$A$2:$X$2596,24,FALSE)</f>
        <v>#N/A</v>
      </c>
    </row>
    <row r="746" ht="15.75" hidden="1" customHeight="1">
      <c r="A746" s="8">
        <v>2632987.0</v>
      </c>
      <c r="B746" s="8">
        <v>2632987.0</v>
      </c>
      <c r="C746" s="9" t="s">
        <v>19</v>
      </c>
      <c r="D746" s="8">
        <v>3.0</v>
      </c>
      <c r="E746" s="8">
        <v>2.0</v>
      </c>
      <c r="F746" s="8">
        <v>0.0</v>
      </c>
      <c r="G746" s="9" t="s">
        <v>18</v>
      </c>
      <c r="H746" s="10">
        <v>45693.432460613425</v>
      </c>
      <c r="I746" s="10">
        <v>45832.53786200232</v>
      </c>
      <c r="J746" s="8">
        <v>139.0</v>
      </c>
      <c r="K746" s="11">
        <v>6484582.77</v>
      </c>
      <c r="L746" s="8" t="str">
        <f>+VLOOKUP(A746,Hoja2!$A$2:$X$2596,19,FALSE)</f>
        <v>#N/A</v>
      </c>
      <c r="M746" s="9" t="str">
        <f>+VLOOKUP(A746,Hoja2!$A$2:$X$2596,15,FALSE)</f>
        <v>#N/A</v>
      </c>
      <c r="N746" s="9" t="str">
        <f>+VLOOKUP(A746,Hoja2!$A$2:$X$2596,17,FALSE)</f>
        <v>#N/A</v>
      </c>
      <c r="O746" s="9" t="str">
        <f>+VLOOKUP(A746,Hoja2!$A$2:$X$2596,22,FALSE)</f>
        <v>#N/A</v>
      </c>
      <c r="P746" s="9" t="str">
        <f>+VLOOKUP(A746,Hoja2!$A$2:$X$2596,23,FALSE)</f>
        <v>#N/A</v>
      </c>
      <c r="Q746" s="9" t="str">
        <f>+VLOOKUP(A746,Hoja2!$A$2:$X$2596,24,FALSE)</f>
        <v>#N/A</v>
      </c>
    </row>
    <row r="747" ht="15.75" hidden="1" customHeight="1">
      <c r="A747" s="8">
        <v>2632987.0</v>
      </c>
      <c r="B747" s="8">
        <v>2632987.0</v>
      </c>
      <c r="C747" s="9" t="s">
        <v>22</v>
      </c>
      <c r="D747" s="8">
        <v>1.0</v>
      </c>
      <c r="E747" s="8">
        <v>2.0</v>
      </c>
      <c r="F747" s="8">
        <v>0.0</v>
      </c>
      <c r="G747" s="9" t="s">
        <v>18</v>
      </c>
      <c r="H747" s="10">
        <v>45861.88539872685</v>
      </c>
      <c r="I747" s="10">
        <v>45915.45770760417</v>
      </c>
      <c r="J747" s="8">
        <v>54.0</v>
      </c>
      <c r="K747" s="11">
        <v>6484582.77</v>
      </c>
      <c r="L747" s="8" t="str">
        <f>+VLOOKUP(A747,Hoja2!$A$2:$X$2596,19,FALSE)</f>
        <v>#N/A</v>
      </c>
      <c r="M747" s="9" t="str">
        <f>+VLOOKUP(A747,Hoja2!$A$2:$X$2596,15,FALSE)</f>
        <v>#N/A</v>
      </c>
      <c r="N747" s="9" t="str">
        <f>+VLOOKUP(A747,Hoja2!$A$2:$X$2596,17,FALSE)</f>
        <v>#N/A</v>
      </c>
      <c r="O747" s="9" t="str">
        <f>+VLOOKUP(A747,Hoja2!$A$2:$X$2596,22,FALSE)</f>
        <v>#N/A</v>
      </c>
      <c r="P747" s="9" t="str">
        <f>+VLOOKUP(A747,Hoja2!$A$2:$X$2596,23,FALSE)</f>
        <v>#N/A</v>
      </c>
      <c r="Q747" s="9" t="str">
        <f>+VLOOKUP(A747,Hoja2!$A$2:$X$2596,24,FALSE)</f>
        <v>#N/A</v>
      </c>
    </row>
    <row r="748" ht="15.75" hidden="1" customHeight="1">
      <c r="A748" s="8">
        <v>2633657.0</v>
      </c>
      <c r="B748" s="8">
        <v>2633657.0</v>
      </c>
      <c r="C748" s="9" t="s">
        <v>17</v>
      </c>
      <c r="D748" s="8">
        <v>3.0</v>
      </c>
      <c r="E748" s="8">
        <v>0.0</v>
      </c>
      <c r="F748" s="8">
        <v>0.0</v>
      </c>
      <c r="G748" s="9" t="s">
        <v>21</v>
      </c>
      <c r="H748" s="10">
        <v>45455.82922476852</v>
      </c>
      <c r="I748" s="10">
        <v>45461.65406327546</v>
      </c>
      <c r="J748" s="8">
        <v>6.0</v>
      </c>
      <c r="K748" s="11">
        <v>7386942.6</v>
      </c>
      <c r="L748" s="8" t="str">
        <f>+VLOOKUP(A748,Hoja2!$A$2:$X$2596,19,FALSE)</f>
        <v>#N/A</v>
      </c>
      <c r="M748" s="9" t="str">
        <f>+VLOOKUP(A748,Hoja2!$A$2:$X$2596,15,FALSE)</f>
        <v>#N/A</v>
      </c>
      <c r="N748" s="9" t="str">
        <f>+VLOOKUP(A748,Hoja2!$A$2:$X$2596,17,FALSE)</f>
        <v>#N/A</v>
      </c>
      <c r="O748" s="9" t="str">
        <f>+VLOOKUP(A748,Hoja2!$A$2:$X$2596,22,FALSE)</f>
        <v>#N/A</v>
      </c>
      <c r="P748" s="9" t="str">
        <f>+VLOOKUP(A748,Hoja2!$A$2:$X$2596,23,FALSE)</f>
        <v>#N/A</v>
      </c>
      <c r="Q748" s="9" t="str">
        <f>+VLOOKUP(A748,Hoja2!$A$2:$X$2596,24,FALSE)</f>
        <v>#N/A</v>
      </c>
    </row>
    <row r="749" ht="15.75" hidden="1" customHeight="1">
      <c r="A749" s="8">
        <v>2637185.0</v>
      </c>
      <c r="B749" s="8">
        <v>2637185.0</v>
      </c>
      <c r="C749" s="9" t="s">
        <v>17</v>
      </c>
      <c r="D749" s="8">
        <v>3.0</v>
      </c>
      <c r="E749" s="8">
        <v>0.0</v>
      </c>
      <c r="F749" s="8">
        <v>0.0</v>
      </c>
      <c r="G749" s="9" t="s">
        <v>21</v>
      </c>
      <c r="H749" s="10">
        <v>45455.81266863426</v>
      </c>
      <c r="I749" s="10">
        <v>45463.36678020834</v>
      </c>
      <c r="J749" s="8">
        <v>8.0</v>
      </c>
      <c r="K749" s="11">
        <v>7386942.6</v>
      </c>
      <c r="L749" s="8" t="str">
        <f>+VLOOKUP(A749,Hoja2!$A$2:$X$2596,19,FALSE)</f>
        <v>#N/A</v>
      </c>
      <c r="M749" s="9" t="str">
        <f>+VLOOKUP(A749,Hoja2!$A$2:$X$2596,15,FALSE)</f>
        <v>#N/A</v>
      </c>
      <c r="N749" s="9" t="str">
        <f>+VLOOKUP(A749,Hoja2!$A$2:$X$2596,17,FALSE)</f>
        <v>#N/A</v>
      </c>
      <c r="O749" s="9" t="str">
        <f>+VLOOKUP(A749,Hoja2!$A$2:$X$2596,22,FALSE)</f>
        <v>#N/A</v>
      </c>
      <c r="P749" s="9" t="str">
        <f>+VLOOKUP(A749,Hoja2!$A$2:$X$2596,23,FALSE)</f>
        <v>#N/A</v>
      </c>
      <c r="Q749" s="9" t="str">
        <f>+VLOOKUP(A749,Hoja2!$A$2:$X$2596,24,FALSE)</f>
        <v>#N/A</v>
      </c>
    </row>
    <row r="750" ht="15.75" hidden="1" customHeight="1">
      <c r="A750" s="8">
        <v>2640304.0</v>
      </c>
      <c r="B750" s="8">
        <v>2640304.0</v>
      </c>
      <c r="C750" s="9" t="s">
        <v>19</v>
      </c>
      <c r="D750" s="8">
        <v>2.0</v>
      </c>
      <c r="E750" s="8">
        <v>0.0</v>
      </c>
      <c r="F750" s="8">
        <v>0.0</v>
      </c>
      <c r="G750" s="9" t="s">
        <v>21</v>
      </c>
      <c r="H750" s="10">
        <v>45733.644616006946</v>
      </c>
      <c r="I750" s="10">
        <v>45757.630899421296</v>
      </c>
      <c r="J750" s="8">
        <v>24.0</v>
      </c>
      <c r="K750" s="11">
        <v>2.95629971E7</v>
      </c>
      <c r="L750" s="8" t="str">
        <f>+VLOOKUP(A750,Hoja2!$A$2:$X$2596,19,FALSE)</f>
        <v>#N/A</v>
      </c>
      <c r="M750" s="9" t="str">
        <f>+VLOOKUP(A750,Hoja2!$A$2:$X$2596,15,FALSE)</f>
        <v>#N/A</v>
      </c>
      <c r="N750" s="9" t="str">
        <f>+VLOOKUP(A750,Hoja2!$A$2:$X$2596,17,FALSE)</f>
        <v>#N/A</v>
      </c>
      <c r="O750" s="9" t="str">
        <f>+VLOOKUP(A750,Hoja2!$A$2:$X$2596,22,FALSE)</f>
        <v>#N/A</v>
      </c>
      <c r="P750" s="9" t="str">
        <f>+VLOOKUP(A750,Hoja2!$A$2:$X$2596,23,FALSE)</f>
        <v>#N/A</v>
      </c>
      <c r="Q750" s="9" t="str">
        <f>+VLOOKUP(A750,Hoja2!$A$2:$X$2596,24,FALSE)</f>
        <v>#N/A</v>
      </c>
    </row>
    <row r="751" ht="15.75" hidden="1" customHeight="1">
      <c r="A751" s="8">
        <v>2640304.0</v>
      </c>
      <c r="B751" s="8">
        <v>2640304.0</v>
      </c>
      <c r="C751" s="9" t="s">
        <v>22</v>
      </c>
      <c r="D751" s="8">
        <v>2.0</v>
      </c>
      <c r="E751" s="8">
        <v>0.0</v>
      </c>
      <c r="F751" s="8">
        <v>0.0</v>
      </c>
      <c r="G751" s="9" t="s">
        <v>21</v>
      </c>
      <c r="H751" s="10">
        <v>45895.74287083333</v>
      </c>
      <c r="I751" s="10">
        <v>45904.830864930555</v>
      </c>
      <c r="J751" s="8">
        <v>9.0</v>
      </c>
      <c r="K751" s="11">
        <v>2.95629971E7</v>
      </c>
      <c r="L751" s="8" t="str">
        <f>+VLOOKUP(A751,Hoja2!$A$2:$X$2596,19,FALSE)</f>
        <v>#N/A</v>
      </c>
      <c r="M751" s="9" t="str">
        <f>+VLOOKUP(A751,Hoja2!$A$2:$X$2596,15,FALSE)</f>
        <v>#N/A</v>
      </c>
      <c r="N751" s="9" t="str">
        <f>+VLOOKUP(A751,Hoja2!$A$2:$X$2596,17,FALSE)</f>
        <v>#N/A</v>
      </c>
      <c r="O751" s="9" t="str">
        <f>+VLOOKUP(A751,Hoja2!$A$2:$X$2596,22,FALSE)</f>
        <v>#N/A</v>
      </c>
      <c r="P751" s="9" t="str">
        <f>+VLOOKUP(A751,Hoja2!$A$2:$X$2596,23,FALSE)</f>
        <v>#N/A</v>
      </c>
      <c r="Q751" s="9" t="str">
        <f>+VLOOKUP(A751,Hoja2!$A$2:$X$2596,24,FALSE)</f>
        <v>#N/A</v>
      </c>
    </row>
    <row r="752" ht="15.75" hidden="1" customHeight="1">
      <c r="A752" s="8">
        <v>2643204.0</v>
      </c>
      <c r="B752" s="8">
        <v>2643204.0</v>
      </c>
      <c r="C752" s="9" t="s">
        <v>25</v>
      </c>
      <c r="D752" s="8">
        <v>0.0</v>
      </c>
      <c r="E752" s="8">
        <v>0.0</v>
      </c>
      <c r="F752" s="8">
        <v>0.0</v>
      </c>
      <c r="G752" s="9" t="s">
        <v>26</v>
      </c>
      <c r="H752" s="10">
        <v>45629.98187311343</v>
      </c>
      <c r="I752" s="10">
        <v>45629.98187311343</v>
      </c>
      <c r="J752" s="8">
        <v>0.0</v>
      </c>
      <c r="K752" s="11">
        <v>2.129676409E7</v>
      </c>
      <c r="L752" s="8" t="str">
        <f>+VLOOKUP(A752,Hoja2!$A$2:$X$2596,19,FALSE)</f>
        <v>#N/A</v>
      </c>
      <c r="M752" s="9" t="str">
        <f>+VLOOKUP(A752,Hoja2!$A$2:$X$2596,15,FALSE)</f>
        <v>#N/A</v>
      </c>
      <c r="N752" s="9" t="str">
        <f>+VLOOKUP(A752,Hoja2!$A$2:$X$2596,17,FALSE)</f>
        <v>#N/A</v>
      </c>
      <c r="O752" s="9" t="str">
        <f>+VLOOKUP(A752,Hoja2!$A$2:$X$2596,22,FALSE)</f>
        <v>#N/A</v>
      </c>
      <c r="P752" s="9" t="str">
        <f>+VLOOKUP(A752,Hoja2!$A$2:$X$2596,23,FALSE)</f>
        <v>#N/A</v>
      </c>
      <c r="Q752" s="9" t="str">
        <f>+VLOOKUP(A752,Hoja2!$A$2:$X$2596,24,FALSE)</f>
        <v>#N/A</v>
      </c>
    </row>
    <row r="753" ht="15.75" hidden="1" customHeight="1">
      <c r="A753" s="8">
        <v>2643204.0</v>
      </c>
      <c r="B753" s="8">
        <v>2643204.0</v>
      </c>
      <c r="C753" s="9" t="s">
        <v>19</v>
      </c>
      <c r="D753" s="8">
        <v>3.0</v>
      </c>
      <c r="E753" s="8">
        <v>0.0</v>
      </c>
      <c r="F753" s="8">
        <v>0.0</v>
      </c>
      <c r="G753" s="9" t="s">
        <v>21</v>
      </c>
      <c r="H753" s="10">
        <v>45639.01954806713</v>
      </c>
      <c r="I753" s="10">
        <v>45681.71507615741</v>
      </c>
      <c r="J753" s="8">
        <v>42.0</v>
      </c>
      <c r="K753" s="11">
        <v>2.129676409E7</v>
      </c>
      <c r="L753" s="8" t="str">
        <f>+VLOOKUP(A753,Hoja2!$A$2:$X$2596,19,FALSE)</f>
        <v>#N/A</v>
      </c>
      <c r="M753" s="9" t="str">
        <f>+VLOOKUP(A753,Hoja2!$A$2:$X$2596,15,FALSE)</f>
        <v>#N/A</v>
      </c>
      <c r="N753" s="9" t="str">
        <f>+VLOOKUP(A753,Hoja2!$A$2:$X$2596,17,FALSE)</f>
        <v>#N/A</v>
      </c>
      <c r="O753" s="9" t="str">
        <f>+VLOOKUP(A753,Hoja2!$A$2:$X$2596,22,FALSE)</f>
        <v>#N/A</v>
      </c>
      <c r="P753" s="9" t="str">
        <f>+VLOOKUP(A753,Hoja2!$A$2:$X$2596,23,FALSE)</f>
        <v>#N/A</v>
      </c>
      <c r="Q753" s="9" t="str">
        <f>+VLOOKUP(A753,Hoja2!$A$2:$X$2596,24,FALSE)</f>
        <v>#N/A</v>
      </c>
    </row>
    <row r="754" ht="15.75" hidden="1" customHeight="1">
      <c r="A754" s="8">
        <v>2643204.0</v>
      </c>
      <c r="B754" s="8">
        <v>2643204.0</v>
      </c>
      <c r="C754" s="9" t="s">
        <v>19</v>
      </c>
      <c r="D754" s="8">
        <v>1.0</v>
      </c>
      <c r="E754" s="8">
        <v>1.0</v>
      </c>
      <c r="F754" s="8">
        <v>0.0</v>
      </c>
      <c r="G754" s="9" t="s">
        <v>18</v>
      </c>
      <c r="H754" s="10">
        <v>45824.459191319445</v>
      </c>
      <c r="I754" s="10">
        <v>45845.71898402778</v>
      </c>
      <c r="J754" s="8">
        <v>21.0</v>
      </c>
      <c r="K754" s="11">
        <v>2.129676409E7</v>
      </c>
      <c r="L754" s="8" t="str">
        <f>+VLOOKUP(A754,Hoja2!$A$2:$X$2596,19,FALSE)</f>
        <v>#N/A</v>
      </c>
      <c r="M754" s="9" t="str">
        <f>+VLOOKUP(A754,Hoja2!$A$2:$X$2596,15,FALSE)</f>
        <v>#N/A</v>
      </c>
      <c r="N754" s="9" t="str">
        <f>+VLOOKUP(A754,Hoja2!$A$2:$X$2596,17,FALSE)</f>
        <v>#N/A</v>
      </c>
      <c r="O754" s="9" t="str">
        <f>+VLOOKUP(A754,Hoja2!$A$2:$X$2596,22,FALSE)</f>
        <v>#N/A</v>
      </c>
      <c r="P754" s="9" t="str">
        <f>+VLOOKUP(A754,Hoja2!$A$2:$X$2596,23,FALSE)</f>
        <v>#N/A</v>
      </c>
      <c r="Q754" s="9" t="str">
        <f>+VLOOKUP(A754,Hoja2!$A$2:$X$2596,24,FALSE)</f>
        <v>#N/A</v>
      </c>
    </row>
    <row r="755" ht="15.75" hidden="1" customHeight="1">
      <c r="A755" s="8">
        <v>2650080.0</v>
      </c>
      <c r="B755" s="8">
        <v>2650080.0</v>
      </c>
      <c r="C755" s="9" t="s">
        <v>25</v>
      </c>
      <c r="D755" s="8">
        <v>0.0</v>
      </c>
      <c r="E755" s="8">
        <v>0.0</v>
      </c>
      <c r="F755" s="8">
        <v>0.0</v>
      </c>
      <c r="G755" s="9" t="s">
        <v>26</v>
      </c>
      <c r="H755" s="10">
        <v>45551.773885613424</v>
      </c>
      <c r="I755" s="10">
        <v>45551.773885613424</v>
      </c>
      <c r="J755" s="8">
        <v>0.0</v>
      </c>
      <c r="K755" s="11">
        <v>1856056.3</v>
      </c>
      <c r="L755" s="8" t="str">
        <f>+VLOOKUP(A755,Hoja2!$A$2:$X$2596,19,FALSE)</f>
        <v>#N/A</v>
      </c>
      <c r="M755" s="9" t="str">
        <f>+VLOOKUP(A755,Hoja2!$A$2:$X$2596,15,FALSE)</f>
        <v>#N/A</v>
      </c>
      <c r="N755" s="9" t="str">
        <f>+VLOOKUP(A755,Hoja2!$A$2:$X$2596,17,FALSE)</f>
        <v>#N/A</v>
      </c>
      <c r="O755" s="9" t="str">
        <f>+VLOOKUP(A755,Hoja2!$A$2:$X$2596,22,FALSE)</f>
        <v>#N/A</v>
      </c>
      <c r="P755" s="9" t="str">
        <f>+VLOOKUP(A755,Hoja2!$A$2:$X$2596,23,FALSE)</f>
        <v>#N/A</v>
      </c>
      <c r="Q755" s="9" t="str">
        <f>+VLOOKUP(A755,Hoja2!$A$2:$X$2596,24,FALSE)</f>
        <v>#N/A</v>
      </c>
    </row>
    <row r="756" ht="15.75" hidden="1" customHeight="1">
      <c r="A756" s="8">
        <v>2653127.0</v>
      </c>
      <c r="B756" s="8">
        <v>2653127.0</v>
      </c>
      <c r="C756" s="9" t="s">
        <v>25</v>
      </c>
      <c r="D756" s="8">
        <v>0.0</v>
      </c>
      <c r="E756" s="8">
        <v>0.0</v>
      </c>
      <c r="F756" s="8">
        <v>0.0</v>
      </c>
      <c r="G756" s="9" t="s">
        <v>26</v>
      </c>
      <c r="H756" s="10">
        <v>45492.60241582176</v>
      </c>
      <c r="I756" s="10">
        <v>45492.60241582176</v>
      </c>
      <c r="J756" s="8">
        <v>0.0</v>
      </c>
      <c r="K756" s="11">
        <v>1775782.61</v>
      </c>
      <c r="L756" s="8" t="str">
        <f>+VLOOKUP(A756,Hoja2!$A$2:$X$2596,19,FALSE)</f>
        <v>#N/A</v>
      </c>
      <c r="M756" s="9" t="str">
        <f>+VLOOKUP(A756,Hoja2!$A$2:$X$2596,15,FALSE)</f>
        <v>#N/A</v>
      </c>
      <c r="N756" s="9" t="str">
        <f>+VLOOKUP(A756,Hoja2!$A$2:$X$2596,17,FALSE)</f>
        <v>#N/A</v>
      </c>
      <c r="O756" s="9" t="str">
        <f>+VLOOKUP(A756,Hoja2!$A$2:$X$2596,22,FALSE)</f>
        <v>#N/A</v>
      </c>
      <c r="P756" s="9" t="str">
        <f>+VLOOKUP(A756,Hoja2!$A$2:$X$2596,23,FALSE)</f>
        <v>#N/A</v>
      </c>
      <c r="Q756" s="9" t="str">
        <f>+VLOOKUP(A756,Hoja2!$A$2:$X$2596,24,FALSE)</f>
        <v>#N/A</v>
      </c>
    </row>
    <row r="757" ht="15.75" hidden="1" customHeight="1">
      <c r="A757" s="8">
        <v>2658295.0</v>
      </c>
      <c r="B757" s="8">
        <v>2658295.0</v>
      </c>
      <c r="C757" s="9" t="s">
        <v>19</v>
      </c>
      <c r="D757" s="8">
        <v>1.0</v>
      </c>
      <c r="E757" s="8">
        <v>3.0</v>
      </c>
      <c r="F757" s="8">
        <v>0.0</v>
      </c>
      <c r="G757" s="9" t="s">
        <v>18</v>
      </c>
      <c r="H757" s="10">
        <v>45686.03203811342</v>
      </c>
      <c r="I757" s="10">
        <v>45811.74680729167</v>
      </c>
      <c r="J757" s="8">
        <v>125.0</v>
      </c>
      <c r="K757" s="11">
        <v>2.397228445E7</v>
      </c>
      <c r="L757" s="8" t="str">
        <f>+VLOOKUP(A757,Hoja2!$A$2:$X$2596,19,FALSE)</f>
        <v>#N/A</v>
      </c>
      <c r="M757" s="9" t="str">
        <f>+VLOOKUP(A757,Hoja2!$A$2:$X$2596,15,FALSE)</f>
        <v>#N/A</v>
      </c>
      <c r="N757" s="9" t="str">
        <f>+VLOOKUP(A757,Hoja2!$A$2:$X$2596,17,FALSE)</f>
        <v>#N/A</v>
      </c>
      <c r="O757" s="9" t="str">
        <f>+VLOOKUP(A757,Hoja2!$A$2:$X$2596,22,FALSE)</f>
        <v>#N/A</v>
      </c>
      <c r="P757" s="9" t="str">
        <f>+VLOOKUP(A757,Hoja2!$A$2:$X$2596,23,FALSE)</f>
        <v>#N/A</v>
      </c>
      <c r="Q757" s="9" t="str">
        <f>+VLOOKUP(A757,Hoja2!$A$2:$X$2596,24,FALSE)</f>
        <v>#N/A</v>
      </c>
    </row>
    <row r="758" ht="15.75" hidden="1" customHeight="1">
      <c r="A758" s="8">
        <v>2658295.0</v>
      </c>
      <c r="B758" s="8">
        <v>2658295.0</v>
      </c>
      <c r="C758" s="9" t="s">
        <v>19</v>
      </c>
      <c r="D758" s="8">
        <v>2.0</v>
      </c>
      <c r="E758" s="8">
        <v>0.0</v>
      </c>
      <c r="F758" s="8">
        <v>0.0</v>
      </c>
      <c r="G758" s="9" t="s">
        <v>21</v>
      </c>
      <c r="H758" s="10">
        <v>45818.734258993056</v>
      </c>
      <c r="I758" s="10">
        <v>45825.648210150466</v>
      </c>
      <c r="J758" s="8">
        <v>7.0</v>
      </c>
      <c r="K758" s="11">
        <v>2.397228445E7</v>
      </c>
      <c r="L758" s="8" t="str">
        <f>+VLOOKUP(A758,Hoja2!$A$2:$X$2596,19,FALSE)</f>
        <v>#N/A</v>
      </c>
      <c r="M758" s="9" t="str">
        <f>+VLOOKUP(A758,Hoja2!$A$2:$X$2596,15,FALSE)</f>
        <v>#N/A</v>
      </c>
      <c r="N758" s="9" t="str">
        <f>+VLOOKUP(A758,Hoja2!$A$2:$X$2596,17,FALSE)</f>
        <v>#N/A</v>
      </c>
      <c r="O758" s="9" t="str">
        <f>+VLOOKUP(A758,Hoja2!$A$2:$X$2596,22,FALSE)</f>
        <v>#N/A</v>
      </c>
      <c r="P758" s="9" t="str">
        <f>+VLOOKUP(A758,Hoja2!$A$2:$X$2596,23,FALSE)</f>
        <v>#N/A</v>
      </c>
      <c r="Q758" s="9" t="str">
        <f>+VLOOKUP(A758,Hoja2!$A$2:$X$2596,24,FALSE)</f>
        <v>#N/A</v>
      </c>
    </row>
    <row r="759" ht="15.75" hidden="1" customHeight="1">
      <c r="A759" s="8">
        <v>2658295.0</v>
      </c>
      <c r="B759" s="8">
        <v>2658295.0</v>
      </c>
      <c r="C759" s="9" t="s">
        <v>19</v>
      </c>
      <c r="D759" s="8">
        <v>1.0</v>
      </c>
      <c r="E759" s="8">
        <v>2.0</v>
      </c>
      <c r="F759" s="8">
        <v>0.0</v>
      </c>
      <c r="G759" s="9" t="s">
        <v>18</v>
      </c>
      <c r="H759" s="10">
        <v>45834.867053090275</v>
      </c>
      <c r="I759" s="10">
        <v>45958.543664386576</v>
      </c>
      <c r="J759" s="8">
        <v>124.0</v>
      </c>
      <c r="K759" s="11">
        <v>2.397228445E7</v>
      </c>
      <c r="L759" s="8" t="str">
        <f>+VLOOKUP(A759,Hoja2!$A$2:$X$2596,19,FALSE)</f>
        <v>#N/A</v>
      </c>
      <c r="M759" s="9" t="str">
        <f>+VLOOKUP(A759,Hoja2!$A$2:$X$2596,15,FALSE)</f>
        <v>#N/A</v>
      </c>
      <c r="N759" s="9" t="str">
        <f>+VLOOKUP(A759,Hoja2!$A$2:$X$2596,17,FALSE)</f>
        <v>#N/A</v>
      </c>
      <c r="O759" s="9" t="str">
        <f>+VLOOKUP(A759,Hoja2!$A$2:$X$2596,22,FALSE)</f>
        <v>#N/A</v>
      </c>
      <c r="P759" s="9" t="str">
        <f>+VLOOKUP(A759,Hoja2!$A$2:$X$2596,23,FALSE)</f>
        <v>#N/A</v>
      </c>
      <c r="Q759" s="9" t="str">
        <f>+VLOOKUP(A759,Hoja2!$A$2:$X$2596,24,FALSE)</f>
        <v>#N/A</v>
      </c>
    </row>
    <row r="760" ht="15.75" hidden="1" customHeight="1">
      <c r="A760" s="8">
        <v>2660697.0</v>
      </c>
      <c r="B760" s="8">
        <v>2660697.0</v>
      </c>
      <c r="C760" s="9" t="s">
        <v>19</v>
      </c>
      <c r="D760" s="8">
        <v>2.0</v>
      </c>
      <c r="E760" s="8">
        <v>0.0</v>
      </c>
      <c r="F760" s="8">
        <v>0.0</v>
      </c>
      <c r="G760" s="9" t="s">
        <v>21</v>
      </c>
      <c r="H760" s="10">
        <v>45643.68105586806</v>
      </c>
      <c r="I760" s="10">
        <v>45660.523560532405</v>
      </c>
      <c r="J760" s="8">
        <v>17.0</v>
      </c>
      <c r="K760" s="11">
        <v>1148356.0</v>
      </c>
      <c r="L760" s="8" t="str">
        <f>+VLOOKUP(A760,Hoja2!$A$2:$X$2596,19,FALSE)</f>
        <v>#N/A</v>
      </c>
      <c r="M760" s="9" t="str">
        <f>+VLOOKUP(A760,Hoja2!$A$2:$X$2596,15,FALSE)</f>
        <v>#N/A</v>
      </c>
      <c r="N760" s="9" t="str">
        <f>+VLOOKUP(A760,Hoja2!$A$2:$X$2596,17,FALSE)</f>
        <v>#N/A</v>
      </c>
      <c r="O760" s="9" t="str">
        <f>+VLOOKUP(A760,Hoja2!$A$2:$X$2596,22,FALSE)</f>
        <v>#N/A</v>
      </c>
      <c r="P760" s="9" t="str">
        <f>+VLOOKUP(A760,Hoja2!$A$2:$X$2596,23,FALSE)</f>
        <v>#N/A</v>
      </c>
      <c r="Q760" s="9" t="str">
        <f>+VLOOKUP(A760,Hoja2!$A$2:$X$2596,24,FALSE)</f>
        <v>#N/A</v>
      </c>
    </row>
    <row r="761" ht="15.75" hidden="1" customHeight="1">
      <c r="A761" s="8">
        <v>2661623.0</v>
      </c>
      <c r="B761" s="8">
        <v>2661623.0</v>
      </c>
      <c r="C761" s="9" t="s">
        <v>22</v>
      </c>
      <c r="D761" s="8">
        <v>2.0</v>
      </c>
      <c r="E761" s="8">
        <v>0.0</v>
      </c>
      <c r="F761" s="8">
        <v>0.0</v>
      </c>
      <c r="G761" s="9" t="s">
        <v>21</v>
      </c>
      <c r="H761" s="10">
        <v>45909.63686006945</v>
      </c>
      <c r="I761" s="10">
        <v>45930.69426574074</v>
      </c>
      <c r="J761" s="8">
        <v>21.0</v>
      </c>
      <c r="K761" s="11">
        <v>1.50179256E7</v>
      </c>
      <c r="L761" s="8" t="str">
        <f>+VLOOKUP(A761,Hoja2!$A$2:$X$2596,19,FALSE)</f>
        <v>#N/A</v>
      </c>
      <c r="M761" s="9" t="str">
        <f>+VLOOKUP(A761,Hoja2!$A$2:$X$2596,15,FALSE)</f>
        <v>#N/A</v>
      </c>
      <c r="N761" s="9" t="str">
        <f>+VLOOKUP(A761,Hoja2!$A$2:$X$2596,17,FALSE)</f>
        <v>#N/A</v>
      </c>
      <c r="O761" s="9" t="str">
        <f>+VLOOKUP(A761,Hoja2!$A$2:$X$2596,22,FALSE)</f>
        <v>#N/A</v>
      </c>
      <c r="P761" s="9" t="str">
        <f>+VLOOKUP(A761,Hoja2!$A$2:$X$2596,23,FALSE)</f>
        <v>#N/A</v>
      </c>
      <c r="Q761" s="9" t="str">
        <f>+VLOOKUP(A761,Hoja2!$A$2:$X$2596,24,FALSE)</f>
        <v>#N/A</v>
      </c>
    </row>
    <row r="762" ht="15.75" hidden="1" customHeight="1">
      <c r="A762" s="8">
        <v>2662489.0</v>
      </c>
      <c r="B762" s="8">
        <v>2662489.0</v>
      </c>
      <c r="C762" s="9" t="s">
        <v>19</v>
      </c>
      <c r="D762" s="8">
        <v>4.0</v>
      </c>
      <c r="E762" s="8">
        <v>0.0</v>
      </c>
      <c r="F762" s="8">
        <v>0.0</v>
      </c>
      <c r="G762" s="9" t="s">
        <v>21</v>
      </c>
      <c r="H762" s="10">
        <v>45716.33608313657</v>
      </c>
      <c r="I762" s="10">
        <v>45790.65870443287</v>
      </c>
      <c r="J762" s="8">
        <v>74.0</v>
      </c>
      <c r="K762" s="11">
        <v>1000.0</v>
      </c>
      <c r="L762" s="8" t="str">
        <f>+VLOOKUP(A762,Hoja2!$A$2:$X$2596,19,FALSE)</f>
        <v>#N/A</v>
      </c>
      <c r="M762" s="9" t="str">
        <f>+VLOOKUP(A762,Hoja2!$A$2:$X$2596,15,FALSE)</f>
        <v>#N/A</v>
      </c>
      <c r="N762" s="9" t="str">
        <f>+VLOOKUP(A762,Hoja2!$A$2:$X$2596,17,FALSE)</f>
        <v>#N/A</v>
      </c>
      <c r="O762" s="9" t="str">
        <f>+VLOOKUP(A762,Hoja2!$A$2:$X$2596,22,FALSE)</f>
        <v>#N/A</v>
      </c>
      <c r="P762" s="9" t="str">
        <f>+VLOOKUP(A762,Hoja2!$A$2:$X$2596,23,FALSE)</f>
        <v>#N/A</v>
      </c>
      <c r="Q762" s="9" t="str">
        <f>+VLOOKUP(A762,Hoja2!$A$2:$X$2596,24,FALSE)</f>
        <v>#N/A</v>
      </c>
    </row>
    <row r="763" ht="15.75" hidden="1" customHeight="1">
      <c r="A763" s="8">
        <v>2666353.0</v>
      </c>
      <c r="B763" s="8">
        <v>2666353.0</v>
      </c>
      <c r="C763" s="9" t="s">
        <v>19</v>
      </c>
      <c r="D763" s="8">
        <v>3.0</v>
      </c>
      <c r="E763" s="8">
        <v>0.0</v>
      </c>
      <c r="F763" s="8">
        <v>0.0</v>
      </c>
      <c r="G763" s="9" t="s">
        <v>21</v>
      </c>
      <c r="H763" s="10">
        <v>45639.66146809028</v>
      </c>
      <c r="I763" s="10">
        <v>45734.76327202546</v>
      </c>
      <c r="J763" s="8">
        <v>95.0</v>
      </c>
      <c r="K763" s="11">
        <v>2.5119387266E8</v>
      </c>
      <c r="L763" s="8" t="str">
        <f>+VLOOKUP(A763,Hoja2!$A$2:$X$2596,19,FALSE)</f>
        <v>#N/A</v>
      </c>
      <c r="M763" s="9" t="str">
        <f>+VLOOKUP(A763,Hoja2!$A$2:$X$2596,15,FALSE)</f>
        <v>#N/A</v>
      </c>
      <c r="N763" s="9" t="str">
        <f>+VLOOKUP(A763,Hoja2!$A$2:$X$2596,17,FALSE)</f>
        <v>#N/A</v>
      </c>
      <c r="O763" s="9" t="str">
        <f>+VLOOKUP(A763,Hoja2!$A$2:$X$2596,22,FALSE)</f>
        <v>#N/A</v>
      </c>
      <c r="P763" s="9" t="str">
        <f>+VLOOKUP(A763,Hoja2!$A$2:$X$2596,23,FALSE)</f>
        <v>#N/A</v>
      </c>
      <c r="Q763" s="9" t="str">
        <f>+VLOOKUP(A763,Hoja2!$A$2:$X$2596,24,FALSE)</f>
        <v>#N/A</v>
      </c>
    </row>
    <row r="764" ht="15.75" hidden="1" customHeight="1">
      <c r="A764" s="8">
        <v>2666353.0</v>
      </c>
      <c r="B764" s="8">
        <v>2666353.0</v>
      </c>
      <c r="C764" s="9" t="s">
        <v>19</v>
      </c>
      <c r="D764" s="8">
        <v>2.0</v>
      </c>
      <c r="E764" s="8">
        <v>0.0</v>
      </c>
      <c r="F764" s="8">
        <v>0.0</v>
      </c>
      <c r="G764" s="9" t="s">
        <v>21</v>
      </c>
      <c r="H764" s="10">
        <v>45758.51524649306</v>
      </c>
      <c r="I764" s="10">
        <v>45768.52947337963</v>
      </c>
      <c r="J764" s="8">
        <v>10.0</v>
      </c>
      <c r="K764" s="11">
        <v>2.5119387266E8</v>
      </c>
      <c r="L764" s="8" t="str">
        <f>+VLOOKUP(A764,Hoja2!$A$2:$X$2596,19,FALSE)</f>
        <v>#N/A</v>
      </c>
      <c r="M764" s="9" t="str">
        <f>+VLOOKUP(A764,Hoja2!$A$2:$X$2596,15,FALSE)</f>
        <v>#N/A</v>
      </c>
      <c r="N764" s="9" t="str">
        <f>+VLOOKUP(A764,Hoja2!$A$2:$X$2596,17,FALSE)</f>
        <v>#N/A</v>
      </c>
      <c r="O764" s="9" t="str">
        <f>+VLOOKUP(A764,Hoja2!$A$2:$X$2596,22,FALSE)</f>
        <v>#N/A</v>
      </c>
      <c r="P764" s="9" t="str">
        <f>+VLOOKUP(A764,Hoja2!$A$2:$X$2596,23,FALSE)</f>
        <v>#N/A</v>
      </c>
      <c r="Q764" s="9" t="str">
        <f>+VLOOKUP(A764,Hoja2!$A$2:$X$2596,24,FALSE)</f>
        <v>#N/A</v>
      </c>
    </row>
    <row r="765" ht="15.75" hidden="1" customHeight="1">
      <c r="A765" s="8">
        <v>2666353.0</v>
      </c>
      <c r="B765" s="8">
        <v>2666353.0</v>
      </c>
      <c r="C765" s="9" t="s">
        <v>19</v>
      </c>
      <c r="D765" s="8">
        <v>2.0</v>
      </c>
      <c r="E765" s="8">
        <v>0.0</v>
      </c>
      <c r="F765" s="8">
        <v>0.0</v>
      </c>
      <c r="G765" s="9" t="s">
        <v>21</v>
      </c>
      <c r="H765" s="10">
        <v>45849.528487731484</v>
      </c>
      <c r="I765" s="10">
        <v>45860.63622615741</v>
      </c>
      <c r="J765" s="8">
        <v>11.0</v>
      </c>
      <c r="K765" s="11">
        <v>2.5119387266E8</v>
      </c>
      <c r="L765" s="8" t="str">
        <f>+VLOOKUP(A765,Hoja2!$A$2:$X$2596,19,FALSE)</f>
        <v>#N/A</v>
      </c>
      <c r="M765" s="9" t="str">
        <f>+VLOOKUP(A765,Hoja2!$A$2:$X$2596,15,FALSE)</f>
        <v>#N/A</v>
      </c>
      <c r="N765" s="9" t="str">
        <f>+VLOOKUP(A765,Hoja2!$A$2:$X$2596,17,FALSE)</f>
        <v>#N/A</v>
      </c>
      <c r="O765" s="9" t="str">
        <f>+VLOOKUP(A765,Hoja2!$A$2:$X$2596,22,FALSE)</f>
        <v>#N/A</v>
      </c>
      <c r="P765" s="9" t="str">
        <f>+VLOOKUP(A765,Hoja2!$A$2:$X$2596,23,FALSE)</f>
        <v>#N/A</v>
      </c>
      <c r="Q765" s="9" t="str">
        <f>+VLOOKUP(A765,Hoja2!$A$2:$X$2596,24,FALSE)</f>
        <v>#N/A</v>
      </c>
    </row>
    <row r="766" ht="15.75" hidden="1" customHeight="1">
      <c r="A766" s="8">
        <v>2666354.0</v>
      </c>
      <c r="B766" s="8">
        <v>2666354.0</v>
      </c>
      <c r="C766" s="9" t="s">
        <v>19</v>
      </c>
      <c r="D766" s="8">
        <v>3.0</v>
      </c>
      <c r="E766" s="8">
        <v>0.0</v>
      </c>
      <c r="F766" s="8">
        <v>0.0</v>
      </c>
      <c r="G766" s="9" t="s">
        <v>21</v>
      </c>
      <c r="H766" s="10">
        <v>45639.66235034722</v>
      </c>
      <c r="I766" s="10">
        <v>45727.618439467595</v>
      </c>
      <c r="J766" s="8">
        <v>88.0</v>
      </c>
      <c r="K766" s="11">
        <v>4.3382522899E8</v>
      </c>
      <c r="L766" s="8" t="str">
        <f>+VLOOKUP(A766,Hoja2!$A$2:$X$2596,19,FALSE)</f>
        <v>#N/A</v>
      </c>
      <c r="M766" s="9" t="str">
        <f>+VLOOKUP(A766,Hoja2!$A$2:$X$2596,15,FALSE)</f>
        <v>#N/A</v>
      </c>
      <c r="N766" s="9" t="str">
        <f>+VLOOKUP(A766,Hoja2!$A$2:$X$2596,17,FALSE)</f>
        <v>#N/A</v>
      </c>
      <c r="O766" s="9" t="str">
        <f>+VLOOKUP(A766,Hoja2!$A$2:$X$2596,22,FALSE)</f>
        <v>#N/A</v>
      </c>
      <c r="P766" s="9" t="str">
        <f>+VLOOKUP(A766,Hoja2!$A$2:$X$2596,23,FALSE)</f>
        <v>#N/A</v>
      </c>
      <c r="Q766" s="9" t="str">
        <f>+VLOOKUP(A766,Hoja2!$A$2:$X$2596,24,FALSE)</f>
        <v>#N/A</v>
      </c>
    </row>
    <row r="767" ht="15.75" hidden="1" customHeight="1">
      <c r="A767" s="8">
        <v>2666354.0</v>
      </c>
      <c r="B767" s="8">
        <v>2666354.0</v>
      </c>
      <c r="C767" s="9" t="s">
        <v>19</v>
      </c>
      <c r="D767" s="8">
        <v>2.0</v>
      </c>
      <c r="E767" s="8">
        <v>0.0</v>
      </c>
      <c r="F767" s="8">
        <v>0.0</v>
      </c>
      <c r="G767" s="9" t="s">
        <v>21</v>
      </c>
      <c r="H767" s="10">
        <v>45758.527271099534</v>
      </c>
      <c r="I767" s="10">
        <v>45770.717619525465</v>
      </c>
      <c r="J767" s="8">
        <v>12.0</v>
      </c>
      <c r="K767" s="11">
        <v>4.3382522899E8</v>
      </c>
      <c r="L767" s="8" t="str">
        <f>+VLOOKUP(A767,Hoja2!$A$2:$X$2596,19,FALSE)</f>
        <v>#N/A</v>
      </c>
      <c r="M767" s="9" t="str">
        <f>+VLOOKUP(A767,Hoja2!$A$2:$X$2596,15,FALSE)</f>
        <v>#N/A</v>
      </c>
      <c r="N767" s="9" t="str">
        <f>+VLOOKUP(A767,Hoja2!$A$2:$X$2596,17,FALSE)</f>
        <v>#N/A</v>
      </c>
      <c r="O767" s="9" t="str">
        <f>+VLOOKUP(A767,Hoja2!$A$2:$X$2596,22,FALSE)</f>
        <v>#N/A</v>
      </c>
      <c r="P767" s="9" t="str">
        <f>+VLOOKUP(A767,Hoja2!$A$2:$X$2596,23,FALSE)</f>
        <v>#N/A</v>
      </c>
      <c r="Q767" s="9" t="str">
        <f>+VLOOKUP(A767,Hoja2!$A$2:$X$2596,24,FALSE)</f>
        <v>#N/A</v>
      </c>
    </row>
    <row r="768" ht="15.75" hidden="1" customHeight="1">
      <c r="A768" s="8">
        <v>2666354.0</v>
      </c>
      <c r="B768" s="8">
        <v>2666354.0</v>
      </c>
      <c r="C768" s="9" t="s">
        <v>19</v>
      </c>
      <c r="D768" s="8">
        <v>2.0</v>
      </c>
      <c r="E768" s="8">
        <v>0.0</v>
      </c>
      <c r="F768" s="8">
        <v>0.0</v>
      </c>
      <c r="G768" s="9" t="s">
        <v>21</v>
      </c>
      <c r="H768" s="10">
        <v>45849.52881435185</v>
      </c>
      <c r="I768" s="10">
        <v>45860.63616408565</v>
      </c>
      <c r="J768" s="8">
        <v>11.0</v>
      </c>
      <c r="K768" s="11">
        <v>4.3382522899E8</v>
      </c>
      <c r="L768" s="8" t="str">
        <f>+VLOOKUP(A768,Hoja2!$A$2:$X$2596,19,FALSE)</f>
        <v>#N/A</v>
      </c>
      <c r="M768" s="9" t="str">
        <f>+VLOOKUP(A768,Hoja2!$A$2:$X$2596,15,FALSE)</f>
        <v>#N/A</v>
      </c>
      <c r="N768" s="9" t="str">
        <f>+VLOOKUP(A768,Hoja2!$A$2:$X$2596,17,FALSE)</f>
        <v>#N/A</v>
      </c>
      <c r="O768" s="9" t="str">
        <f>+VLOOKUP(A768,Hoja2!$A$2:$X$2596,22,FALSE)</f>
        <v>#N/A</v>
      </c>
      <c r="P768" s="9" t="str">
        <f>+VLOOKUP(A768,Hoja2!$A$2:$X$2596,23,FALSE)</f>
        <v>#N/A</v>
      </c>
      <c r="Q768" s="9" t="str">
        <f>+VLOOKUP(A768,Hoja2!$A$2:$X$2596,24,FALSE)</f>
        <v>#N/A</v>
      </c>
    </row>
    <row r="769" ht="15.75" hidden="1" customHeight="1">
      <c r="A769" s="8">
        <v>2669010.0</v>
      </c>
      <c r="B769" s="8">
        <v>2669010.0</v>
      </c>
      <c r="C769" s="9" t="s">
        <v>22</v>
      </c>
      <c r="D769" s="8">
        <v>5.0</v>
      </c>
      <c r="E769" s="8">
        <v>1.0</v>
      </c>
      <c r="F769" s="8">
        <v>0.0</v>
      </c>
      <c r="G769" s="9" t="s">
        <v>18</v>
      </c>
      <c r="H769" s="10">
        <v>45832.45351883102</v>
      </c>
      <c r="I769" s="10">
        <v>45922.50066334491</v>
      </c>
      <c r="J769" s="8">
        <v>90.0</v>
      </c>
      <c r="K769" s="11">
        <v>2.437143562E7</v>
      </c>
      <c r="L769" s="8" t="str">
        <f>+VLOOKUP(A769,Hoja2!$A$2:$X$2596,19,FALSE)</f>
        <v>#N/A</v>
      </c>
      <c r="M769" s="9" t="str">
        <f>+VLOOKUP(A769,Hoja2!$A$2:$X$2596,15,FALSE)</f>
        <v>#N/A</v>
      </c>
      <c r="N769" s="9" t="str">
        <f>+VLOOKUP(A769,Hoja2!$A$2:$X$2596,17,FALSE)</f>
        <v>#N/A</v>
      </c>
      <c r="O769" s="9" t="str">
        <f>+VLOOKUP(A769,Hoja2!$A$2:$X$2596,22,FALSE)</f>
        <v>#N/A</v>
      </c>
      <c r="P769" s="9" t="str">
        <f>+VLOOKUP(A769,Hoja2!$A$2:$X$2596,23,FALSE)</f>
        <v>#N/A</v>
      </c>
      <c r="Q769" s="9" t="str">
        <f>+VLOOKUP(A769,Hoja2!$A$2:$X$2596,24,FALSE)</f>
        <v>#N/A</v>
      </c>
    </row>
    <row r="770" ht="15.75" hidden="1" customHeight="1">
      <c r="A770" s="8">
        <v>2673749.0</v>
      </c>
      <c r="B770" s="8">
        <v>2673749.0</v>
      </c>
      <c r="C770" s="9" t="s">
        <v>19</v>
      </c>
      <c r="D770" s="8">
        <v>3.0</v>
      </c>
      <c r="E770" s="8">
        <v>0.0</v>
      </c>
      <c r="F770" s="8">
        <v>0.0</v>
      </c>
      <c r="G770" s="9" t="s">
        <v>21</v>
      </c>
      <c r="H770" s="10">
        <v>45855.46597322917</v>
      </c>
      <c r="I770" s="10">
        <v>45933.48816072917</v>
      </c>
      <c r="J770" s="8">
        <v>78.0</v>
      </c>
      <c r="K770" s="11">
        <v>8.302041895E7</v>
      </c>
      <c r="L770" s="8" t="str">
        <f>+VLOOKUP(A770,Hoja2!$A$2:$X$2596,19,FALSE)</f>
        <v>#N/A</v>
      </c>
      <c r="M770" s="9" t="str">
        <f>+VLOOKUP(A770,Hoja2!$A$2:$X$2596,15,FALSE)</f>
        <v>#N/A</v>
      </c>
      <c r="N770" s="9" t="str">
        <f>+VLOOKUP(A770,Hoja2!$A$2:$X$2596,17,FALSE)</f>
        <v>#N/A</v>
      </c>
      <c r="O770" s="9" t="str">
        <f>+VLOOKUP(A770,Hoja2!$A$2:$X$2596,22,FALSE)</f>
        <v>#N/A</v>
      </c>
      <c r="P770" s="9" t="str">
        <f>+VLOOKUP(A770,Hoja2!$A$2:$X$2596,23,FALSE)</f>
        <v>#N/A</v>
      </c>
      <c r="Q770" s="9" t="str">
        <f>+VLOOKUP(A770,Hoja2!$A$2:$X$2596,24,FALSE)</f>
        <v>#N/A</v>
      </c>
    </row>
    <row r="771" ht="15.75" hidden="1" customHeight="1">
      <c r="A771" s="8">
        <v>2673749.0</v>
      </c>
      <c r="B771" s="8">
        <v>2673749.0</v>
      </c>
      <c r="C771" s="9" t="s">
        <v>22</v>
      </c>
      <c r="D771" s="8">
        <v>3.0</v>
      </c>
      <c r="E771" s="8">
        <v>0.0</v>
      </c>
      <c r="F771" s="8">
        <v>0.0</v>
      </c>
      <c r="G771" s="9" t="s">
        <v>21</v>
      </c>
      <c r="H771" s="10">
        <v>45946.26760451389</v>
      </c>
      <c r="I771" s="10">
        <v>45958.72657878472</v>
      </c>
      <c r="J771" s="8">
        <v>12.0</v>
      </c>
      <c r="K771" s="11">
        <v>8.302041895E7</v>
      </c>
      <c r="L771" s="8" t="str">
        <f>+VLOOKUP(A771,Hoja2!$A$2:$X$2596,19,FALSE)</f>
        <v>#N/A</v>
      </c>
      <c r="M771" s="9" t="str">
        <f>+VLOOKUP(A771,Hoja2!$A$2:$X$2596,15,FALSE)</f>
        <v>#N/A</v>
      </c>
      <c r="N771" s="9" t="str">
        <f>+VLOOKUP(A771,Hoja2!$A$2:$X$2596,17,FALSE)</f>
        <v>#N/A</v>
      </c>
      <c r="O771" s="9" t="str">
        <f>+VLOOKUP(A771,Hoja2!$A$2:$X$2596,22,FALSE)</f>
        <v>#N/A</v>
      </c>
      <c r="P771" s="9" t="str">
        <f>+VLOOKUP(A771,Hoja2!$A$2:$X$2596,23,FALSE)</f>
        <v>#N/A</v>
      </c>
      <c r="Q771" s="9" t="str">
        <f>+VLOOKUP(A771,Hoja2!$A$2:$X$2596,24,FALSE)</f>
        <v>#N/A</v>
      </c>
    </row>
    <row r="772" ht="15.75" hidden="1" customHeight="1">
      <c r="A772" s="8">
        <v>2687466.0</v>
      </c>
      <c r="B772" s="8">
        <v>2687466.0</v>
      </c>
      <c r="C772" s="9" t="s">
        <v>19</v>
      </c>
      <c r="D772" s="8">
        <v>2.0</v>
      </c>
      <c r="E772" s="8">
        <v>0.0</v>
      </c>
      <c r="F772" s="8">
        <v>0.0</v>
      </c>
      <c r="G772" s="9" t="s">
        <v>21</v>
      </c>
      <c r="H772" s="10">
        <v>45881.54134552083</v>
      </c>
      <c r="I772" s="10">
        <v>45887.71436701389</v>
      </c>
      <c r="J772" s="8">
        <v>6.0</v>
      </c>
      <c r="K772" s="11">
        <v>2797317.22</v>
      </c>
      <c r="L772" s="8" t="str">
        <f>+VLOOKUP(A772,Hoja2!$A$2:$X$2596,19,FALSE)</f>
        <v>#N/A</v>
      </c>
      <c r="M772" s="9" t="str">
        <f>+VLOOKUP(A772,Hoja2!$A$2:$X$2596,15,FALSE)</f>
        <v>#N/A</v>
      </c>
      <c r="N772" s="9" t="str">
        <f>+VLOOKUP(A772,Hoja2!$A$2:$X$2596,17,FALSE)</f>
        <v>#N/A</v>
      </c>
      <c r="O772" s="9" t="str">
        <f>+VLOOKUP(A772,Hoja2!$A$2:$X$2596,22,FALSE)</f>
        <v>#N/A</v>
      </c>
      <c r="P772" s="9" t="str">
        <f>+VLOOKUP(A772,Hoja2!$A$2:$X$2596,23,FALSE)</f>
        <v>#N/A</v>
      </c>
      <c r="Q772" s="9" t="str">
        <f>+VLOOKUP(A772,Hoja2!$A$2:$X$2596,24,FALSE)</f>
        <v>#N/A</v>
      </c>
    </row>
    <row r="773" ht="15.75" hidden="1" customHeight="1">
      <c r="A773" s="8">
        <v>2689405.0</v>
      </c>
      <c r="B773" s="8">
        <v>2689405.0</v>
      </c>
      <c r="C773" s="9" t="s">
        <v>25</v>
      </c>
      <c r="D773" s="8">
        <v>0.0</v>
      </c>
      <c r="E773" s="8">
        <v>0.0</v>
      </c>
      <c r="F773" s="8">
        <v>0.0</v>
      </c>
      <c r="G773" s="9" t="s">
        <v>26</v>
      </c>
      <c r="H773" s="10">
        <v>45882.77321863426</v>
      </c>
      <c r="I773" s="10">
        <v>45882.77321863426</v>
      </c>
      <c r="J773" s="8">
        <v>0.0</v>
      </c>
      <c r="K773" s="11">
        <v>2909481.0</v>
      </c>
      <c r="L773" s="8" t="str">
        <f>+VLOOKUP(A773,Hoja2!$A$2:$X$2596,19,FALSE)</f>
        <v>#N/A</v>
      </c>
      <c r="M773" s="9" t="str">
        <f>+VLOOKUP(A773,Hoja2!$A$2:$X$2596,15,FALSE)</f>
        <v>#N/A</v>
      </c>
      <c r="N773" s="9" t="str">
        <f>+VLOOKUP(A773,Hoja2!$A$2:$X$2596,17,FALSE)</f>
        <v>#N/A</v>
      </c>
      <c r="O773" s="9" t="str">
        <f>+VLOOKUP(A773,Hoja2!$A$2:$X$2596,22,FALSE)</f>
        <v>#N/A</v>
      </c>
      <c r="P773" s="9" t="str">
        <f>+VLOOKUP(A773,Hoja2!$A$2:$X$2596,23,FALSE)</f>
        <v>#N/A</v>
      </c>
      <c r="Q773" s="9" t="str">
        <f>+VLOOKUP(A773,Hoja2!$A$2:$X$2596,24,FALSE)</f>
        <v>#N/A</v>
      </c>
    </row>
    <row r="774" ht="15.75" hidden="1" customHeight="1">
      <c r="A774" s="8">
        <v>2689405.0</v>
      </c>
      <c r="B774" s="8">
        <v>2689405.0</v>
      </c>
      <c r="C774" s="9" t="s">
        <v>25</v>
      </c>
      <c r="D774" s="8">
        <v>0.0</v>
      </c>
      <c r="E774" s="8">
        <v>0.0</v>
      </c>
      <c r="F774" s="8">
        <v>0.0</v>
      </c>
      <c r="G774" s="9" t="s">
        <v>26</v>
      </c>
      <c r="H774" s="10">
        <v>45883.45109899306</v>
      </c>
      <c r="I774" s="10">
        <v>45911.81821793981</v>
      </c>
      <c r="J774" s="8">
        <v>28.0</v>
      </c>
      <c r="K774" s="11">
        <v>2909481.0</v>
      </c>
      <c r="L774" s="8" t="str">
        <f>+VLOOKUP(A774,Hoja2!$A$2:$X$2596,19,FALSE)</f>
        <v>#N/A</v>
      </c>
      <c r="M774" s="9" t="str">
        <f>+VLOOKUP(A774,Hoja2!$A$2:$X$2596,15,FALSE)</f>
        <v>#N/A</v>
      </c>
      <c r="N774" s="9" t="str">
        <f>+VLOOKUP(A774,Hoja2!$A$2:$X$2596,17,FALSE)</f>
        <v>#N/A</v>
      </c>
      <c r="O774" s="9" t="str">
        <f>+VLOOKUP(A774,Hoja2!$A$2:$X$2596,22,FALSE)</f>
        <v>#N/A</v>
      </c>
      <c r="P774" s="9" t="str">
        <f>+VLOOKUP(A774,Hoja2!$A$2:$X$2596,23,FALSE)</f>
        <v>#N/A</v>
      </c>
      <c r="Q774" s="9" t="str">
        <f>+VLOOKUP(A774,Hoja2!$A$2:$X$2596,24,FALSE)</f>
        <v>#N/A</v>
      </c>
    </row>
    <row r="775" ht="15.75" hidden="1" customHeight="1">
      <c r="A775" s="8">
        <v>2689405.0</v>
      </c>
      <c r="B775" s="8">
        <v>2689405.0</v>
      </c>
      <c r="C775" s="9" t="s">
        <v>22</v>
      </c>
      <c r="D775" s="8">
        <v>1.0</v>
      </c>
      <c r="E775" s="8">
        <v>1.0</v>
      </c>
      <c r="F775" s="8">
        <v>0.0</v>
      </c>
      <c r="G775" s="9" t="s">
        <v>18</v>
      </c>
      <c r="H775" s="10">
        <v>45924.45167068287</v>
      </c>
      <c r="I775" s="10">
        <v>45934.71006550926</v>
      </c>
      <c r="J775" s="8">
        <v>10.0</v>
      </c>
      <c r="K775" s="11">
        <v>2909481.0</v>
      </c>
      <c r="L775" s="8" t="str">
        <f>+VLOOKUP(A775,Hoja2!$A$2:$X$2596,19,FALSE)</f>
        <v>#N/A</v>
      </c>
      <c r="M775" s="9" t="str">
        <f>+VLOOKUP(A775,Hoja2!$A$2:$X$2596,15,FALSE)</f>
        <v>#N/A</v>
      </c>
      <c r="N775" s="9" t="str">
        <f>+VLOOKUP(A775,Hoja2!$A$2:$X$2596,17,FALSE)</f>
        <v>#N/A</v>
      </c>
      <c r="O775" s="9" t="str">
        <f>+VLOOKUP(A775,Hoja2!$A$2:$X$2596,22,FALSE)</f>
        <v>#N/A</v>
      </c>
      <c r="P775" s="9" t="str">
        <f>+VLOOKUP(A775,Hoja2!$A$2:$X$2596,23,FALSE)</f>
        <v>#N/A</v>
      </c>
      <c r="Q775" s="9" t="str">
        <f>+VLOOKUP(A775,Hoja2!$A$2:$X$2596,24,FALSE)</f>
        <v>#N/A</v>
      </c>
    </row>
    <row r="776" ht="15.75" hidden="1" customHeight="1">
      <c r="A776" s="8">
        <v>2703585.0</v>
      </c>
      <c r="B776" s="8">
        <v>2703585.0</v>
      </c>
      <c r="C776" s="9" t="s">
        <v>22</v>
      </c>
      <c r="D776" s="8">
        <v>2.0</v>
      </c>
      <c r="E776" s="8">
        <v>0.0</v>
      </c>
      <c r="F776" s="8">
        <v>0.0</v>
      </c>
      <c r="G776" s="9" t="s">
        <v>21</v>
      </c>
      <c r="H776" s="10">
        <v>45936.46443518518</v>
      </c>
      <c r="I776" s="10">
        <v>45950.45133263889</v>
      </c>
      <c r="J776" s="8">
        <v>14.0</v>
      </c>
      <c r="K776" s="11">
        <v>1.2418542196E8</v>
      </c>
      <c r="L776" s="8" t="str">
        <f>+VLOOKUP(A776,Hoja2!$A$2:$X$2596,19,FALSE)</f>
        <v>#N/A</v>
      </c>
      <c r="M776" s="9" t="str">
        <f>+VLOOKUP(A776,Hoja2!$A$2:$X$2596,15,FALSE)</f>
        <v>#N/A</v>
      </c>
      <c r="N776" s="9" t="str">
        <f>+VLOOKUP(A776,Hoja2!$A$2:$X$2596,17,FALSE)</f>
        <v>#N/A</v>
      </c>
      <c r="O776" s="9" t="str">
        <f>+VLOOKUP(A776,Hoja2!$A$2:$X$2596,22,FALSE)</f>
        <v>#N/A</v>
      </c>
      <c r="P776" s="9" t="str">
        <f>+VLOOKUP(A776,Hoja2!$A$2:$X$2596,23,FALSE)</f>
        <v>#N/A</v>
      </c>
      <c r="Q776" s="9" t="str">
        <f>+VLOOKUP(A776,Hoja2!$A$2:$X$2596,24,FALSE)</f>
        <v>#N/A</v>
      </c>
    </row>
    <row r="777" ht="15.75" customHeight="1">
      <c r="A777" s="8"/>
      <c r="B777" s="8"/>
      <c r="D777" s="8"/>
      <c r="E777" s="8"/>
      <c r="F777" s="8"/>
      <c r="H777" s="10"/>
      <c r="I777" s="10"/>
      <c r="J777" s="8"/>
      <c r="K777" s="8"/>
      <c r="L777" s="8"/>
    </row>
    <row r="778" ht="15.75" customHeight="1">
      <c r="A778" s="8"/>
      <c r="B778" s="8"/>
      <c r="D778" s="8"/>
      <c r="E778" s="8"/>
      <c r="F778" s="8"/>
      <c r="H778" s="10"/>
      <c r="I778" s="10"/>
      <c r="J778" s="8"/>
      <c r="K778" s="8"/>
      <c r="L778" s="8"/>
    </row>
    <row r="779" ht="15.75" customHeight="1">
      <c r="A779" s="8"/>
      <c r="B779" s="8"/>
      <c r="D779" s="8"/>
      <c r="E779" s="8"/>
      <c r="F779" s="8"/>
      <c r="H779" s="10"/>
      <c r="I779" s="10"/>
      <c r="J779" s="8"/>
      <c r="K779" s="8"/>
      <c r="L779" s="8"/>
    </row>
    <row r="780" ht="15.75" customHeight="1">
      <c r="A780" s="8"/>
      <c r="B780" s="8"/>
      <c r="D780" s="8"/>
      <c r="E780" s="8"/>
      <c r="F780" s="8"/>
      <c r="H780" s="10"/>
      <c r="I780" s="10"/>
      <c r="J780" s="8"/>
      <c r="K780" s="8"/>
      <c r="L780" s="8"/>
    </row>
    <row r="781" ht="15.75" customHeight="1">
      <c r="A781" s="8"/>
      <c r="B781" s="8"/>
      <c r="D781" s="8"/>
      <c r="E781" s="8"/>
      <c r="F781" s="8"/>
      <c r="H781" s="10"/>
      <c r="I781" s="10"/>
      <c r="J781" s="8"/>
      <c r="K781" s="8"/>
      <c r="L781" s="8"/>
    </row>
    <row r="782" ht="15.75" customHeight="1">
      <c r="A782" s="8"/>
      <c r="B782" s="8"/>
      <c r="D782" s="8"/>
      <c r="E782" s="8"/>
      <c r="F782" s="8"/>
      <c r="H782" s="10"/>
      <c r="I782" s="10"/>
      <c r="J782" s="8"/>
      <c r="K782" s="8"/>
      <c r="L782" s="8"/>
    </row>
    <row r="783" ht="15.75" customHeight="1">
      <c r="A783" s="8"/>
      <c r="B783" s="8"/>
      <c r="D783" s="8"/>
      <c r="E783" s="8"/>
      <c r="F783" s="8"/>
      <c r="H783" s="10"/>
      <c r="I783" s="10"/>
      <c r="J783" s="8"/>
      <c r="K783" s="8"/>
      <c r="L783" s="8"/>
    </row>
    <row r="784" ht="15.75" customHeight="1">
      <c r="A784" s="8"/>
      <c r="B784" s="8"/>
      <c r="D784" s="8"/>
      <c r="E784" s="8"/>
      <c r="F784" s="8"/>
      <c r="H784" s="10"/>
      <c r="I784" s="10"/>
      <c r="J784" s="8"/>
      <c r="K784" s="8"/>
      <c r="L784" s="8"/>
    </row>
    <row r="785" ht="15.75" customHeight="1">
      <c r="A785" s="8"/>
      <c r="B785" s="8"/>
      <c r="D785" s="8"/>
      <c r="E785" s="8"/>
      <c r="F785" s="8"/>
      <c r="H785" s="10"/>
      <c r="I785" s="10"/>
      <c r="J785" s="8"/>
      <c r="K785" s="8"/>
      <c r="L785" s="8"/>
    </row>
    <row r="786" ht="15.75" customHeight="1">
      <c r="A786" s="8"/>
      <c r="B786" s="8"/>
      <c r="D786" s="8"/>
      <c r="E786" s="8"/>
      <c r="F786" s="8"/>
      <c r="H786" s="10"/>
      <c r="I786" s="10"/>
      <c r="J786" s="8"/>
      <c r="K786" s="8"/>
      <c r="L786" s="8"/>
    </row>
    <row r="787" ht="15.75" customHeight="1">
      <c r="A787" s="8"/>
      <c r="B787" s="8"/>
      <c r="D787" s="8"/>
      <c r="E787" s="8"/>
      <c r="F787" s="8"/>
      <c r="H787" s="10"/>
      <c r="I787" s="10"/>
      <c r="J787" s="8"/>
      <c r="K787" s="8"/>
      <c r="L787" s="8"/>
    </row>
    <row r="788" ht="15.75" customHeight="1">
      <c r="A788" s="8"/>
      <c r="B788" s="8"/>
      <c r="D788" s="8"/>
      <c r="E788" s="8"/>
      <c r="F788" s="8"/>
      <c r="H788" s="10"/>
      <c r="I788" s="10"/>
      <c r="J788" s="8"/>
      <c r="K788" s="8"/>
      <c r="L788" s="8"/>
    </row>
    <row r="789" ht="15.75" customHeight="1">
      <c r="A789" s="8"/>
      <c r="B789" s="8"/>
      <c r="D789" s="8"/>
      <c r="E789" s="8"/>
      <c r="F789" s="8"/>
      <c r="H789" s="10"/>
      <c r="I789" s="10"/>
      <c r="J789" s="8"/>
      <c r="K789" s="8"/>
      <c r="L789" s="8"/>
    </row>
    <row r="790" ht="15.75" customHeight="1">
      <c r="A790" s="8"/>
      <c r="B790" s="8"/>
      <c r="D790" s="8"/>
      <c r="E790" s="8"/>
      <c r="F790" s="8"/>
      <c r="H790" s="10"/>
      <c r="I790" s="10"/>
      <c r="J790" s="8"/>
      <c r="K790" s="8"/>
      <c r="L790" s="8"/>
    </row>
    <row r="791" ht="15.75" customHeight="1">
      <c r="A791" s="8"/>
      <c r="B791" s="8"/>
      <c r="D791" s="8"/>
      <c r="E791" s="8"/>
      <c r="F791" s="8"/>
      <c r="H791" s="10"/>
      <c r="I791" s="10"/>
      <c r="J791" s="8"/>
      <c r="K791" s="8"/>
      <c r="L791" s="8"/>
    </row>
    <row r="792" ht="15.75" customHeight="1">
      <c r="A792" s="8"/>
      <c r="B792" s="8"/>
      <c r="D792" s="8"/>
      <c r="E792" s="8"/>
      <c r="F792" s="8"/>
      <c r="H792" s="10"/>
      <c r="I792" s="10"/>
      <c r="J792" s="8"/>
      <c r="K792" s="8"/>
      <c r="L792" s="8"/>
    </row>
    <row r="793" ht="15.75" customHeight="1">
      <c r="A793" s="8"/>
      <c r="B793" s="8"/>
      <c r="D793" s="8"/>
      <c r="E793" s="8"/>
      <c r="F793" s="8"/>
      <c r="H793" s="10"/>
      <c r="I793" s="10"/>
      <c r="J793" s="8"/>
      <c r="K793" s="8"/>
      <c r="L793" s="8"/>
    </row>
    <row r="794" ht="15.75" customHeight="1">
      <c r="A794" s="8"/>
      <c r="B794" s="8"/>
      <c r="D794" s="8"/>
      <c r="E794" s="8"/>
      <c r="F794" s="8"/>
      <c r="H794" s="10"/>
      <c r="I794" s="10"/>
      <c r="J794" s="8"/>
      <c r="K794" s="8"/>
      <c r="L794" s="8"/>
    </row>
    <row r="795" ht="15.75" customHeight="1">
      <c r="A795" s="8"/>
      <c r="B795" s="8"/>
      <c r="D795" s="8"/>
      <c r="E795" s="8"/>
      <c r="F795" s="8"/>
      <c r="H795" s="10"/>
      <c r="I795" s="10"/>
      <c r="J795" s="8"/>
      <c r="K795" s="8"/>
      <c r="L795" s="8"/>
    </row>
    <row r="796" ht="15.75" customHeight="1">
      <c r="A796" s="8"/>
      <c r="B796" s="8"/>
      <c r="D796" s="8"/>
      <c r="E796" s="8"/>
      <c r="F796" s="8"/>
      <c r="H796" s="10"/>
      <c r="I796" s="10"/>
      <c r="J796" s="8"/>
      <c r="K796" s="8"/>
      <c r="L796" s="8"/>
    </row>
    <row r="797" ht="15.75" customHeight="1">
      <c r="A797" s="8"/>
      <c r="B797" s="8"/>
      <c r="D797" s="8"/>
      <c r="E797" s="8"/>
      <c r="F797" s="8"/>
      <c r="H797" s="10"/>
      <c r="I797" s="10"/>
      <c r="J797" s="8"/>
      <c r="K797" s="8"/>
      <c r="L797" s="8"/>
    </row>
    <row r="798" ht="15.75" customHeight="1">
      <c r="A798" s="8"/>
      <c r="B798" s="8"/>
      <c r="D798" s="8"/>
      <c r="E798" s="8"/>
      <c r="F798" s="8"/>
      <c r="H798" s="10"/>
      <c r="I798" s="10"/>
      <c r="J798" s="8"/>
      <c r="K798" s="8"/>
      <c r="L798" s="8"/>
    </row>
    <row r="799" ht="15.75" customHeight="1">
      <c r="A799" s="8"/>
      <c r="B799" s="8"/>
      <c r="D799" s="8"/>
      <c r="E799" s="8"/>
      <c r="F799" s="8"/>
      <c r="H799" s="10"/>
      <c r="I799" s="10"/>
      <c r="J799" s="8"/>
      <c r="K799" s="8"/>
      <c r="L799" s="8"/>
    </row>
    <row r="800" ht="15.75" customHeight="1">
      <c r="A800" s="8"/>
      <c r="B800" s="8"/>
      <c r="D800" s="8"/>
      <c r="E800" s="8"/>
      <c r="F800" s="8"/>
      <c r="H800" s="10"/>
      <c r="I800" s="10"/>
      <c r="J800" s="8"/>
      <c r="K800" s="8"/>
      <c r="L800" s="8"/>
    </row>
    <row r="801" ht="15.75" customHeight="1">
      <c r="A801" s="8"/>
      <c r="B801" s="8"/>
      <c r="D801" s="8"/>
      <c r="E801" s="8"/>
      <c r="F801" s="8"/>
      <c r="H801" s="10"/>
      <c r="I801" s="10"/>
      <c r="J801" s="8"/>
      <c r="K801" s="8"/>
      <c r="L801" s="8"/>
    </row>
    <row r="802" ht="15.75" customHeight="1">
      <c r="A802" s="8"/>
      <c r="B802" s="8"/>
      <c r="D802" s="8"/>
      <c r="E802" s="8"/>
      <c r="F802" s="8"/>
      <c r="H802" s="10"/>
      <c r="I802" s="10"/>
      <c r="J802" s="8"/>
      <c r="K802" s="8"/>
      <c r="L802" s="8"/>
    </row>
    <row r="803" ht="15.75" customHeight="1">
      <c r="A803" s="8"/>
      <c r="B803" s="8"/>
      <c r="D803" s="8"/>
      <c r="E803" s="8"/>
      <c r="F803" s="8"/>
      <c r="H803" s="10"/>
      <c r="I803" s="10"/>
      <c r="J803" s="8"/>
      <c r="K803" s="8"/>
      <c r="L803" s="8"/>
    </row>
    <row r="804" ht="15.75" customHeight="1">
      <c r="A804" s="8"/>
      <c r="B804" s="8"/>
      <c r="D804" s="8"/>
      <c r="E804" s="8"/>
      <c r="F804" s="8"/>
      <c r="H804" s="10"/>
      <c r="I804" s="10"/>
      <c r="J804" s="8"/>
      <c r="K804" s="8"/>
      <c r="L804" s="8"/>
    </row>
    <row r="805" ht="15.75" customHeight="1">
      <c r="A805" s="8"/>
      <c r="B805" s="8"/>
      <c r="D805" s="8"/>
      <c r="E805" s="8"/>
      <c r="F805" s="8"/>
      <c r="H805" s="10"/>
      <c r="I805" s="10"/>
      <c r="J805" s="8"/>
      <c r="K805" s="8"/>
      <c r="L805" s="8"/>
    </row>
    <row r="806" ht="15.75" customHeight="1">
      <c r="A806" s="8"/>
      <c r="B806" s="8"/>
      <c r="D806" s="8"/>
      <c r="E806" s="8"/>
      <c r="F806" s="8"/>
      <c r="H806" s="10"/>
      <c r="I806" s="10"/>
      <c r="J806" s="8"/>
      <c r="K806" s="8"/>
      <c r="L806" s="8"/>
    </row>
    <row r="807" ht="15.75" customHeight="1">
      <c r="A807" s="8"/>
      <c r="B807" s="8"/>
      <c r="D807" s="8"/>
      <c r="E807" s="8"/>
      <c r="F807" s="8"/>
      <c r="H807" s="10"/>
      <c r="I807" s="10"/>
      <c r="J807" s="8"/>
      <c r="K807" s="8"/>
      <c r="L807" s="8"/>
    </row>
    <row r="808" ht="15.75" customHeight="1">
      <c r="A808" s="8"/>
      <c r="B808" s="8"/>
      <c r="D808" s="8"/>
      <c r="E808" s="8"/>
      <c r="F808" s="8"/>
      <c r="H808" s="10"/>
      <c r="I808" s="10"/>
      <c r="J808" s="8"/>
      <c r="K808" s="8"/>
      <c r="L808" s="8"/>
    </row>
    <row r="809" ht="15.75" customHeight="1">
      <c r="A809" s="8"/>
      <c r="B809" s="8"/>
      <c r="D809" s="8"/>
      <c r="E809" s="8"/>
      <c r="F809" s="8"/>
      <c r="H809" s="10"/>
      <c r="I809" s="10"/>
      <c r="J809" s="8"/>
      <c r="K809" s="8"/>
      <c r="L809" s="8"/>
    </row>
    <row r="810" ht="15.75" customHeight="1">
      <c r="A810" s="8"/>
      <c r="B810" s="8"/>
      <c r="D810" s="8"/>
      <c r="E810" s="8"/>
      <c r="F810" s="8"/>
      <c r="H810" s="10"/>
      <c r="I810" s="10"/>
      <c r="J810" s="8"/>
      <c r="K810" s="8"/>
      <c r="L810" s="8"/>
    </row>
    <row r="811" ht="15.75" customHeight="1">
      <c r="A811" s="8"/>
      <c r="B811" s="8"/>
      <c r="D811" s="8"/>
      <c r="E811" s="8"/>
      <c r="F811" s="8"/>
      <c r="H811" s="10"/>
      <c r="I811" s="10"/>
      <c r="J811" s="8"/>
      <c r="K811" s="8"/>
      <c r="L811" s="8"/>
    </row>
    <row r="812" ht="15.75" customHeight="1">
      <c r="A812" s="8"/>
      <c r="B812" s="8"/>
      <c r="D812" s="8"/>
      <c r="E812" s="8"/>
      <c r="F812" s="8"/>
      <c r="H812" s="10"/>
      <c r="I812" s="10"/>
      <c r="J812" s="8"/>
      <c r="K812" s="8"/>
      <c r="L812" s="8"/>
    </row>
    <row r="813" ht="15.75" customHeight="1">
      <c r="A813" s="8"/>
      <c r="B813" s="8"/>
      <c r="D813" s="8"/>
      <c r="E813" s="8"/>
      <c r="F813" s="8"/>
      <c r="H813" s="10"/>
      <c r="I813" s="10"/>
      <c r="J813" s="8"/>
      <c r="K813" s="8"/>
      <c r="L813" s="8"/>
    </row>
    <row r="814" ht="15.75" customHeight="1">
      <c r="A814" s="8"/>
      <c r="B814" s="8"/>
      <c r="D814" s="8"/>
      <c r="E814" s="8"/>
      <c r="F814" s="8"/>
      <c r="H814" s="10"/>
      <c r="I814" s="10"/>
      <c r="J814" s="8"/>
      <c r="K814" s="8"/>
      <c r="L814" s="8"/>
    </row>
    <row r="815" ht="15.75" customHeight="1">
      <c r="A815" s="8"/>
      <c r="B815" s="8"/>
      <c r="D815" s="8"/>
      <c r="E815" s="8"/>
      <c r="F815" s="8"/>
      <c r="H815" s="10"/>
      <c r="I815" s="10"/>
      <c r="J815" s="8"/>
      <c r="K815" s="8"/>
      <c r="L815" s="8"/>
    </row>
    <row r="816" ht="15.75" customHeight="1">
      <c r="A816" s="8"/>
      <c r="B816" s="8"/>
      <c r="D816" s="8"/>
      <c r="E816" s="8"/>
      <c r="F816" s="8"/>
      <c r="H816" s="10"/>
      <c r="I816" s="10"/>
      <c r="J816" s="8"/>
      <c r="K816" s="8"/>
      <c r="L816" s="8"/>
    </row>
    <row r="817" ht="15.75" customHeight="1">
      <c r="A817" s="8"/>
      <c r="B817" s="8"/>
      <c r="D817" s="8"/>
      <c r="E817" s="8"/>
      <c r="F817" s="8"/>
      <c r="H817" s="10"/>
      <c r="I817" s="10"/>
      <c r="J817" s="8"/>
      <c r="K817" s="8"/>
      <c r="L817" s="8"/>
    </row>
    <row r="818" ht="15.75" customHeight="1">
      <c r="A818" s="8"/>
      <c r="B818" s="8"/>
      <c r="D818" s="8"/>
      <c r="E818" s="8"/>
      <c r="F818" s="8"/>
      <c r="H818" s="10"/>
      <c r="I818" s="10"/>
      <c r="J818" s="8"/>
      <c r="K818" s="8"/>
      <c r="L818" s="8"/>
    </row>
    <row r="819" ht="15.75" customHeight="1">
      <c r="A819" s="8"/>
      <c r="B819" s="8"/>
      <c r="D819" s="8"/>
      <c r="E819" s="8"/>
      <c r="F819" s="8"/>
      <c r="H819" s="10"/>
      <c r="I819" s="10"/>
      <c r="J819" s="8"/>
      <c r="K819" s="8"/>
      <c r="L819" s="8"/>
    </row>
    <row r="820" ht="15.75" customHeight="1">
      <c r="A820" s="8"/>
      <c r="B820" s="8"/>
      <c r="D820" s="8"/>
      <c r="E820" s="8"/>
      <c r="F820" s="8"/>
      <c r="H820" s="10"/>
      <c r="I820" s="10"/>
      <c r="J820" s="8"/>
      <c r="K820" s="8"/>
      <c r="L820" s="8"/>
    </row>
    <row r="821" ht="15.75" customHeight="1">
      <c r="A821" s="8"/>
      <c r="B821" s="8"/>
      <c r="D821" s="8"/>
      <c r="E821" s="8"/>
      <c r="F821" s="8"/>
      <c r="H821" s="10"/>
      <c r="I821" s="10"/>
      <c r="J821" s="8"/>
      <c r="K821" s="8"/>
      <c r="L821" s="8"/>
    </row>
    <row r="822" ht="15.75" customHeight="1">
      <c r="A822" s="8"/>
      <c r="B822" s="8"/>
      <c r="D822" s="8"/>
      <c r="E822" s="8"/>
      <c r="F822" s="8"/>
      <c r="H822" s="10"/>
      <c r="I822" s="10"/>
      <c r="J822" s="8"/>
      <c r="K822" s="8"/>
      <c r="L822" s="8"/>
    </row>
    <row r="823" ht="15.75" customHeight="1">
      <c r="A823" s="8"/>
      <c r="B823" s="8"/>
      <c r="D823" s="8"/>
      <c r="E823" s="8"/>
      <c r="F823" s="8"/>
      <c r="H823" s="10"/>
      <c r="I823" s="10"/>
      <c r="J823" s="8"/>
      <c r="K823" s="8"/>
      <c r="L823" s="8"/>
    </row>
    <row r="824" ht="15.75" customHeight="1">
      <c r="A824" s="8"/>
      <c r="B824" s="8"/>
      <c r="D824" s="8"/>
      <c r="E824" s="8"/>
      <c r="F824" s="8"/>
      <c r="H824" s="10"/>
      <c r="I824" s="10"/>
      <c r="J824" s="8"/>
      <c r="K824" s="8"/>
      <c r="L824" s="8"/>
    </row>
    <row r="825" ht="15.75" customHeight="1">
      <c r="A825" s="8"/>
      <c r="B825" s="8"/>
      <c r="D825" s="8"/>
      <c r="E825" s="8"/>
      <c r="F825" s="8"/>
      <c r="H825" s="10"/>
      <c r="I825" s="10"/>
      <c r="J825" s="8"/>
      <c r="K825" s="8"/>
      <c r="L825" s="8"/>
    </row>
    <row r="826" ht="15.75" customHeight="1">
      <c r="A826" s="8"/>
      <c r="B826" s="8"/>
      <c r="D826" s="8"/>
      <c r="E826" s="8"/>
      <c r="F826" s="8"/>
      <c r="H826" s="10"/>
      <c r="I826" s="10"/>
      <c r="J826" s="8"/>
      <c r="K826" s="8"/>
      <c r="L826" s="8"/>
    </row>
    <row r="827" ht="15.75" customHeight="1">
      <c r="A827" s="8"/>
      <c r="B827" s="8"/>
      <c r="D827" s="8"/>
      <c r="E827" s="8"/>
      <c r="F827" s="8"/>
      <c r="H827" s="10"/>
      <c r="I827" s="10"/>
      <c r="J827" s="8"/>
      <c r="K827" s="8"/>
      <c r="L827" s="8"/>
    </row>
    <row r="828" ht="15.75" customHeight="1">
      <c r="A828" s="8"/>
      <c r="B828" s="8"/>
      <c r="D828" s="8"/>
      <c r="E828" s="8"/>
      <c r="F828" s="8"/>
      <c r="H828" s="10"/>
      <c r="I828" s="10"/>
      <c r="J828" s="8"/>
      <c r="K828" s="8"/>
      <c r="L828" s="8"/>
    </row>
    <row r="829" ht="15.75" customHeight="1">
      <c r="A829" s="8"/>
      <c r="B829" s="8"/>
      <c r="D829" s="8"/>
      <c r="E829" s="8"/>
      <c r="F829" s="8"/>
      <c r="H829" s="10"/>
      <c r="I829" s="10"/>
      <c r="J829" s="8"/>
      <c r="K829" s="8"/>
      <c r="L829" s="8"/>
    </row>
    <row r="830" ht="15.75" customHeight="1">
      <c r="A830" s="8"/>
      <c r="B830" s="8"/>
      <c r="D830" s="8"/>
      <c r="E830" s="8"/>
      <c r="F830" s="8"/>
      <c r="H830" s="10"/>
      <c r="I830" s="10"/>
      <c r="J830" s="8"/>
      <c r="K830" s="8"/>
      <c r="L830" s="8"/>
    </row>
    <row r="831" ht="15.75" customHeight="1">
      <c r="A831" s="8"/>
      <c r="B831" s="8"/>
      <c r="D831" s="8"/>
      <c r="E831" s="8"/>
      <c r="F831" s="8"/>
      <c r="H831" s="10"/>
      <c r="I831" s="10"/>
      <c r="J831" s="8"/>
      <c r="K831" s="8"/>
      <c r="L831" s="8"/>
    </row>
    <row r="832" ht="15.75" customHeight="1">
      <c r="A832" s="8"/>
      <c r="B832" s="8"/>
      <c r="D832" s="8"/>
      <c r="E832" s="8"/>
      <c r="F832" s="8"/>
      <c r="H832" s="10"/>
      <c r="I832" s="10"/>
      <c r="J832" s="8"/>
      <c r="K832" s="8"/>
      <c r="L832" s="8"/>
    </row>
    <row r="833" ht="15.75" customHeight="1">
      <c r="A833" s="8"/>
      <c r="B833" s="8"/>
      <c r="D833" s="8"/>
      <c r="E833" s="8"/>
      <c r="F833" s="8"/>
      <c r="H833" s="10"/>
      <c r="I833" s="10"/>
      <c r="J833" s="8"/>
      <c r="K833" s="8"/>
      <c r="L833" s="8"/>
    </row>
    <row r="834" ht="15.75" customHeight="1">
      <c r="A834" s="8"/>
      <c r="B834" s="8"/>
      <c r="D834" s="8"/>
      <c r="E834" s="8"/>
      <c r="F834" s="8"/>
      <c r="H834" s="10"/>
      <c r="I834" s="10"/>
      <c r="J834" s="8"/>
      <c r="K834" s="8"/>
      <c r="L834" s="8"/>
    </row>
    <row r="835" ht="15.75" customHeight="1">
      <c r="A835" s="8"/>
      <c r="B835" s="8"/>
      <c r="D835" s="8"/>
      <c r="E835" s="8"/>
      <c r="F835" s="8"/>
      <c r="H835" s="10"/>
      <c r="I835" s="10"/>
      <c r="J835" s="8"/>
      <c r="K835" s="8"/>
      <c r="L835" s="8"/>
    </row>
    <row r="836" ht="15.75" customHeight="1">
      <c r="A836" s="8"/>
      <c r="B836" s="8"/>
      <c r="D836" s="8"/>
      <c r="E836" s="8"/>
      <c r="F836" s="8"/>
      <c r="H836" s="10"/>
      <c r="I836" s="10"/>
      <c r="J836" s="8"/>
      <c r="K836" s="8"/>
      <c r="L836" s="8"/>
    </row>
    <row r="837" ht="15.75" customHeight="1">
      <c r="A837" s="8"/>
      <c r="B837" s="8"/>
      <c r="D837" s="8"/>
      <c r="E837" s="8"/>
      <c r="F837" s="8"/>
      <c r="H837" s="10"/>
      <c r="I837" s="10"/>
      <c r="J837" s="8"/>
      <c r="K837" s="8"/>
      <c r="L837" s="8"/>
    </row>
    <row r="838" ht="15.75" customHeight="1">
      <c r="A838" s="8"/>
      <c r="B838" s="8"/>
      <c r="D838" s="8"/>
      <c r="E838" s="8"/>
      <c r="F838" s="8"/>
      <c r="H838" s="10"/>
      <c r="I838" s="10"/>
      <c r="J838" s="8"/>
      <c r="K838" s="8"/>
      <c r="L838" s="8"/>
    </row>
    <row r="839" ht="15.75" customHeight="1">
      <c r="A839" s="8"/>
      <c r="B839" s="8"/>
      <c r="D839" s="8"/>
      <c r="E839" s="8"/>
      <c r="F839" s="8"/>
      <c r="H839" s="10"/>
      <c r="I839" s="10"/>
      <c r="J839" s="8"/>
      <c r="K839" s="8"/>
      <c r="L839" s="8"/>
    </row>
    <row r="840" ht="15.75" customHeight="1">
      <c r="A840" s="8"/>
      <c r="B840" s="8"/>
      <c r="D840" s="8"/>
      <c r="E840" s="8"/>
      <c r="F840" s="8"/>
      <c r="H840" s="10"/>
      <c r="I840" s="10"/>
      <c r="J840" s="8"/>
      <c r="K840" s="8"/>
      <c r="L840" s="8"/>
    </row>
    <row r="841" ht="15.75" customHeight="1">
      <c r="A841" s="8"/>
      <c r="B841" s="8"/>
      <c r="D841" s="8"/>
      <c r="E841" s="8"/>
      <c r="F841" s="8"/>
      <c r="H841" s="10"/>
      <c r="I841" s="10"/>
      <c r="J841" s="8"/>
      <c r="K841" s="8"/>
      <c r="L841" s="8"/>
    </row>
    <row r="842" ht="15.75" customHeight="1">
      <c r="A842" s="8"/>
      <c r="B842" s="8"/>
      <c r="D842" s="8"/>
      <c r="E842" s="8"/>
      <c r="F842" s="8"/>
      <c r="H842" s="10"/>
      <c r="I842" s="10"/>
      <c r="J842" s="8"/>
      <c r="K842" s="8"/>
      <c r="L842" s="8"/>
    </row>
    <row r="843" ht="15.75" customHeight="1">
      <c r="A843" s="8"/>
      <c r="B843" s="8"/>
      <c r="D843" s="8"/>
      <c r="E843" s="8"/>
      <c r="F843" s="8"/>
      <c r="H843" s="10"/>
      <c r="I843" s="10"/>
      <c r="J843" s="8"/>
      <c r="K843" s="8"/>
      <c r="L843" s="8"/>
    </row>
    <row r="844" ht="15.75" customHeight="1">
      <c r="A844" s="8"/>
      <c r="B844" s="8"/>
      <c r="D844" s="8"/>
      <c r="E844" s="8"/>
      <c r="F844" s="8"/>
      <c r="H844" s="10"/>
      <c r="I844" s="10"/>
      <c r="J844" s="8"/>
      <c r="K844" s="8"/>
      <c r="L844" s="8"/>
    </row>
    <row r="845" ht="15.75" customHeight="1">
      <c r="A845" s="8"/>
      <c r="B845" s="8"/>
      <c r="D845" s="8"/>
      <c r="E845" s="8"/>
      <c r="F845" s="8"/>
      <c r="H845" s="10"/>
      <c r="I845" s="10"/>
      <c r="J845" s="8"/>
      <c r="K845" s="8"/>
      <c r="L845" s="8"/>
    </row>
    <row r="846" ht="15.75" customHeight="1">
      <c r="A846" s="8"/>
      <c r="B846" s="8"/>
      <c r="D846" s="8"/>
      <c r="E846" s="8"/>
      <c r="F846" s="8"/>
      <c r="H846" s="10"/>
      <c r="I846" s="10"/>
      <c r="J846" s="8"/>
      <c r="K846" s="8"/>
      <c r="L846" s="8"/>
    </row>
    <row r="847" ht="15.75" customHeight="1">
      <c r="A847" s="8"/>
      <c r="B847" s="8"/>
      <c r="D847" s="8"/>
      <c r="E847" s="8"/>
      <c r="F847" s="8"/>
      <c r="H847" s="10"/>
      <c r="I847" s="10"/>
      <c r="J847" s="8"/>
      <c r="K847" s="8"/>
      <c r="L847" s="8"/>
    </row>
    <row r="848" ht="15.75" customHeight="1">
      <c r="A848" s="8"/>
      <c r="B848" s="8"/>
      <c r="D848" s="8"/>
      <c r="E848" s="8"/>
      <c r="F848" s="8"/>
      <c r="H848" s="10"/>
      <c r="I848" s="10"/>
      <c r="J848" s="8"/>
      <c r="K848" s="8"/>
      <c r="L848" s="8"/>
    </row>
    <row r="849" ht="15.75" customHeight="1">
      <c r="A849" s="8"/>
      <c r="B849" s="8"/>
      <c r="D849" s="8"/>
      <c r="E849" s="8"/>
      <c r="F849" s="8"/>
      <c r="H849" s="10"/>
      <c r="I849" s="10"/>
      <c r="J849" s="8"/>
      <c r="K849" s="8"/>
      <c r="L849" s="8"/>
    </row>
    <row r="850" ht="15.75" customHeight="1">
      <c r="A850" s="8"/>
      <c r="B850" s="8"/>
      <c r="D850" s="8"/>
      <c r="E850" s="8"/>
      <c r="F850" s="8"/>
      <c r="H850" s="10"/>
      <c r="I850" s="10"/>
      <c r="J850" s="8"/>
      <c r="K850" s="8"/>
      <c r="L850" s="8"/>
    </row>
    <row r="851" ht="15.75" customHeight="1">
      <c r="A851" s="8"/>
      <c r="B851" s="8"/>
      <c r="D851" s="8"/>
      <c r="E851" s="8"/>
      <c r="F851" s="8"/>
      <c r="H851" s="10"/>
      <c r="I851" s="10"/>
      <c r="J851" s="8"/>
      <c r="K851" s="8"/>
      <c r="L851" s="8"/>
    </row>
    <row r="852" ht="15.75" customHeight="1">
      <c r="A852" s="8"/>
      <c r="B852" s="8"/>
      <c r="D852" s="8"/>
      <c r="E852" s="8"/>
      <c r="F852" s="8"/>
      <c r="H852" s="10"/>
      <c r="I852" s="10"/>
      <c r="J852" s="8"/>
      <c r="K852" s="8"/>
      <c r="L852" s="8"/>
    </row>
    <row r="853" ht="15.75" customHeight="1">
      <c r="A853" s="8"/>
      <c r="B853" s="8"/>
      <c r="D853" s="8"/>
      <c r="E853" s="8"/>
      <c r="F853" s="8"/>
      <c r="H853" s="10"/>
      <c r="I853" s="10"/>
      <c r="J853" s="8"/>
      <c r="K853" s="8"/>
      <c r="L853" s="8"/>
    </row>
    <row r="854" ht="15.75" customHeight="1">
      <c r="A854" s="8"/>
      <c r="B854" s="8"/>
      <c r="D854" s="8"/>
      <c r="E854" s="8"/>
      <c r="F854" s="8"/>
      <c r="H854" s="10"/>
      <c r="I854" s="10"/>
      <c r="J854" s="8"/>
      <c r="K854" s="8"/>
      <c r="L854" s="8"/>
    </row>
    <row r="855" ht="15.75" customHeight="1">
      <c r="A855" s="8"/>
      <c r="B855" s="8"/>
      <c r="D855" s="8"/>
      <c r="E855" s="8"/>
      <c r="F855" s="8"/>
      <c r="H855" s="10"/>
      <c r="I855" s="10"/>
      <c r="J855" s="8"/>
      <c r="K855" s="8"/>
      <c r="L855" s="8"/>
    </row>
    <row r="856" ht="15.75" customHeight="1">
      <c r="A856" s="8"/>
      <c r="B856" s="8"/>
      <c r="D856" s="8"/>
      <c r="E856" s="8"/>
      <c r="F856" s="8"/>
      <c r="H856" s="10"/>
      <c r="I856" s="10"/>
      <c r="J856" s="8"/>
      <c r="K856" s="8"/>
      <c r="L856" s="8"/>
    </row>
    <row r="857" ht="15.75" customHeight="1">
      <c r="A857" s="8"/>
      <c r="B857" s="8"/>
      <c r="D857" s="8"/>
      <c r="E857" s="8"/>
      <c r="F857" s="8"/>
      <c r="H857" s="10"/>
      <c r="I857" s="10"/>
      <c r="J857" s="8"/>
      <c r="K857" s="8"/>
      <c r="L857" s="8"/>
    </row>
    <row r="858" ht="15.75" customHeight="1">
      <c r="A858" s="8"/>
      <c r="B858" s="8"/>
      <c r="D858" s="8"/>
      <c r="E858" s="8"/>
      <c r="F858" s="8"/>
      <c r="H858" s="10"/>
      <c r="I858" s="10"/>
      <c r="J858" s="8"/>
      <c r="K858" s="8"/>
      <c r="L858" s="8"/>
    </row>
    <row r="859" ht="15.75" customHeight="1">
      <c r="A859" s="8"/>
      <c r="B859" s="8"/>
      <c r="D859" s="8"/>
      <c r="E859" s="8"/>
      <c r="F859" s="8"/>
      <c r="H859" s="10"/>
      <c r="I859" s="10"/>
      <c r="J859" s="8"/>
      <c r="K859" s="8"/>
      <c r="L859" s="8"/>
    </row>
    <row r="860" ht="15.75" customHeight="1">
      <c r="A860" s="8"/>
      <c r="B860" s="8"/>
      <c r="D860" s="8"/>
      <c r="E860" s="8"/>
      <c r="F860" s="8"/>
      <c r="H860" s="10"/>
      <c r="I860" s="10"/>
      <c r="J860" s="8"/>
      <c r="K860" s="8"/>
      <c r="L860" s="8"/>
    </row>
    <row r="861" ht="15.75" customHeight="1">
      <c r="A861" s="8"/>
      <c r="B861" s="8"/>
      <c r="D861" s="8"/>
      <c r="E861" s="8"/>
      <c r="F861" s="8"/>
      <c r="H861" s="10"/>
      <c r="I861" s="10"/>
      <c r="J861" s="8"/>
      <c r="K861" s="8"/>
      <c r="L861" s="8"/>
    </row>
    <row r="862" ht="15.75" customHeight="1">
      <c r="A862" s="8"/>
      <c r="B862" s="8"/>
      <c r="D862" s="8"/>
      <c r="E862" s="8"/>
      <c r="F862" s="8"/>
      <c r="H862" s="10"/>
      <c r="I862" s="10"/>
      <c r="J862" s="8"/>
      <c r="K862" s="8"/>
      <c r="L862" s="8"/>
    </row>
    <row r="863" ht="15.75" customHeight="1">
      <c r="A863" s="8"/>
      <c r="B863" s="8"/>
      <c r="D863" s="8"/>
      <c r="E863" s="8"/>
      <c r="F863" s="8"/>
      <c r="H863" s="10"/>
      <c r="I863" s="10"/>
      <c r="J863" s="8"/>
      <c r="K863" s="8"/>
      <c r="L863" s="8"/>
    </row>
    <row r="864" ht="15.75" customHeight="1">
      <c r="A864" s="8"/>
      <c r="B864" s="8"/>
      <c r="D864" s="8"/>
      <c r="E864" s="8"/>
      <c r="F864" s="8"/>
      <c r="H864" s="10"/>
      <c r="I864" s="10"/>
      <c r="J864" s="8"/>
      <c r="K864" s="8"/>
      <c r="L864" s="8"/>
    </row>
    <row r="865" ht="15.75" customHeight="1">
      <c r="A865" s="8"/>
      <c r="B865" s="8"/>
      <c r="D865" s="8"/>
      <c r="E865" s="8"/>
      <c r="F865" s="8"/>
      <c r="H865" s="10"/>
      <c r="I865" s="10"/>
      <c r="J865" s="8"/>
      <c r="K865" s="8"/>
      <c r="L865" s="8"/>
    </row>
    <row r="866" ht="15.75" customHeight="1">
      <c r="A866" s="8"/>
      <c r="B866" s="8"/>
      <c r="D866" s="8"/>
      <c r="E866" s="8"/>
      <c r="F866" s="8"/>
      <c r="H866" s="10"/>
      <c r="I866" s="10"/>
      <c r="J866" s="8"/>
      <c r="K866" s="8"/>
      <c r="L866" s="8"/>
    </row>
    <row r="867" ht="15.75" customHeight="1">
      <c r="A867" s="8"/>
      <c r="B867" s="8"/>
      <c r="D867" s="8"/>
      <c r="E867" s="8"/>
      <c r="F867" s="8"/>
      <c r="H867" s="10"/>
      <c r="I867" s="10"/>
      <c r="J867" s="8"/>
      <c r="K867" s="8"/>
      <c r="L867" s="8"/>
    </row>
    <row r="868" ht="15.75" customHeight="1">
      <c r="A868" s="8"/>
      <c r="B868" s="8"/>
      <c r="D868" s="8"/>
      <c r="E868" s="8"/>
      <c r="F868" s="8"/>
      <c r="H868" s="10"/>
      <c r="I868" s="10"/>
      <c r="J868" s="8"/>
      <c r="K868" s="8"/>
      <c r="L868" s="8"/>
    </row>
    <row r="869" ht="15.75" customHeight="1">
      <c r="A869" s="8"/>
      <c r="B869" s="8"/>
      <c r="D869" s="8"/>
      <c r="E869" s="8"/>
      <c r="F869" s="8"/>
      <c r="H869" s="10"/>
      <c r="I869" s="10"/>
      <c r="J869" s="8"/>
      <c r="K869" s="8"/>
      <c r="L869" s="8"/>
    </row>
    <row r="870" ht="15.75" customHeight="1">
      <c r="A870" s="8"/>
      <c r="B870" s="8"/>
      <c r="D870" s="8"/>
      <c r="E870" s="8"/>
      <c r="F870" s="8"/>
      <c r="H870" s="10"/>
      <c r="I870" s="10"/>
      <c r="J870" s="8"/>
      <c r="K870" s="8"/>
      <c r="L870" s="8"/>
    </row>
    <row r="871" ht="15.75" customHeight="1">
      <c r="A871" s="8"/>
      <c r="B871" s="8"/>
      <c r="D871" s="8"/>
      <c r="E871" s="8"/>
      <c r="F871" s="8"/>
      <c r="H871" s="10"/>
      <c r="I871" s="10"/>
      <c r="J871" s="8"/>
      <c r="K871" s="8"/>
      <c r="L871" s="8"/>
    </row>
    <row r="872" ht="15.75" customHeight="1">
      <c r="A872" s="8"/>
      <c r="B872" s="8"/>
      <c r="D872" s="8"/>
      <c r="E872" s="8"/>
      <c r="F872" s="8"/>
      <c r="H872" s="10"/>
      <c r="I872" s="10"/>
      <c r="J872" s="8"/>
      <c r="K872" s="8"/>
      <c r="L872" s="8"/>
    </row>
    <row r="873" ht="15.75" customHeight="1">
      <c r="A873" s="8"/>
      <c r="B873" s="8"/>
      <c r="D873" s="8"/>
      <c r="E873" s="8"/>
      <c r="F873" s="8"/>
      <c r="H873" s="10"/>
      <c r="I873" s="10"/>
      <c r="J873" s="8"/>
      <c r="K873" s="8"/>
      <c r="L873" s="8"/>
    </row>
    <row r="874" ht="15.75" customHeight="1">
      <c r="A874" s="8"/>
      <c r="B874" s="8"/>
      <c r="D874" s="8"/>
      <c r="E874" s="8"/>
      <c r="F874" s="8"/>
      <c r="H874" s="10"/>
      <c r="I874" s="10"/>
      <c r="J874" s="8"/>
      <c r="K874" s="8"/>
      <c r="L874" s="8"/>
    </row>
    <row r="875" ht="15.75" customHeight="1">
      <c r="A875" s="8"/>
      <c r="B875" s="8"/>
      <c r="D875" s="8"/>
      <c r="E875" s="8"/>
      <c r="F875" s="8"/>
      <c r="H875" s="10"/>
      <c r="I875" s="10"/>
      <c r="J875" s="8"/>
      <c r="K875" s="8"/>
      <c r="L875" s="8"/>
    </row>
    <row r="876" ht="15.75" customHeight="1">
      <c r="A876" s="8"/>
      <c r="B876" s="8"/>
      <c r="D876" s="8"/>
      <c r="E876" s="8"/>
      <c r="F876" s="8"/>
      <c r="H876" s="10"/>
      <c r="I876" s="10"/>
      <c r="J876" s="8"/>
      <c r="K876" s="8"/>
      <c r="L876" s="8"/>
    </row>
    <row r="877" ht="15.75" customHeight="1">
      <c r="A877" s="8"/>
      <c r="B877" s="8"/>
      <c r="D877" s="8"/>
      <c r="E877" s="8"/>
      <c r="F877" s="8"/>
      <c r="H877" s="10"/>
      <c r="I877" s="10"/>
      <c r="J877" s="8"/>
      <c r="K877" s="8"/>
      <c r="L877" s="8"/>
    </row>
    <row r="878" ht="15.75" customHeight="1">
      <c r="A878" s="8"/>
      <c r="B878" s="8"/>
      <c r="D878" s="8"/>
      <c r="E878" s="8"/>
      <c r="F878" s="8"/>
      <c r="H878" s="10"/>
      <c r="I878" s="10"/>
      <c r="J878" s="8"/>
      <c r="K878" s="8"/>
      <c r="L878" s="8"/>
    </row>
    <row r="879" ht="15.75" customHeight="1">
      <c r="A879" s="8"/>
      <c r="B879" s="8"/>
      <c r="D879" s="8"/>
      <c r="E879" s="8"/>
      <c r="F879" s="8"/>
      <c r="H879" s="10"/>
      <c r="I879" s="10"/>
      <c r="J879" s="8"/>
      <c r="K879" s="8"/>
      <c r="L879" s="8"/>
    </row>
    <row r="880" ht="15.75" customHeight="1">
      <c r="A880" s="8"/>
      <c r="B880" s="8"/>
      <c r="D880" s="8"/>
      <c r="E880" s="8"/>
      <c r="F880" s="8"/>
      <c r="H880" s="10"/>
      <c r="I880" s="10"/>
      <c r="J880" s="8"/>
      <c r="K880" s="8"/>
      <c r="L880" s="8"/>
    </row>
    <row r="881" ht="15.75" customHeight="1">
      <c r="A881" s="8"/>
      <c r="B881" s="8"/>
      <c r="D881" s="8"/>
      <c r="E881" s="8"/>
      <c r="F881" s="8"/>
      <c r="H881" s="10"/>
      <c r="I881" s="10"/>
      <c r="J881" s="8"/>
      <c r="K881" s="8"/>
      <c r="L881" s="8"/>
    </row>
    <row r="882" ht="15.75" customHeight="1">
      <c r="A882" s="8"/>
      <c r="B882" s="8"/>
      <c r="D882" s="8"/>
      <c r="E882" s="8"/>
      <c r="F882" s="8"/>
      <c r="H882" s="10"/>
      <c r="I882" s="10"/>
      <c r="J882" s="8"/>
      <c r="K882" s="8"/>
      <c r="L882" s="8"/>
    </row>
    <row r="883" ht="15.75" customHeight="1">
      <c r="A883" s="8"/>
      <c r="B883" s="8"/>
      <c r="D883" s="8"/>
      <c r="E883" s="8"/>
      <c r="F883" s="8"/>
      <c r="H883" s="10"/>
      <c r="I883" s="10"/>
      <c r="J883" s="8"/>
      <c r="K883" s="8"/>
      <c r="L883" s="8"/>
    </row>
    <row r="884" ht="15.75" customHeight="1">
      <c r="A884" s="8"/>
      <c r="B884" s="8"/>
      <c r="D884" s="8"/>
      <c r="E884" s="8"/>
      <c r="F884" s="8"/>
      <c r="H884" s="10"/>
      <c r="I884" s="10"/>
      <c r="J884" s="8"/>
      <c r="K884" s="8"/>
      <c r="L884" s="8"/>
    </row>
    <row r="885" ht="15.75" customHeight="1">
      <c r="A885" s="8"/>
      <c r="B885" s="8"/>
      <c r="D885" s="8"/>
      <c r="E885" s="8"/>
      <c r="F885" s="8"/>
      <c r="H885" s="10"/>
      <c r="I885" s="10"/>
      <c r="J885" s="8"/>
      <c r="K885" s="8"/>
      <c r="L885" s="8"/>
    </row>
    <row r="886" ht="15.75" customHeight="1">
      <c r="A886" s="8"/>
      <c r="B886" s="8"/>
      <c r="D886" s="8"/>
      <c r="E886" s="8"/>
      <c r="F886" s="8"/>
      <c r="H886" s="10"/>
      <c r="I886" s="10"/>
      <c r="J886" s="8"/>
      <c r="K886" s="8"/>
      <c r="L886" s="8"/>
    </row>
    <row r="887" ht="15.75" customHeight="1">
      <c r="A887" s="8"/>
      <c r="B887" s="8"/>
      <c r="D887" s="8"/>
      <c r="E887" s="8"/>
      <c r="F887" s="8"/>
      <c r="H887" s="10"/>
      <c r="I887" s="10"/>
      <c r="J887" s="8"/>
      <c r="K887" s="8"/>
      <c r="L887" s="8"/>
    </row>
    <row r="888" ht="15.75" customHeight="1">
      <c r="A888" s="8"/>
      <c r="B888" s="8"/>
      <c r="D888" s="8"/>
      <c r="E888" s="8"/>
      <c r="F888" s="8"/>
      <c r="H888" s="10"/>
      <c r="I888" s="10"/>
      <c r="J888" s="8"/>
      <c r="K888" s="8"/>
      <c r="L888" s="8"/>
    </row>
    <row r="889" ht="15.75" customHeight="1">
      <c r="A889" s="8"/>
      <c r="B889" s="8"/>
      <c r="D889" s="8"/>
      <c r="E889" s="8"/>
      <c r="F889" s="8"/>
      <c r="H889" s="10"/>
      <c r="I889" s="10"/>
      <c r="J889" s="8"/>
      <c r="K889" s="8"/>
      <c r="L889" s="8"/>
    </row>
    <row r="890" ht="15.75" customHeight="1">
      <c r="A890" s="8"/>
      <c r="B890" s="8"/>
      <c r="D890" s="8"/>
      <c r="E890" s="8"/>
      <c r="F890" s="8"/>
      <c r="H890" s="10"/>
      <c r="I890" s="10"/>
      <c r="J890" s="8"/>
      <c r="K890" s="8"/>
      <c r="L890" s="8"/>
    </row>
    <row r="891" ht="15.75" customHeight="1">
      <c r="A891" s="8"/>
      <c r="B891" s="8"/>
      <c r="D891" s="8"/>
      <c r="E891" s="8"/>
      <c r="F891" s="8"/>
      <c r="H891" s="10"/>
      <c r="I891" s="10"/>
      <c r="J891" s="8"/>
      <c r="K891" s="8"/>
      <c r="L891" s="8"/>
    </row>
    <row r="892" ht="15.75" customHeight="1">
      <c r="A892" s="8"/>
      <c r="B892" s="8"/>
      <c r="D892" s="8"/>
      <c r="E892" s="8"/>
      <c r="F892" s="8"/>
      <c r="H892" s="10"/>
      <c r="I892" s="10"/>
      <c r="J892" s="8"/>
      <c r="K892" s="8"/>
      <c r="L892" s="8"/>
    </row>
    <row r="893" ht="15.75" customHeight="1">
      <c r="A893" s="8"/>
      <c r="B893" s="8"/>
      <c r="D893" s="8"/>
      <c r="E893" s="8"/>
      <c r="F893" s="8"/>
      <c r="H893" s="10"/>
      <c r="I893" s="10"/>
      <c r="J893" s="8"/>
      <c r="K893" s="8"/>
      <c r="L893" s="8"/>
    </row>
    <row r="894" ht="15.75" customHeight="1">
      <c r="A894" s="8"/>
      <c r="B894" s="8"/>
      <c r="D894" s="8"/>
      <c r="E894" s="8"/>
      <c r="F894" s="8"/>
      <c r="H894" s="10"/>
      <c r="I894" s="10"/>
      <c r="J894" s="8"/>
      <c r="K894" s="8"/>
      <c r="L894" s="8"/>
    </row>
    <row r="895" ht="15.75" customHeight="1">
      <c r="A895" s="8"/>
      <c r="B895" s="8"/>
      <c r="D895" s="8"/>
      <c r="E895" s="8"/>
      <c r="F895" s="8"/>
      <c r="H895" s="10"/>
      <c r="I895" s="10"/>
      <c r="J895" s="8"/>
      <c r="K895" s="8"/>
      <c r="L895" s="8"/>
    </row>
    <row r="896" ht="15.75" customHeight="1">
      <c r="A896" s="8"/>
      <c r="B896" s="8"/>
      <c r="D896" s="8"/>
      <c r="E896" s="8"/>
      <c r="F896" s="8"/>
      <c r="H896" s="10"/>
      <c r="I896" s="10"/>
      <c r="J896" s="8"/>
      <c r="K896" s="8"/>
      <c r="L896" s="8"/>
    </row>
    <row r="897" ht="15.75" customHeight="1">
      <c r="A897" s="8"/>
      <c r="B897" s="8"/>
      <c r="D897" s="8"/>
      <c r="E897" s="8"/>
      <c r="F897" s="8"/>
      <c r="H897" s="10"/>
      <c r="I897" s="10"/>
      <c r="J897" s="8"/>
      <c r="K897" s="8"/>
      <c r="L897" s="8"/>
    </row>
    <row r="898" ht="15.75" customHeight="1">
      <c r="A898" s="8"/>
      <c r="B898" s="8"/>
      <c r="D898" s="8"/>
      <c r="E898" s="8"/>
      <c r="F898" s="8"/>
      <c r="H898" s="10"/>
      <c r="I898" s="10"/>
      <c r="J898" s="8"/>
      <c r="K898" s="8"/>
      <c r="L898" s="8"/>
    </row>
    <row r="899" ht="15.75" customHeight="1">
      <c r="A899" s="8"/>
      <c r="B899" s="8"/>
      <c r="D899" s="8"/>
      <c r="E899" s="8"/>
      <c r="F899" s="8"/>
      <c r="H899" s="10"/>
      <c r="I899" s="10"/>
      <c r="J899" s="8"/>
      <c r="K899" s="8"/>
      <c r="L899" s="8"/>
    </row>
    <row r="900" ht="15.75" customHeight="1">
      <c r="A900" s="8"/>
      <c r="B900" s="8"/>
      <c r="D900" s="8"/>
      <c r="E900" s="8"/>
      <c r="F900" s="8"/>
      <c r="H900" s="10"/>
      <c r="I900" s="10"/>
      <c r="J900" s="8"/>
      <c r="K900" s="8"/>
      <c r="L900" s="8"/>
    </row>
    <row r="901" ht="15.75" customHeight="1">
      <c r="A901" s="8"/>
      <c r="B901" s="8"/>
      <c r="D901" s="8"/>
      <c r="E901" s="8"/>
      <c r="F901" s="8"/>
      <c r="H901" s="10"/>
      <c r="I901" s="10"/>
      <c r="J901" s="8"/>
      <c r="K901" s="8"/>
      <c r="L901" s="8"/>
    </row>
    <row r="902" ht="15.75" customHeight="1">
      <c r="A902" s="8"/>
      <c r="B902" s="8"/>
      <c r="D902" s="8"/>
      <c r="E902" s="8"/>
      <c r="F902" s="8"/>
      <c r="H902" s="10"/>
      <c r="I902" s="10"/>
      <c r="J902" s="8"/>
      <c r="K902" s="8"/>
      <c r="L902" s="8"/>
    </row>
    <row r="903" ht="15.75" customHeight="1">
      <c r="A903" s="8"/>
      <c r="B903" s="8"/>
      <c r="D903" s="8"/>
      <c r="E903" s="8"/>
      <c r="F903" s="8"/>
      <c r="H903" s="10"/>
      <c r="I903" s="10"/>
      <c r="J903" s="8"/>
      <c r="K903" s="8"/>
      <c r="L903" s="8"/>
    </row>
    <row r="904" ht="15.75" customHeight="1">
      <c r="A904" s="8"/>
      <c r="B904" s="8"/>
      <c r="D904" s="8"/>
      <c r="E904" s="8"/>
      <c r="F904" s="8"/>
      <c r="H904" s="10"/>
      <c r="I904" s="10"/>
      <c r="J904" s="8"/>
      <c r="K904" s="8"/>
      <c r="L904" s="8"/>
    </row>
    <row r="905" ht="15.75" customHeight="1">
      <c r="A905" s="8"/>
      <c r="B905" s="8"/>
      <c r="D905" s="8"/>
      <c r="E905" s="8"/>
      <c r="F905" s="8"/>
      <c r="H905" s="10"/>
      <c r="I905" s="10"/>
      <c r="J905" s="8"/>
      <c r="K905" s="8"/>
      <c r="L905" s="8"/>
    </row>
    <row r="906" ht="15.75" customHeight="1">
      <c r="A906" s="8"/>
      <c r="B906" s="8"/>
      <c r="D906" s="8"/>
      <c r="E906" s="8"/>
      <c r="F906" s="8"/>
      <c r="H906" s="10"/>
      <c r="I906" s="10"/>
      <c r="J906" s="8"/>
      <c r="K906" s="8"/>
      <c r="L906" s="8"/>
    </row>
    <row r="907" ht="15.75" customHeight="1">
      <c r="A907" s="8"/>
      <c r="B907" s="8"/>
      <c r="D907" s="8"/>
      <c r="E907" s="8"/>
      <c r="F907" s="8"/>
      <c r="H907" s="10"/>
      <c r="I907" s="10"/>
      <c r="J907" s="8"/>
      <c r="K907" s="8"/>
      <c r="L907" s="8"/>
    </row>
    <row r="908" ht="15.75" customHeight="1">
      <c r="A908" s="8"/>
      <c r="B908" s="8"/>
      <c r="D908" s="8"/>
      <c r="E908" s="8"/>
      <c r="F908" s="8"/>
      <c r="H908" s="10"/>
      <c r="I908" s="10"/>
      <c r="J908" s="8"/>
      <c r="K908" s="8"/>
      <c r="L908" s="8"/>
    </row>
    <row r="909" ht="15.75" customHeight="1">
      <c r="A909" s="8"/>
      <c r="B909" s="8"/>
      <c r="D909" s="8"/>
      <c r="E909" s="8"/>
      <c r="F909" s="8"/>
      <c r="H909" s="10"/>
      <c r="I909" s="10"/>
      <c r="J909" s="8"/>
      <c r="K909" s="8"/>
      <c r="L909" s="8"/>
    </row>
    <row r="910" ht="15.75" customHeight="1">
      <c r="A910" s="8"/>
      <c r="B910" s="8"/>
      <c r="D910" s="8"/>
      <c r="E910" s="8"/>
      <c r="F910" s="8"/>
      <c r="H910" s="10"/>
      <c r="I910" s="10"/>
      <c r="J910" s="8"/>
      <c r="K910" s="8"/>
      <c r="L910" s="8"/>
    </row>
    <row r="911" ht="15.75" customHeight="1">
      <c r="A911" s="8"/>
      <c r="B911" s="8"/>
      <c r="D911" s="8"/>
      <c r="E911" s="8"/>
      <c r="F911" s="8"/>
      <c r="H911" s="10"/>
      <c r="I911" s="10"/>
      <c r="J911" s="8"/>
      <c r="K911" s="8"/>
      <c r="L911" s="8"/>
    </row>
    <row r="912" ht="15.75" customHeight="1">
      <c r="A912" s="8"/>
      <c r="B912" s="8"/>
      <c r="D912" s="8"/>
      <c r="E912" s="8"/>
      <c r="F912" s="8"/>
      <c r="H912" s="10"/>
      <c r="I912" s="10"/>
      <c r="J912" s="8"/>
      <c r="K912" s="8"/>
      <c r="L912" s="8"/>
    </row>
    <row r="913" ht="15.75" customHeight="1">
      <c r="A913" s="8"/>
      <c r="B913" s="8"/>
      <c r="D913" s="8"/>
      <c r="E913" s="8"/>
      <c r="F913" s="8"/>
      <c r="H913" s="10"/>
      <c r="I913" s="10"/>
      <c r="J913" s="8"/>
      <c r="K913" s="8"/>
      <c r="L913" s="8"/>
    </row>
    <row r="914" ht="15.75" customHeight="1">
      <c r="A914" s="8"/>
      <c r="B914" s="8"/>
      <c r="D914" s="8"/>
      <c r="E914" s="8"/>
      <c r="F914" s="8"/>
      <c r="H914" s="10"/>
      <c r="I914" s="10"/>
      <c r="J914" s="8"/>
      <c r="K914" s="8"/>
      <c r="L914" s="8"/>
    </row>
    <row r="915" ht="15.75" customHeight="1">
      <c r="A915" s="8"/>
      <c r="B915" s="8"/>
      <c r="D915" s="8"/>
      <c r="E915" s="8"/>
      <c r="F915" s="8"/>
      <c r="H915" s="10"/>
      <c r="I915" s="10"/>
      <c r="J915" s="8"/>
      <c r="K915" s="8"/>
      <c r="L915" s="8"/>
    </row>
    <row r="916" ht="15.75" customHeight="1">
      <c r="A916" s="8"/>
      <c r="B916" s="8"/>
      <c r="D916" s="8"/>
      <c r="E916" s="8"/>
      <c r="F916" s="8"/>
      <c r="H916" s="10"/>
      <c r="I916" s="10"/>
      <c r="J916" s="8"/>
      <c r="K916" s="8"/>
      <c r="L916" s="8"/>
    </row>
    <row r="917" ht="15.75" customHeight="1">
      <c r="A917" s="8"/>
      <c r="B917" s="8"/>
      <c r="D917" s="8"/>
      <c r="E917" s="8"/>
      <c r="F917" s="8"/>
      <c r="H917" s="10"/>
      <c r="I917" s="10"/>
      <c r="J917" s="8"/>
      <c r="K917" s="8"/>
      <c r="L917" s="8"/>
    </row>
    <row r="918" ht="15.75" customHeight="1">
      <c r="A918" s="8"/>
      <c r="B918" s="8"/>
      <c r="D918" s="8"/>
      <c r="E918" s="8"/>
      <c r="F918" s="8"/>
      <c r="H918" s="10"/>
      <c r="I918" s="10"/>
      <c r="J918" s="8"/>
      <c r="K918" s="8"/>
      <c r="L918" s="8"/>
    </row>
    <row r="919" ht="15.75" customHeight="1">
      <c r="A919" s="8"/>
      <c r="B919" s="8"/>
      <c r="D919" s="8"/>
      <c r="E919" s="8"/>
      <c r="F919" s="8"/>
      <c r="H919" s="10"/>
      <c r="I919" s="10"/>
      <c r="J919" s="8"/>
      <c r="K919" s="8"/>
      <c r="L919" s="8"/>
    </row>
    <row r="920" ht="15.75" customHeight="1">
      <c r="A920" s="8"/>
      <c r="B920" s="8"/>
      <c r="D920" s="8"/>
      <c r="E920" s="8"/>
      <c r="F920" s="8"/>
      <c r="H920" s="10"/>
      <c r="I920" s="10"/>
      <c r="J920" s="8"/>
      <c r="K920" s="8"/>
      <c r="L920" s="8"/>
    </row>
    <row r="921" ht="15.75" customHeight="1">
      <c r="A921" s="8"/>
      <c r="B921" s="8"/>
      <c r="D921" s="8"/>
      <c r="E921" s="8"/>
      <c r="F921" s="8"/>
      <c r="H921" s="10"/>
      <c r="I921" s="10"/>
      <c r="J921" s="8"/>
      <c r="K921" s="8"/>
      <c r="L921" s="8"/>
    </row>
    <row r="922" ht="15.75" customHeight="1">
      <c r="A922" s="8"/>
      <c r="B922" s="8"/>
      <c r="D922" s="8"/>
      <c r="E922" s="8"/>
      <c r="F922" s="8"/>
      <c r="H922" s="10"/>
      <c r="I922" s="10"/>
      <c r="J922" s="8"/>
      <c r="K922" s="8"/>
      <c r="L922" s="8"/>
    </row>
    <row r="923" ht="15.75" customHeight="1">
      <c r="A923" s="8"/>
      <c r="B923" s="8"/>
      <c r="D923" s="8"/>
      <c r="E923" s="8"/>
      <c r="F923" s="8"/>
      <c r="H923" s="10"/>
      <c r="I923" s="10"/>
      <c r="J923" s="8"/>
      <c r="K923" s="8"/>
      <c r="L923" s="8"/>
    </row>
    <row r="924" ht="15.75" customHeight="1">
      <c r="A924" s="8"/>
      <c r="B924" s="8"/>
      <c r="D924" s="8"/>
      <c r="E924" s="8"/>
      <c r="F924" s="8"/>
      <c r="H924" s="10"/>
      <c r="I924" s="10"/>
      <c r="J924" s="8"/>
      <c r="K924" s="8"/>
      <c r="L924" s="8"/>
    </row>
    <row r="925" ht="15.75" customHeight="1">
      <c r="A925" s="8"/>
      <c r="B925" s="8"/>
      <c r="D925" s="8"/>
      <c r="E925" s="8"/>
      <c r="F925" s="8"/>
      <c r="H925" s="10"/>
      <c r="I925" s="10"/>
      <c r="J925" s="8"/>
      <c r="K925" s="8"/>
      <c r="L925" s="8"/>
    </row>
    <row r="926" ht="15.75" customHeight="1">
      <c r="A926" s="8"/>
      <c r="B926" s="8"/>
      <c r="D926" s="8"/>
      <c r="E926" s="8"/>
      <c r="F926" s="8"/>
      <c r="H926" s="10"/>
      <c r="I926" s="10"/>
      <c r="J926" s="8"/>
      <c r="K926" s="8"/>
      <c r="L926" s="8"/>
    </row>
    <row r="927" ht="15.75" customHeight="1">
      <c r="A927" s="8"/>
      <c r="B927" s="8"/>
      <c r="D927" s="8"/>
      <c r="E927" s="8"/>
      <c r="F927" s="8"/>
      <c r="H927" s="10"/>
      <c r="I927" s="10"/>
      <c r="J927" s="8"/>
      <c r="K927" s="8"/>
      <c r="L927" s="8"/>
    </row>
    <row r="928" ht="15.75" customHeight="1">
      <c r="A928" s="8"/>
      <c r="B928" s="8"/>
      <c r="D928" s="8"/>
      <c r="E928" s="8"/>
      <c r="F928" s="8"/>
      <c r="H928" s="10"/>
      <c r="I928" s="10"/>
      <c r="J928" s="8"/>
      <c r="K928" s="8"/>
      <c r="L928" s="8"/>
    </row>
    <row r="929" ht="15.75" customHeight="1">
      <c r="A929" s="8"/>
      <c r="B929" s="8"/>
      <c r="D929" s="8"/>
      <c r="E929" s="8"/>
      <c r="F929" s="8"/>
      <c r="H929" s="10"/>
      <c r="I929" s="10"/>
      <c r="J929" s="8"/>
      <c r="K929" s="8"/>
      <c r="L929" s="8"/>
    </row>
    <row r="930" ht="15.75" customHeight="1">
      <c r="A930" s="8"/>
      <c r="B930" s="8"/>
      <c r="D930" s="8"/>
      <c r="E930" s="8"/>
      <c r="F930" s="8"/>
      <c r="H930" s="10"/>
      <c r="I930" s="10"/>
      <c r="J930" s="8"/>
      <c r="K930" s="8"/>
      <c r="L930" s="8"/>
    </row>
    <row r="931" ht="15.75" customHeight="1">
      <c r="A931" s="8"/>
      <c r="B931" s="8"/>
      <c r="D931" s="8"/>
      <c r="E931" s="8"/>
      <c r="F931" s="8"/>
      <c r="H931" s="10"/>
      <c r="I931" s="10"/>
      <c r="J931" s="8"/>
      <c r="K931" s="8"/>
      <c r="L931" s="8"/>
    </row>
    <row r="932" ht="15.75" customHeight="1">
      <c r="A932" s="8"/>
      <c r="B932" s="8"/>
      <c r="D932" s="8"/>
      <c r="E932" s="8"/>
      <c r="F932" s="8"/>
      <c r="H932" s="10"/>
      <c r="I932" s="10"/>
      <c r="J932" s="8"/>
      <c r="K932" s="8"/>
      <c r="L932" s="8"/>
    </row>
    <row r="933" ht="15.75" customHeight="1">
      <c r="A933" s="8"/>
      <c r="B933" s="8"/>
      <c r="D933" s="8"/>
      <c r="E933" s="8"/>
      <c r="F933" s="8"/>
      <c r="H933" s="10"/>
      <c r="I933" s="10"/>
      <c r="J933" s="8"/>
      <c r="K933" s="8"/>
      <c r="L933" s="8"/>
    </row>
    <row r="934" ht="15.75" customHeight="1">
      <c r="A934" s="8"/>
      <c r="B934" s="8"/>
      <c r="D934" s="8"/>
      <c r="E934" s="8"/>
      <c r="F934" s="8"/>
      <c r="H934" s="10"/>
      <c r="I934" s="10"/>
      <c r="J934" s="8"/>
      <c r="K934" s="8"/>
      <c r="L934" s="8"/>
    </row>
    <row r="935" ht="15.75" customHeight="1">
      <c r="A935" s="8"/>
      <c r="B935" s="8"/>
      <c r="D935" s="8"/>
      <c r="E935" s="8"/>
      <c r="F935" s="8"/>
      <c r="H935" s="10"/>
      <c r="I935" s="10"/>
      <c r="J935" s="8"/>
      <c r="K935" s="8"/>
      <c r="L935" s="8"/>
    </row>
    <row r="936" ht="15.75" customHeight="1">
      <c r="A936" s="8"/>
      <c r="B936" s="8"/>
      <c r="D936" s="8"/>
      <c r="E936" s="8"/>
      <c r="F936" s="8"/>
      <c r="H936" s="10"/>
      <c r="I936" s="10"/>
      <c r="J936" s="8"/>
      <c r="K936" s="8"/>
      <c r="L936" s="8"/>
    </row>
    <row r="937" ht="15.75" customHeight="1">
      <c r="A937" s="8"/>
      <c r="B937" s="8"/>
      <c r="D937" s="8"/>
      <c r="E937" s="8"/>
      <c r="F937" s="8"/>
      <c r="H937" s="10"/>
      <c r="I937" s="10"/>
      <c r="J937" s="8"/>
      <c r="K937" s="8"/>
      <c r="L937" s="8"/>
    </row>
    <row r="938" ht="15.75" customHeight="1">
      <c r="A938" s="8"/>
      <c r="B938" s="8"/>
      <c r="D938" s="8"/>
      <c r="E938" s="8"/>
      <c r="F938" s="8"/>
      <c r="H938" s="10"/>
      <c r="I938" s="10"/>
      <c r="J938" s="8"/>
      <c r="K938" s="8"/>
      <c r="L938" s="8"/>
    </row>
    <row r="939" ht="15.75" customHeight="1">
      <c r="A939" s="8"/>
      <c r="B939" s="8"/>
      <c r="D939" s="8"/>
      <c r="E939" s="8"/>
      <c r="F939" s="8"/>
      <c r="H939" s="10"/>
      <c r="I939" s="10"/>
      <c r="J939" s="8"/>
      <c r="K939" s="8"/>
      <c r="L939" s="8"/>
    </row>
    <row r="940" ht="15.75" customHeight="1">
      <c r="A940" s="8"/>
      <c r="B940" s="8"/>
      <c r="D940" s="8"/>
      <c r="E940" s="8"/>
      <c r="F940" s="8"/>
      <c r="H940" s="10"/>
      <c r="I940" s="10"/>
      <c r="J940" s="8"/>
      <c r="K940" s="8"/>
      <c r="L940" s="8"/>
    </row>
    <row r="941" ht="15.75" customHeight="1">
      <c r="A941" s="8"/>
      <c r="B941" s="8"/>
      <c r="D941" s="8"/>
      <c r="E941" s="8"/>
      <c r="F941" s="8"/>
      <c r="H941" s="10"/>
      <c r="I941" s="10"/>
      <c r="J941" s="8"/>
      <c r="K941" s="8"/>
      <c r="L941" s="8"/>
    </row>
    <row r="942" ht="15.75" customHeight="1">
      <c r="A942" s="8"/>
      <c r="B942" s="8"/>
      <c r="D942" s="8"/>
      <c r="E942" s="8"/>
      <c r="F942" s="8"/>
      <c r="H942" s="10"/>
      <c r="I942" s="10"/>
      <c r="J942" s="8"/>
      <c r="K942" s="8"/>
      <c r="L942" s="8"/>
    </row>
    <row r="943" ht="15.75" customHeight="1">
      <c r="A943" s="8"/>
      <c r="B943" s="8"/>
      <c r="D943" s="8"/>
      <c r="E943" s="8"/>
      <c r="F943" s="8"/>
      <c r="H943" s="10"/>
      <c r="I943" s="10"/>
      <c r="J943" s="8"/>
      <c r="K943" s="8"/>
      <c r="L943" s="8"/>
    </row>
    <row r="944" ht="15.75" customHeight="1">
      <c r="A944" s="8"/>
      <c r="B944" s="8"/>
      <c r="D944" s="8"/>
      <c r="E944" s="8"/>
      <c r="F944" s="8"/>
      <c r="H944" s="10"/>
      <c r="I944" s="10"/>
      <c r="J944" s="8"/>
      <c r="K944" s="8"/>
      <c r="L944" s="8"/>
    </row>
    <row r="945" ht="15.75" customHeight="1">
      <c r="A945" s="8"/>
      <c r="B945" s="8"/>
      <c r="D945" s="8"/>
      <c r="E945" s="8"/>
      <c r="F945" s="8"/>
      <c r="H945" s="10"/>
      <c r="I945" s="10"/>
      <c r="J945" s="8"/>
      <c r="K945" s="8"/>
      <c r="L945" s="8"/>
    </row>
    <row r="946" ht="15.75" customHeight="1">
      <c r="A946" s="8"/>
      <c r="B946" s="8"/>
      <c r="D946" s="8"/>
      <c r="E946" s="8"/>
      <c r="F946" s="8"/>
      <c r="H946" s="10"/>
      <c r="I946" s="10"/>
      <c r="J946" s="8"/>
      <c r="K946" s="8"/>
      <c r="L946" s="8"/>
    </row>
    <row r="947" ht="15.75" customHeight="1">
      <c r="A947" s="8"/>
      <c r="B947" s="8"/>
      <c r="D947" s="8"/>
      <c r="E947" s="8"/>
      <c r="F947" s="8"/>
      <c r="H947" s="10"/>
      <c r="I947" s="10"/>
      <c r="J947" s="8"/>
      <c r="K947" s="8"/>
      <c r="L947" s="8"/>
    </row>
    <row r="948" ht="15.75" customHeight="1">
      <c r="A948" s="8"/>
      <c r="B948" s="8"/>
      <c r="D948" s="8"/>
      <c r="E948" s="8"/>
      <c r="F948" s="8"/>
      <c r="H948" s="10"/>
      <c r="I948" s="10"/>
      <c r="J948" s="8"/>
      <c r="K948" s="8"/>
      <c r="L948" s="8"/>
    </row>
    <row r="949" ht="15.75" customHeight="1">
      <c r="A949" s="8"/>
      <c r="B949" s="8"/>
      <c r="D949" s="8"/>
      <c r="E949" s="8"/>
      <c r="F949" s="8"/>
      <c r="H949" s="10"/>
      <c r="I949" s="10"/>
      <c r="J949" s="8"/>
      <c r="K949" s="8"/>
      <c r="L949" s="8"/>
    </row>
    <row r="950" ht="15.75" customHeight="1">
      <c r="A950" s="8"/>
      <c r="B950" s="8"/>
      <c r="D950" s="8"/>
      <c r="E950" s="8"/>
      <c r="F950" s="8"/>
      <c r="H950" s="10"/>
      <c r="I950" s="10"/>
      <c r="J950" s="8"/>
      <c r="K950" s="8"/>
      <c r="L950" s="8"/>
    </row>
    <row r="951" ht="15.75" customHeight="1">
      <c r="A951" s="8"/>
      <c r="B951" s="8"/>
      <c r="D951" s="8"/>
      <c r="E951" s="8"/>
      <c r="F951" s="8"/>
      <c r="H951" s="10"/>
      <c r="I951" s="10"/>
      <c r="J951" s="8"/>
      <c r="K951" s="8"/>
      <c r="L951" s="8"/>
    </row>
    <row r="952" ht="15.75" customHeight="1">
      <c r="A952" s="8"/>
      <c r="B952" s="8"/>
      <c r="D952" s="8"/>
      <c r="E952" s="8"/>
      <c r="F952" s="8"/>
      <c r="H952" s="10"/>
      <c r="I952" s="10"/>
      <c r="J952" s="8"/>
      <c r="K952" s="8"/>
      <c r="L952" s="8"/>
    </row>
    <row r="953" ht="15.75" customHeight="1">
      <c r="A953" s="8"/>
      <c r="B953" s="8"/>
      <c r="D953" s="8"/>
      <c r="E953" s="8"/>
      <c r="F953" s="8"/>
      <c r="H953" s="10"/>
      <c r="I953" s="10"/>
      <c r="J953" s="8"/>
      <c r="K953" s="8"/>
      <c r="L953" s="8"/>
    </row>
    <row r="954" ht="15.75" customHeight="1">
      <c r="A954" s="8"/>
      <c r="B954" s="8"/>
      <c r="D954" s="8"/>
      <c r="E954" s="8"/>
      <c r="F954" s="8"/>
      <c r="H954" s="10"/>
      <c r="I954" s="10"/>
      <c r="J954" s="8"/>
      <c r="K954" s="8"/>
      <c r="L954" s="8"/>
    </row>
    <row r="955" ht="15.75" customHeight="1">
      <c r="A955" s="8"/>
      <c r="B955" s="8"/>
      <c r="D955" s="8"/>
      <c r="E955" s="8"/>
      <c r="F955" s="8"/>
      <c r="H955" s="10"/>
      <c r="I955" s="10"/>
      <c r="J955" s="8"/>
      <c r="K955" s="8"/>
      <c r="L955" s="8"/>
    </row>
    <row r="956" ht="15.75" customHeight="1">
      <c r="A956" s="8"/>
      <c r="B956" s="8"/>
      <c r="D956" s="8"/>
      <c r="E956" s="8"/>
      <c r="F956" s="8"/>
      <c r="H956" s="10"/>
      <c r="I956" s="10"/>
      <c r="J956" s="8"/>
      <c r="K956" s="8"/>
      <c r="L956" s="8"/>
    </row>
    <row r="957" ht="15.75" customHeight="1">
      <c r="A957" s="8"/>
      <c r="B957" s="8"/>
      <c r="D957" s="8"/>
      <c r="E957" s="8"/>
      <c r="F957" s="8"/>
      <c r="H957" s="10"/>
      <c r="I957" s="10"/>
      <c r="J957" s="8"/>
      <c r="K957" s="8"/>
      <c r="L957" s="8"/>
    </row>
    <row r="958" ht="15.75" customHeight="1">
      <c r="A958" s="8"/>
      <c r="B958" s="8"/>
      <c r="D958" s="8"/>
      <c r="E958" s="8"/>
      <c r="F958" s="8"/>
      <c r="H958" s="10"/>
      <c r="I958" s="10"/>
      <c r="J958" s="8"/>
      <c r="K958" s="8"/>
      <c r="L958" s="8"/>
    </row>
    <row r="959" ht="15.75" customHeight="1">
      <c r="A959" s="8"/>
      <c r="B959" s="8"/>
      <c r="D959" s="8"/>
      <c r="E959" s="8"/>
      <c r="F959" s="8"/>
      <c r="H959" s="10"/>
      <c r="I959" s="10"/>
      <c r="J959" s="8"/>
      <c r="K959" s="8"/>
      <c r="L959" s="8"/>
    </row>
    <row r="960" ht="15.75" customHeight="1">
      <c r="A960" s="8"/>
      <c r="B960" s="8"/>
      <c r="D960" s="8"/>
      <c r="E960" s="8"/>
      <c r="F960" s="8"/>
      <c r="H960" s="10"/>
      <c r="I960" s="10"/>
      <c r="J960" s="8"/>
      <c r="K960" s="8"/>
      <c r="L960" s="8"/>
    </row>
    <row r="961" ht="15.75" customHeight="1">
      <c r="A961" s="8"/>
      <c r="B961" s="8"/>
      <c r="D961" s="8"/>
      <c r="E961" s="8"/>
      <c r="F961" s="8"/>
      <c r="H961" s="10"/>
      <c r="I961" s="10"/>
      <c r="J961" s="8"/>
      <c r="K961" s="8"/>
      <c r="L961" s="8"/>
    </row>
    <row r="962" ht="15.75" customHeight="1">
      <c r="A962" s="8"/>
      <c r="B962" s="8"/>
      <c r="D962" s="8"/>
      <c r="E962" s="8"/>
      <c r="F962" s="8"/>
      <c r="H962" s="10"/>
      <c r="I962" s="10"/>
      <c r="J962" s="8"/>
      <c r="K962" s="8"/>
      <c r="L962" s="8"/>
    </row>
    <row r="963" ht="15.75" customHeight="1">
      <c r="A963" s="8"/>
      <c r="B963" s="8"/>
      <c r="D963" s="8"/>
      <c r="E963" s="8"/>
      <c r="F963" s="8"/>
      <c r="H963" s="10"/>
      <c r="I963" s="10"/>
      <c r="J963" s="8"/>
      <c r="K963" s="8"/>
      <c r="L963" s="8"/>
    </row>
    <row r="964" ht="15.75" customHeight="1">
      <c r="A964" s="8"/>
      <c r="B964" s="8"/>
      <c r="D964" s="8"/>
      <c r="E964" s="8"/>
      <c r="F964" s="8"/>
      <c r="H964" s="10"/>
      <c r="I964" s="10"/>
      <c r="J964" s="8"/>
      <c r="K964" s="8"/>
      <c r="L964" s="8"/>
    </row>
    <row r="965" ht="15.75" customHeight="1">
      <c r="A965" s="8"/>
      <c r="B965" s="8"/>
      <c r="D965" s="8"/>
      <c r="E965" s="8"/>
      <c r="F965" s="8"/>
      <c r="H965" s="10"/>
      <c r="I965" s="10"/>
      <c r="J965" s="8"/>
      <c r="K965" s="8"/>
      <c r="L965" s="8"/>
    </row>
    <row r="966" ht="15.75" customHeight="1">
      <c r="A966" s="8"/>
      <c r="B966" s="8"/>
      <c r="D966" s="8"/>
      <c r="E966" s="8"/>
      <c r="F966" s="8"/>
      <c r="H966" s="10"/>
      <c r="I966" s="10"/>
      <c r="J966" s="8"/>
      <c r="K966" s="8"/>
      <c r="L966" s="8"/>
    </row>
    <row r="967" ht="15.75" customHeight="1">
      <c r="A967" s="8"/>
      <c r="B967" s="8"/>
      <c r="D967" s="8"/>
      <c r="E967" s="8"/>
      <c r="F967" s="8"/>
      <c r="H967" s="10"/>
      <c r="I967" s="10"/>
      <c r="J967" s="8"/>
      <c r="K967" s="8"/>
      <c r="L967" s="8"/>
    </row>
    <row r="968" ht="15.75" customHeight="1">
      <c r="A968" s="8"/>
      <c r="B968" s="8"/>
      <c r="D968" s="8"/>
      <c r="E968" s="8"/>
      <c r="F968" s="8"/>
      <c r="H968" s="10"/>
      <c r="I968" s="10"/>
      <c r="J968" s="8"/>
      <c r="K968" s="8"/>
      <c r="L968" s="8"/>
    </row>
    <row r="969" ht="15.75" customHeight="1">
      <c r="A969" s="8"/>
      <c r="B969" s="8"/>
      <c r="D969" s="8"/>
      <c r="E969" s="8"/>
      <c r="F969" s="8"/>
      <c r="H969" s="10"/>
      <c r="I969" s="10"/>
      <c r="J969" s="8"/>
      <c r="K969" s="8"/>
      <c r="L969" s="8"/>
    </row>
    <row r="970" ht="15.75" customHeight="1">
      <c r="A970" s="8"/>
      <c r="B970" s="8"/>
      <c r="D970" s="8"/>
      <c r="E970" s="8"/>
      <c r="F970" s="8"/>
      <c r="H970" s="10"/>
      <c r="I970" s="10"/>
      <c r="J970" s="8"/>
      <c r="K970" s="8"/>
      <c r="L970" s="8"/>
    </row>
    <row r="971" ht="15.75" customHeight="1">
      <c r="A971" s="8"/>
      <c r="B971" s="8"/>
      <c r="D971" s="8"/>
      <c r="E971" s="8"/>
      <c r="F971" s="8"/>
      <c r="H971" s="10"/>
      <c r="I971" s="10"/>
      <c r="J971" s="8"/>
      <c r="K971" s="8"/>
      <c r="L971" s="8"/>
    </row>
    <row r="972" ht="15.75" customHeight="1">
      <c r="A972" s="8"/>
      <c r="B972" s="8"/>
      <c r="D972" s="8"/>
      <c r="E972" s="8"/>
      <c r="F972" s="8"/>
      <c r="H972" s="10"/>
      <c r="I972" s="10"/>
      <c r="J972" s="8"/>
      <c r="K972" s="8"/>
      <c r="L972" s="8"/>
    </row>
    <row r="973" ht="15.75" customHeight="1">
      <c r="A973" s="8"/>
      <c r="B973" s="8"/>
      <c r="D973" s="8"/>
      <c r="E973" s="8"/>
      <c r="F973" s="8"/>
      <c r="H973" s="10"/>
      <c r="I973" s="10"/>
      <c r="J973" s="8"/>
      <c r="K973" s="8"/>
      <c r="L973" s="8"/>
    </row>
    <row r="974" ht="15.75" customHeight="1">
      <c r="A974" s="8"/>
      <c r="B974" s="8"/>
      <c r="D974" s="8"/>
      <c r="E974" s="8"/>
      <c r="F974" s="8"/>
      <c r="H974" s="10"/>
      <c r="I974" s="10"/>
      <c r="J974" s="8"/>
      <c r="K974" s="8"/>
      <c r="L974" s="8"/>
    </row>
    <row r="975" ht="15.75" customHeight="1">
      <c r="A975" s="8"/>
      <c r="B975" s="8"/>
      <c r="D975" s="8"/>
      <c r="E975" s="8"/>
      <c r="F975" s="8"/>
      <c r="H975" s="10"/>
      <c r="I975" s="10"/>
      <c r="J975" s="8"/>
      <c r="K975" s="8"/>
      <c r="L975" s="8"/>
    </row>
    <row r="976" ht="15.75" customHeight="1">
      <c r="A976" s="8"/>
      <c r="B976" s="8"/>
      <c r="D976" s="8"/>
      <c r="E976" s="8"/>
      <c r="F976" s="8"/>
      <c r="H976" s="10"/>
      <c r="I976" s="10"/>
      <c r="J976" s="8"/>
      <c r="K976" s="8"/>
      <c r="L976" s="8"/>
    </row>
    <row r="977" ht="15.75" customHeight="1">
      <c r="A977" s="8"/>
      <c r="B977" s="8"/>
      <c r="D977" s="8"/>
      <c r="E977" s="8"/>
      <c r="F977" s="8"/>
      <c r="H977" s="10"/>
      <c r="I977" s="10"/>
      <c r="J977" s="8"/>
      <c r="K977" s="8"/>
      <c r="L977" s="8"/>
    </row>
    <row r="978" ht="15.75" customHeight="1">
      <c r="A978" s="8"/>
      <c r="B978" s="8"/>
      <c r="D978" s="8"/>
      <c r="E978" s="8"/>
      <c r="F978" s="8"/>
      <c r="H978" s="10"/>
      <c r="I978" s="10"/>
      <c r="J978" s="8"/>
      <c r="K978" s="8"/>
      <c r="L978" s="8"/>
    </row>
    <row r="979" ht="15.75" customHeight="1">
      <c r="A979" s="8"/>
      <c r="B979" s="8"/>
      <c r="D979" s="8"/>
      <c r="E979" s="8"/>
      <c r="F979" s="8"/>
      <c r="H979" s="10"/>
      <c r="I979" s="10"/>
      <c r="J979" s="8"/>
      <c r="K979" s="8"/>
      <c r="L979" s="8"/>
    </row>
    <row r="980" ht="15.75" customHeight="1">
      <c r="A980" s="8"/>
      <c r="B980" s="8"/>
      <c r="D980" s="8"/>
      <c r="E980" s="8"/>
      <c r="F980" s="8"/>
      <c r="H980" s="10"/>
      <c r="I980" s="10"/>
      <c r="J980" s="8"/>
      <c r="K980" s="8"/>
      <c r="L980" s="8"/>
    </row>
    <row r="981" ht="15.75" customHeight="1">
      <c r="A981" s="8"/>
      <c r="B981" s="8"/>
      <c r="D981" s="8"/>
      <c r="E981" s="8"/>
      <c r="F981" s="8"/>
      <c r="H981" s="10"/>
      <c r="I981" s="10"/>
      <c r="J981" s="8"/>
      <c r="K981" s="8"/>
      <c r="L981" s="8"/>
    </row>
    <row r="982" ht="15.75" customHeight="1">
      <c r="A982" s="8"/>
      <c r="B982" s="8"/>
      <c r="D982" s="8"/>
      <c r="E982" s="8"/>
      <c r="F982" s="8"/>
      <c r="H982" s="10"/>
      <c r="I982" s="10"/>
      <c r="J982" s="8"/>
      <c r="K982" s="8"/>
      <c r="L982" s="8"/>
    </row>
    <row r="983" ht="15.75" customHeight="1">
      <c r="A983" s="8"/>
      <c r="B983" s="8"/>
      <c r="D983" s="8"/>
      <c r="E983" s="8"/>
      <c r="F983" s="8"/>
      <c r="H983" s="10"/>
      <c r="I983" s="10"/>
      <c r="J983" s="8"/>
      <c r="K983" s="8"/>
      <c r="L983" s="8"/>
    </row>
    <row r="984" ht="15.75" customHeight="1">
      <c r="A984" s="8"/>
      <c r="B984" s="8"/>
      <c r="D984" s="8"/>
      <c r="E984" s="8"/>
      <c r="F984" s="8"/>
      <c r="H984" s="10"/>
      <c r="I984" s="10"/>
      <c r="J984" s="8"/>
      <c r="K984" s="8"/>
      <c r="L984" s="8"/>
    </row>
    <row r="985" ht="15.75" customHeight="1">
      <c r="A985" s="8"/>
      <c r="B985" s="8"/>
      <c r="D985" s="8"/>
      <c r="E985" s="8"/>
      <c r="F985" s="8"/>
      <c r="H985" s="10"/>
      <c r="I985" s="10"/>
      <c r="J985" s="8"/>
      <c r="K985" s="8"/>
      <c r="L985" s="8"/>
    </row>
    <row r="986" ht="15.75" customHeight="1">
      <c r="A986" s="8"/>
      <c r="B986" s="8"/>
      <c r="D986" s="8"/>
      <c r="E986" s="8"/>
      <c r="F986" s="8"/>
      <c r="H986" s="10"/>
      <c r="I986" s="10"/>
      <c r="J986" s="8"/>
      <c r="K986" s="8"/>
      <c r="L986" s="8"/>
    </row>
    <row r="987" ht="15.75" customHeight="1">
      <c r="A987" s="8"/>
      <c r="B987" s="8"/>
      <c r="D987" s="8"/>
      <c r="E987" s="8"/>
      <c r="F987" s="8"/>
      <c r="H987" s="10"/>
      <c r="I987" s="10"/>
      <c r="J987" s="8"/>
      <c r="K987" s="8"/>
      <c r="L987" s="8"/>
    </row>
    <row r="988" ht="15.75" customHeight="1">
      <c r="A988" s="8"/>
      <c r="B988" s="8"/>
      <c r="D988" s="8"/>
      <c r="E988" s="8"/>
      <c r="F988" s="8"/>
      <c r="H988" s="10"/>
      <c r="I988" s="10"/>
      <c r="J988" s="8"/>
      <c r="K988" s="8"/>
      <c r="L988" s="8"/>
    </row>
    <row r="989" ht="15.75" customHeight="1">
      <c r="A989" s="8"/>
      <c r="B989" s="8"/>
      <c r="D989" s="8"/>
      <c r="E989" s="8"/>
      <c r="F989" s="8"/>
      <c r="H989" s="10"/>
      <c r="I989" s="10"/>
      <c r="J989" s="8"/>
      <c r="K989" s="8"/>
      <c r="L989" s="8"/>
    </row>
    <row r="990" ht="15.75" customHeight="1">
      <c r="A990" s="8"/>
      <c r="B990" s="8"/>
      <c r="D990" s="8"/>
      <c r="E990" s="8"/>
      <c r="F990" s="8"/>
      <c r="H990" s="10"/>
      <c r="I990" s="10"/>
      <c r="J990" s="8"/>
      <c r="K990" s="8"/>
      <c r="L990" s="8"/>
    </row>
    <row r="991" ht="15.75" customHeight="1">
      <c r="A991" s="8"/>
      <c r="B991" s="8"/>
      <c r="D991" s="8"/>
      <c r="E991" s="8"/>
      <c r="F991" s="8"/>
      <c r="H991" s="10"/>
      <c r="I991" s="10"/>
      <c r="J991" s="8"/>
      <c r="K991" s="8"/>
      <c r="L991" s="8"/>
    </row>
    <row r="992" ht="15.75" customHeight="1">
      <c r="A992" s="8"/>
      <c r="B992" s="8"/>
      <c r="D992" s="8"/>
      <c r="E992" s="8"/>
      <c r="F992" s="8"/>
      <c r="H992" s="10"/>
      <c r="I992" s="10"/>
      <c r="J992" s="8"/>
      <c r="K992" s="8"/>
      <c r="L992" s="8"/>
    </row>
    <row r="993" ht="15.75" customHeight="1">
      <c r="A993" s="8"/>
      <c r="B993" s="8"/>
      <c r="D993" s="8"/>
      <c r="E993" s="8"/>
      <c r="F993" s="8"/>
      <c r="H993" s="10"/>
      <c r="I993" s="10"/>
      <c r="J993" s="8"/>
      <c r="K993" s="8"/>
      <c r="L993" s="8"/>
    </row>
    <row r="994" ht="15.75" customHeight="1">
      <c r="A994" s="8"/>
      <c r="B994" s="8"/>
      <c r="D994" s="8"/>
      <c r="E994" s="8"/>
      <c r="F994" s="8"/>
      <c r="H994" s="10"/>
      <c r="I994" s="10"/>
      <c r="J994" s="8"/>
      <c r="K994" s="8"/>
      <c r="L994" s="8"/>
    </row>
    <row r="995" ht="15.75" customHeight="1">
      <c r="A995" s="8"/>
      <c r="B995" s="8"/>
      <c r="D995" s="8"/>
      <c r="E995" s="8"/>
      <c r="F995" s="8"/>
      <c r="H995" s="10"/>
      <c r="I995" s="10"/>
      <c r="J995" s="8"/>
      <c r="K995" s="8"/>
      <c r="L995" s="8"/>
    </row>
    <row r="996" ht="15.75" customHeight="1">
      <c r="A996" s="8"/>
      <c r="B996" s="8"/>
      <c r="D996" s="8"/>
      <c r="E996" s="8"/>
      <c r="F996" s="8"/>
      <c r="H996" s="10"/>
      <c r="I996" s="10"/>
      <c r="J996" s="8"/>
      <c r="K996" s="8"/>
      <c r="L996" s="8"/>
    </row>
    <row r="997" ht="15.75" customHeight="1">
      <c r="A997" s="8"/>
      <c r="B997" s="8"/>
      <c r="D997" s="8"/>
      <c r="E997" s="8"/>
      <c r="F997" s="8"/>
      <c r="H997" s="10"/>
      <c r="I997" s="10"/>
      <c r="J997" s="8"/>
      <c r="K997" s="8"/>
      <c r="L997" s="8"/>
    </row>
    <row r="998" ht="15.75" customHeight="1">
      <c r="A998" s="8"/>
      <c r="B998" s="8"/>
      <c r="D998" s="8"/>
      <c r="E998" s="8"/>
      <c r="F998" s="8"/>
      <c r="H998" s="10"/>
      <c r="I998" s="10"/>
      <c r="J998" s="8"/>
      <c r="K998" s="8"/>
      <c r="L998" s="8"/>
    </row>
    <row r="999" ht="15.75" customHeight="1">
      <c r="A999" s="8"/>
      <c r="B999" s="8"/>
      <c r="D999" s="8"/>
      <c r="E999" s="8"/>
      <c r="F999" s="8"/>
      <c r="H999" s="10"/>
      <c r="I999" s="10"/>
      <c r="J999" s="8"/>
      <c r="K999" s="8"/>
      <c r="L999" s="8"/>
    </row>
    <row r="1000" ht="15.75" customHeight="1">
      <c r="A1000" s="8"/>
      <c r="B1000" s="8"/>
      <c r="D1000" s="8"/>
      <c r="E1000" s="8"/>
      <c r="F1000" s="8"/>
      <c r="H1000" s="10"/>
      <c r="I1000" s="10"/>
      <c r="J1000" s="8"/>
      <c r="K1000" s="8"/>
      <c r="L1000" s="8"/>
    </row>
  </sheetData>
  <autoFilter ref="$A$1:$Q$776">
    <filterColumn colId="2">
      <filters>
        <filter val="Aprobado"/>
      </filters>
    </filterColumn>
  </autoFilter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7" width="10.71"/>
    <col customWidth="1" min="18" max="18" width="10.43"/>
    <col customWidth="1" min="19" max="24" width="10.71"/>
  </cols>
  <sheetData>
    <row r="1">
      <c r="A1" s="9">
        <v>1.0</v>
      </c>
      <c r="B1" s="9">
        <v>2.0</v>
      </c>
      <c r="C1" s="9">
        <v>3.0</v>
      </c>
      <c r="D1" s="9">
        <v>4.0</v>
      </c>
      <c r="E1" s="9">
        <v>5.0</v>
      </c>
      <c r="F1" s="9">
        <v>6.0</v>
      </c>
      <c r="G1" s="9">
        <v>7.0</v>
      </c>
      <c r="H1" s="9">
        <v>8.0</v>
      </c>
      <c r="I1" s="9">
        <v>9.0</v>
      </c>
      <c r="J1" s="9">
        <v>10.0</v>
      </c>
      <c r="K1" s="9">
        <v>11.0</v>
      </c>
      <c r="L1" s="9">
        <v>12.0</v>
      </c>
      <c r="M1" s="9">
        <v>13.0</v>
      </c>
      <c r="N1" s="9">
        <v>14.0</v>
      </c>
      <c r="O1" s="9">
        <v>15.0</v>
      </c>
      <c r="P1" s="9">
        <v>16.0</v>
      </c>
      <c r="Q1" s="9">
        <v>17.0</v>
      </c>
      <c r="R1" s="9">
        <v>18.0</v>
      </c>
      <c r="S1" s="9">
        <v>19.0</v>
      </c>
      <c r="T1" s="9">
        <v>20.0</v>
      </c>
      <c r="U1" s="9">
        <v>21.0</v>
      </c>
      <c r="V1" s="9">
        <v>22.0</v>
      </c>
      <c r="W1" s="9">
        <v>23.0</v>
      </c>
      <c r="X1" s="9">
        <v>24.0</v>
      </c>
    </row>
    <row r="2">
      <c r="A2" s="9" t="s">
        <v>28</v>
      </c>
      <c r="B2" s="9" t="s">
        <v>29</v>
      </c>
      <c r="C2" s="9" t="s">
        <v>30</v>
      </c>
      <c r="D2" s="9" t="s">
        <v>31</v>
      </c>
      <c r="E2" s="9" t="s">
        <v>32</v>
      </c>
      <c r="F2" s="9" t="s">
        <v>33</v>
      </c>
      <c r="G2" s="9" t="s">
        <v>34</v>
      </c>
      <c r="H2" s="9" t="s">
        <v>35</v>
      </c>
      <c r="I2" s="9" t="s">
        <v>36</v>
      </c>
      <c r="J2" s="9" t="s">
        <v>37</v>
      </c>
      <c r="K2" s="9" t="s">
        <v>38</v>
      </c>
      <c r="L2" s="9" t="s">
        <v>39</v>
      </c>
      <c r="M2" s="9" t="s">
        <v>40</v>
      </c>
      <c r="N2" s="9" t="s">
        <v>41</v>
      </c>
      <c r="O2" s="9" t="s">
        <v>42</v>
      </c>
      <c r="P2" s="9" t="s">
        <v>43</v>
      </c>
      <c r="Q2" s="9" t="s">
        <v>44</v>
      </c>
      <c r="R2" s="9" t="s">
        <v>45</v>
      </c>
      <c r="S2" s="9" t="s">
        <v>46</v>
      </c>
      <c r="T2" s="9" t="s">
        <v>47</v>
      </c>
      <c r="U2" s="9" t="s">
        <v>48</v>
      </c>
      <c r="V2" s="9" t="s">
        <v>49</v>
      </c>
      <c r="W2" s="9" t="s">
        <v>50</v>
      </c>
      <c r="X2" s="9" t="s">
        <v>51</v>
      </c>
    </row>
    <row r="3">
      <c r="A3" s="9">
        <v>2015097.0</v>
      </c>
      <c r="B3" s="9">
        <v>80000.0</v>
      </c>
      <c r="C3" s="9">
        <v>31084.0</v>
      </c>
      <c r="D3" s="9" t="s">
        <v>52</v>
      </c>
      <c r="E3" s="9" t="s">
        <v>53</v>
      </c>
      <c r="F3" s="9">
        <v>33800.0</v>
      </c>
      <c r="G3" s="9">
        <v>80000.0</v>
      </c>
      <c r="H3" s="9">
        <v>80000.0</v>
      </c>
      <c r="I3" s="9">
        <v>0.0</v>
      </c>
      <c r="J3" s="9">
        <v>0.0</v>
      </c>
      <c r="K3" s="9">
        <v>0.0</v>
      </c>
      <c r="L3" s="9" t="s">
        <v>54</v>
      </c>
      <c r="M3" s="9" t="s">
        <v>55</v>
      </c>
      <c r="R3" s="9" t="s">
        <v>56</v>
      </c>
      <c r="S3" s="9" t="s">
        <v>57</v>
      </c>
      <c r="T3" s="9" t="s">
        <v>58</v>
      </c>
      <c r="V3" s="9">
        <v>69467.85</v>
      </c>
      <c r="W3" s="9">
        <v>0.0</v>
      </c>
      <c r="X3" s="9">
        <v>0.0</v>
      </c>
    </row>
    <row r="4">
      <c r="A4" s="9">
        <v>2015662.0</v>
      </c>
      <c r="B4" s="9">
        <v>8456770.0</v>
      </c>
      <c r="C4" s="9">
        <v>31098.0</v>
      </c>
      <c r="D4" s="9" t="s">
        <v>52</v>
      </c>
      <c r="E4" s="9" t="s">
        <v>53</v>
      </c>
      <c r="F4" s="9">
        <v>5206.0</v>
      </c>
      <c r="G4" s="9">
        <v>8456770.0</v>
      </c>
      <c r="H4" s="9">
        <v>8456770.0</v>
      </c>
      <c r="I4" s="9">
        <v>570492.9</v>
      </c>
      <c r="J4" s="9">
        <v>0.0</v>
      </c>
      <c r="K4" s="9">
        <v>0.0</v>
      </c>
      <c r="L4" s="9" t="s">
        <v>59</v>
      </c>
      <c r="M4" s="9" t="s">
        <v>55</v>
      </c>
      <c r="R4" s="9" t="s">
        <v>60</v>
      </c>
      <c r="S4" s="9" t="s">
        <v>57</v>
      </c>
      <c r="T4" s="9" t="s">
        <v>61</v>
      </c>
      <c r="V4" s="9">
        <v>2707542.23</v>
      </c>
      <c r="W4" s="9">
        <v>0.0</v>
      </c>
      <c r="X4" s="9">
        <v>0.0</v>
      </c>
    </row>
    <row r="5">
      <c r="A5" s="9">
        <v>2017383.0</v>
      </c>
      <c r="B5" s="9">
        <v>2.0279145E7</v>
      </c>
      <c r="C5" s="9">
        <v>46823.0</v>
      </c>
      <c r="D5" s="9" t="s">
        <v>52</v>
      </c>
      <c r="E5" s="9" t="s">
        <v>53</v>
      </c>
      <c r="F5" s="9">
        <v>3101.0</v>
      </c>
      <c r="G5" s="9">
        <v>6.231276213E7</v>
      </c>
      <c r="H5" s="9">
        <v>1.193288344E8</v>
      </c>
      <c r="I5" s="9">
        <v>8.731382799E7</v>
      </c>
      <c r="J5" s="9">
        <v>0.0</v>
      </c>
      <c r="K5" s="9">
        <v>66000.0</v>
      </c>
      <c r="L5" s="9" t="s">
        <v>59</v>
      </c>
      <c r="M5" s="9" t="s">
        <v>62</v>
      </c>
      <c r="N5" s="9">
        <v>4.994095771E7</v>
      </c>
      <c r="O5" s="9">
        <v>4.994095771E7</v>
      </c>
      <c r="P5" s="9">
        <v>731106.0</v>
      </c>
      <c r="Q5" s="9">
        <v>320201.0</v>
      </c>
      <c r="R5" s="9" t="s">
        <v>63</v>
      </c>
      <c r="S5" s="9" t="s">
        <v>63</v>
      </c>
    </row>
    <row r="6">
      <c r="A6" s="9">
        <v>2017384.0</v>
      </c>
      <c r="B6" s="9">
        <v>1.41137863E8</v>
      </c>
      <c r="C6" s="9">
        <v>42121.0</v>
      </c>
      <c r="D6" s="9" t="s">
        <v>52</v>
      </c>
      <c r="E6" s="9" t="s">
        <v>64</v>
      </c>
      <c r="F6" s="9">
        <v>3089.0</v>
      </c>
      <c r="G6" s="9">
        <v>1.41137863E8</v>
      </c>
      <c r="H6" s="9">
        <v>1.41137863E8</v>
      </c>
      <c r="I6" s="9">
        <v>639937.47</v>
      </c>
      <c r="J6" s="9">
        <v>0.0</v>
      </c>
      <c r="K6" s="9">
        <v>0.0</v>
      </c>
      <c r="L6" s="9" t="s">
        <v>59</v>
      </c>
      <c r="M6" s="9" t="s">
        <v>65</v>
      </c>
      <c r="R6" s="9" t="s">
        <v>66</v>
      </c>
      <c r="S6" s="9" t="s">
        <v>67</v>
      </c>
      <c r="T6" s="9" t="s">
        <v>68</v>
      </c>
    </row>
    <row r="7">
      <c r="A7" s="9">
        <v>2018438.0</v>
      </c>
      <c r="B7" s="9">
        <v>1595256.0</v>
      </c>
      <c r="C7" s="9">
        <v>30947.0</v>
      </c>
      <c r="D7" s="9" t="s">
        <v>52</v>
      </c>
      <c r="E7" s="9" t="s">
        <v>53</v>
      </c>
      <c r="F7" s="9">
        <v>8727.0</v>
      </c>
      <c r="G7" s="9">
        <v>1595256.0</v>
      </c>
      <c r="H7" s="9">
        <v>1595256.0</v>
      </c>
      <c r="I7" s="9">
        <v>457956.79</v>
      </c>
      <c r="J7" s="9">
        <v>0.0</v>
      </c>
      <c r="K7" s="9">
        <v>0.0</v>
      </c>
      <c r="L7" s="9" t="s">
        <v>69</v>
      </c>
      <c r="M7" s="9" t="s">
        <v>55</v>
      </c>
      <c r="N7" s="9">
        <v>1583190.64</v>
      </c>
      <c r="O7" s="9">
        <v>1330412.3</v>
      </c>
      <c r="R7" s="9" t="s">
        <v>56</v>
      </c>
      <c r="S7" s="9" t="s">
        <v>57</v>
      </c>
      <c r="T7" s="9" t="s">
        <v>58</v>
      </c>
      <c r="V7" s="9">
        <v>0.0</v>
      </c>
      <c r="W7" s="9">
        <v>0.0</v>
      </c>
      <c r="X7" s="9">
        <v>0.0</v>
      </c>
    </row>
    <row r="8">
      <c r="A8" s="9">
        <v>2018570.0</v>
      </c>
      <c r="B8" s="9">
        <v>1279390.0</v>
      </c>
      <c r="C8" s="9">
        <v>31284.0</v>
      </c>
      <c r="D8" s="9" t="s">
        <v>52</v>
      </c>
      <c r="E8" s="9" t="s">
        <v>53</v>
      </c>
      <c r="F8" s="9">
        <v>7331.0</v>
      </c>
      <c r="G8" s="9">
        <v>1279390.0</v>
      </c>
      <c r="H8" s="9">
        <v>1279390.0</v>
      </c>
      <c r="I8" s="9">
        <v>2320452.87</v>
      </c>
      <c r="J8" s="9">
        <v>0.0</v>
      </c>
      <c r="K8" s="9">
        <v>0.0</v>
      </c>
      <c r="L8" s="9" t="s">
        <v>59</v>
      </c>
      <c r="M8" s="9" t="s">
        <v>55</v>
      </c>
      <c r="R8" s="9" t="s">
        <v>60</v>
      </c>
      <c r="S8" s="9" t="s">
        <v>57</v>
      </c>
      <c r="T8" s="9" t="s">
        <v>61</v>
      </c>
      <c r="V8" s="9">
        <v>2004564.65</v>
      </c>
      <c r="W8" s="9">
        <v>0.0</v>
      </c>
      <c r="X8" s="9">
        <v>0.0</v>
      </c>
    </row>
    <row r="9">
      <c r="A9" s="9">
        <v>2022649.0</v>
      </c>
      <c r="B9" s="9">
        <v>2.6201116E7</v>
      </c>
      <c r="C9" s="9">
        <v>30952.0</v>
      </c>
      <c r="D9" s="9" t="s">
        <v>52</v>
      </c>
      <c r="E9" s="9" t="s">
        <v>53</v>
      </c>
      <c r="F9" s="9">
        <v>12762.0</v>
      </c>
      <c r="G9" s="9">
        <v>2.523403547E7</v>
      </c>
      <c r="H9" s="9">
        <v>2.523403547E7</v>
      </c>
      <c r="I9" s="9">
        <v>2.680475852E7</v>
      </c>
      <c r="J9" s="9">
        <v>0.0</v>
      </c>
      <c r="K9" s="9">
        <v>0.0</v>
      </c>
      <c r="L9" s="9" t="s">
        <v>69</v>
      </c>
      <c r="M9" s="9" t="s">
        <v>55</v>
      </c>
      <c r="N9" s="9">
        <v>2.529413306E7</v>
      </c>
      <c r="O9" s="9">
        <v>2.523403547E7</v>
      </c>
      <c r="P9" s="9">
        <v>2022666.8</v>
      </c>
      <c r="Q9" s="9">
        <v>1869692.0</v>
      </c>
      <c r="R9" s="9" t="s">
        <v>56</v>
      </c>
      <c r="S9" s="9" t="s">
        <v>57</v>
      </c>
      <c r="T9" s="9" t="s">
        <v>58</v>
      </c>
      <c r="V9" s="9">
        <v>2.48189416E7</v>
      </c>
      <c r="W9" s="9">
        <v>0.0</v>
      </c>
      <c r="X9" s="9">
        <v>0.0</v>
      </c>
    </row>
    <row r="10">
      <c r="A10" s="9">
        <v>2023386.0</v>
      </c>
      <c r="B10" s="9">
        <v>371015.0</v>
      </c>
      <c r="C10" s="9">
        <v>30072.0</v>
      </c>
      <c r="D10" s="9" t="s">
        <v>52</v>
      </c>
      <c r="E10" s="9" t="s">
        <v>53</v>
      </c>
      <c r="F10" s="9">
        <v>22433.0</v>
      </c>
      <c r="G10" s="9">
        <v>371015.0</v>
      </c>
      <c r="H10" s="9">
        <v>371015.0</v>
      </c>
      <c r="I10" s="9">
        <v>9999.5</v>
      </c>
      <c r="J10" s="9">
        <v>0.0</v>
      </c>
      <c r="K10" s="9">
        <v>0.0</v>
      </c>
      <c r="L10" s="9" t="s">
        <v>69</v>
      </c>
      <c r="M10" s="9" t="s">
        <v>55</v>
      </c>
      <c r="N10" s="9">
        <v>0.0</v>
      </c>
      <c r="O10" s="9">
        <v>4799112.0</v>
      </c>
      <c r="R10" s="9" t="s">
        <v>60</v>
      </c>
      <c r="S10" s="9" t="s">
        <v>57</v>
      </c>
      <c r="T10" s="9" t="s">
        <v>61</v>
      </c>
      <c r="V10" s="9">
        <v>0.0</v>
      </c>
      <c r="W10" s="9">
        <v>0.0</v>
      </c>
      <c r="X10" s="9">
        <v>0.0</v>
      </c>
    </row>
    <row r="11">
      <c r="A11" s="9">
        <v>2024436.0</v>
      </c>
      <c r="B11" s="9">
        <v>1.1213593E7</v>
      </c>
      <c r="C11" s="9">
        <v>30762.0</v>
      </c>
      <c r="D11" s="9" t="s">
        <v>52</v>
      </c>
      <c r="E11" s="9" t="s">
        <v>53</v>
      </c>
      <c r="F11" s="9">
        <v>19791.0</v>
      </c>
      <c r="G11" s="9">
        <v>1.347930226E7</v>
      </c>
      <c r="H11" s="9">
        <v>1.347930226E7</v>
      </c>
      <c r="I11" s="9">
        <v>1.603116786E7</v>
      </c>
      <c r="J11" s="9">
        <v>0.0</v>
      </c>
      <c r="K11" s="9">
        <v>0.0</v>
      </c>
      <c r="L11" s="9" t="s">
        <v>59</v>
      </c>
      <c r="M11" s="9" t="s">
        <v>55</v>
      </c>
      <c r="N11" s="9">
        <v>1.121359E7</v>
      </c>
      <c r="O11" s="9">
        <v>1.094831191E7</v>
      </c>
      <c r="P11" s="9">
        <v>310000.0</v>
      </c>
      <c r="Q11" s="9">
        <v>300700.0</v>
      </c>
      <c r="R11" s="9" t="s">
        <v>60</v>
      </c>
      <c r="S11" s="9" t="s">
        <v>57</v>
      </c>
      <c r="T11" s="9" t="s">
        <v>61</v>
      </c>
      <c r="V11" s="9">
        <v>1.364290007E7</v>
      </c>
      <c r="W11" s="9">
        <v>483672.6</v>
      </c>
      <c r="X11" s="9">
        <v>0.0</v>
      </c>
    </row>
    <row r="12">
      <c r="A12" s="9">
        <v>2025625.0</v>
      </c>
      <c r="B12" s="9">
        <v>541396.0</v>
      </c>
      <c r="C12" s="9">
        <v>31053.0</v>
      </c>
      <c r="D12" s="9" t="s">
        <v>52</v>
      </c>
      <c r="E12" s="9" t="s">
        <v>53</v>
      </c>
      <c r="F12" s="9">
        <v>18175.0</v>
      </c>
      <c r="G12" s="9">
        <v>687791.0</v>
      </c>
      <c r="H12" s="9">
        <v>687791.0</v>
      </c>
      <c r="I12" s="9">
        <v>370898.6</v>
      </c>
      <c r="J12" s="9">
        <v>0.0</v>
      </c>
      <c r="K12" s="9">
        <v>0.0</v>
      </c>
      <c r="L12" s="9" t="s">
        <v>59</v>
      </c>
      <c r="M12" s="9" t="s">
        <v>55</v>
      </c>
      <c r="R12" s="9" t="s">
        <v>60</v>
      </c>
      <c r="S12" s="9" t="s">
        <v>57</v>
      </c>
      <c r="T12" s="9" t="s">
        <v>61</v>
      </c>
      <c r="V12" s="9">
        <v>329846.77</v>
      </c>
      <c r="W12" s="9">
        <v>0.0</v>
      </c>
      <c r="X12" s="9">
        <v>0.0</v>
      </c>
    </row>
    <row r="13">
      <c r="A13" s="9">
        <v>2025708.0</v>
      </c>
      <c r="B13" s="9">
        <v>1.095679E7</v>
      </c>
      <c r="C13" s="9">
        <v>30384.0</v>
      </c>
      <c r="D13" s="9" t="s">
        <v>52</v>
      </c>
      <c r="E13" s="9" t="s">
        <v>53</v>
      </c>
      <c r="F13" s="9">
        <v>20077.0</v>
      </c>
      <c r="G13" s="9">
        <v>9230541.67</v>
      </c>
      <c r="H13" s="9">
        <v>6462115.28</v>
      </c>
      <c r="I13" s="9">
        <v>9230841.67</v>
      </c>
      <c r="J13" s="9">
        <v>0.0</v>
      </c>
      <c r="K13" s="9">
        <v>0.0</v>
      </c>
      <c r="L13" s="9" t="s">
        <v>59</v>
      </c>
      <c r="M13" s="9" t="s">
        <v>55</v>
      </c>
      <c r="N13" s="9">
        <v>6154397.9</v>
      </c>
      <c r="O13" s="9">
        <v>6462115.28</v>
      </c>
      <c r="P13" s="9">
        <v>173478.96</v>
      </c>
      <c r="Q13" s="9">
        <v>156131.07</v>
      </c>
      <c r="R13" s="9" t="s">
        <v>70</v>
      </c>
      <c r="S13" s="9" t="s">
        <v>57</v>
      </c>
      <c r="T13" s="9" t="s">
        <v>71</v>
      </c>
    </row>
    <row r="14">
      <c r="A14" s="9">
        <v>2026794.0</v>
      </c>
      <c r="B14" s="9">
        <v>813093.0</v>
      </c>
      <c r="C14" s="9">
        <v>30496.0</v>
      </c>
      <c r="D14" s="9" t="s">
        <v>52</v>
      </c>
      <c r="E14" s="9" t="s">
        <v>53</v>
      </c>
      <c r="F14" s="9">
        <v>24381.0</v>
      </c>
      <c r="G14" s="9">
        <v>813093.0</v>
      </c>
      <c r="H14" s="9">
        <v>813093.0</v>
      </c>
      <c r="I14" s="9">
        <v>0.0</v>
      </c>
      <c r="J14" s="9">
        <v>0.0</v>
      </c>
      <c r="K14" s="9">
        <v>0.0</v>
      </c>
      <c r="L14" s="9" t="s">
        <v>54</v>
      </c>
      <c r="M14" s="9" t="s">
        <v>55</v>
      </c>
      <c r="N14" s="9">
        <v>745887.05</v>
      </c>
      <c r="O14" s="9">
        <v>671298.35</v>
      </c>
      <c r="R14" s="9" t="s">
        <v>60</v>
      </c>
      <c r="S14" s="9" t="s">
        <v>57</v>
      </c>
      <c r="T14" s="9" t="s">
        <v>61</v>
      </c>
      <c r="V14" s="9">
        <v>691558.37</v>
      </c>
      <c r="W14" s="9">
        <v>0.0</v>
      </c>
      <c r="X14" s="9">
        <v>0.0</v>
      </c>
    </row>
    <row r="15">
      <c r="A15" s="9">
        <v>2027765.0</v>
      </c>
      <c r="B15" s="9">
        <v>2135621.0</v>
      </c>
      <c r="C15" s="9">
        <v>29856.0</v>
      </c>
      <c r="D15" s="9" t="s">
        <v>52</v>
      </c>
      <c r="E15" s="9" t="s">
        <v>53</v>
      </c>
      <c r="F15" s="9">
        <v>27692.0</v>
      </c>
      <c r="G15" s="9">
        <v>2135621.0</v>
      </c>
      <c r="H15" s="9">
        <v>2135621.0</v>
      </c>
      <c r="I15" s="9">
        <v>151790.0</v>
      </c>
      <c r="J15" s="9">
        <v>0.0</v>
      </c>
      <c r="K15" s="9">
        <v>0.0</v>
      </c>
      <c r="L15" s="9" t="s">
        <v>69</v>
      </c>
      <c r="M15" s="9" t="s">
        <v>55</v>
      </c>
      <c r="N15" s="9">
        <v>1686585.0</v>
      </c>
      <c r="O15" s="9">
        <v>1838377.65</v>
      </c>
      <c r="P15" s="9">
        <v>68181.82</v>
      </c>
      <c r="Q15" s="9">
        <v>57000.0</v>
      </c>
      <c r="R15" s="9" t="s">
        <v>60</v>
      </c>
      <c r="S15" s="9" t="s">
        <v>57</v>
      </c>
      <c r="T15" s="9" t="s">
        <v>61</v>
      </c>
      <c r="V15" s="9">
        <v>963670.02</v>
      </c>
      <c r="W15" s="9">
        <v>58539.0</v>
      </c>
      <c r="X15" s="9">
        <v>0.0</v>
      </c>
    </row>
    <row r="16">
      <c r="A16" s="9">
        <v>2028330.0</v>
      </c>
      <c r="B16" s="9">
        <v>1016474.0</v>
      </c>
      <c r="C16" s="9">
        <v>31083.0</v>
      </c>
      <c r="D16" s="9" t="s">
        <v>52</v>
      </c>
      <c r="E16" s="9" t="s">
        <v>53</v>
      </c>
      <c r="F16" s="9">
        <v>15977.0</v>
      </c>
      <c r="G16" s="9">
        <v>1597845.0</v>
      </c>
      <c r="H16" s="9">
        <v>1597845.0</v>
      </c>
      <c r="I16" s="9">
        <v>1217914.56</v>
      </c>
      <c r="J16" s="9">
        <v>0.0</v>
      </c>
      <c r="K16" s="9">
        <v>0.0</v>
      </c>
      <c r="L16" s="9" t="s">
        <v>69</v>
      </c>
      <c r="M16" s="9" t="s">
        <v>55</v>
      </c>
      <c r="R16" s="9" t="s">
        <v>60</v>
      </c>
      <c r="S16" s="9" t="s">
        <v>57</v>
      </c>
      <c r="T16" s="9" t="s">
        <v>61</v>
      </c>
      <c r="V16" s="9">
        <v>2137063.52</v>
      </c>
      <c r="W16" s="9">
        <v>7784.34</v>
      </c>
      <c r="X16" s="9">
        <v>0.0</v>
      </c>
    </row>
    <row r="17">
      <c r="A17" s="9">
        <v>2028948.0</v>
      </c>
      <c r="B17" s="9">
        <v>1409802.0</v>
      </c>
      <c r="C17" s="9">
        <v>31005.0</v>
      </c>
      <c r="D17" s="9" t="s">
        <v>52</v>
      </c>
      <c r="E17" s="9" t="s">
        <v>53</v>
      </c>
      <c r="F17" s="9">
        <v>7635.0</v>
      </c>
      <c r="G17" s="9">
        <v>1409802.0</v>
      </c>
      <c r="H17" s="9">
        <v>1409802.0</v>
      </c>
      <c r="I17" s="9">
        <v>0.0</v>
      </c>
      <c r="J17" s="9">
        <v>0.0</v>
      </c>
      <c r="K17" s="9">
        <v>0.0</v>
      </c>
      <c r="L17" s="9" t="s">
        <v>54</v>
      </c>
      <c r="M17" s="9" t="s">
        <v>55</v>
      </c>
      <c r="R17" s="9" t="s">
        <v>60</v>
      </c>
      <c r="S17" s="9" t="s">
        <v>57</v>
      </c>
      <c r="T17" s="9" t="s">
        <v>61</v>
      </c>
      <c r="V17" s="9">
        <v>836881.67</v>
      </c>
      <c r="W17" s="9">
        <v>0.0</v>
      </c>
      <c r="X17" s="9">
        <v>0.0</v>
      </c>
    </row>
    <row r="18">
      <c r="A18" s="9">
        <v>2029016.0</v>
      </c>
      <c r="B18" s="9">
        <v>2807949.0</v>
      </c>
      <c r="C18" s="9">
        <v>31242.0</v>
      </c>
      <c r="D18" s="9" t="s">
        <v>52</v>
      </c>
      <c r="E18" s="9" t="s">
        <v>53</v>
      </c>
      <c r="F18" s="9">
        <v>27525.0</v>
      </c>
      <c r="G18" s="9">
        <v>4694693.0</v>
      </c>
      <c r="H18" s="9">
        <v>4694693.0</v>
      </c>
      <c r="I18" s="9">
        <v>5007805.82</v>
      </c>
      <c r="J18" s="9">
        <v>0.0</v>
      </c>
      <c r="K18" s="9">
        <v>0.0</v>
      </c>
      <c r="L18" s="9" t="s">
        <v>69</v>
      </c>
      <c r="M18" s="9" t="s">
        <v>55</v>
      </c>
      <c r="R18" s="9" t="s">
        <v>60</v>
      </c>
      <c r="S18" s="9" t="s">
        <v>57</v>
      </c>
      <c r="T18" s="9" t="s">
        <v>61</v>
      </c>
      <c r="V18" s="9">
        <v>3697387.33</v>
      </c>
      <c r="W18" s="9">
        <v>0.0</v>
      </c>
      <c r="X18" s="9">
        <v>0.0</v>
      </c>
    </row>
    <row r="19">
      <c r="A19" s="9">
        <v>2030269.0</v>
      </c>
      <c r="B19" s="9">
        <v>1460854.0</v>
      </c>
      <c r="C19" s="9">
        <v>30147.0</v>
      </c>
      <c r="D19" s="9" t="s">
        <v>52</v>
      </c>
      <c r="E19" s="9" t="s">
        <v>53</v>
      </c>
      <c r="F19" s="9">
        <v>30412.0</v>
      </c>
      <c r="G19" s="9">
        <v>0.0</v>
      </c>
      <c r="M19" s="9" t="s">
        <v>55</v>
      </c>
      <c r="N19" s="9">
        <v>1000428.73</v>
      </c>
      <c r="O19" s="9">
        <v>900385.87</v>
      </c>
      <c r="P19" s="9">
        <v>1000428.73</v>
      </c>
      <c r="Q19" s="9">
        <v>0.0</v>
      </c>
      <c r="R19" s="9" t="s">
        <v>60</v>
      </c>
      <c r="S19" s="9" t="s">
        <v>57</v>
      </c>
      <c r="T19" s="9" t="s">
        <v>61</v>
      </c>
      <c r="V19" s="9">
        <v>933523.55</v>
      </c>
      <c r="W19" s="9">
        <v>0.0</v>
      </c>
      <c r="X19" s="9">
        <v>0.0</v>
      </c>
    </row>
    <row r="20">
      <c r="A20" s="9">
        <v>2030270.0</v>
      </c>
      <c r="B20" s="9">
        <v>636540.0</v>
      </c>
      <c r="C20" s="9">
        <v>30149.0</v>
      </c>
      <c r="D20" s="9" t="s">
        <v>52</v>
      </c>
      <c r="E20" s="9" t="s">
        <v>53</v>
      </c>
      <c r="F20" s="9">
        <v>30431.0</v>
      </c>
      <c r="G20" s="9">
        <v>372895.39</v>
      </c>
      <c r="H20" s="9">
        <v>372895.39</v>
      </c>
      <c r="I20" s="9">
        <v>0.0</v>
      </c>
      <c r="J20" s="9">
        <v>0.0</v>
      </c>
      <c r="K20" s="9">
        <v>0.0</v>
      </c>
      <c r="L20" s="9" t="s">
        <v>69</v>
      </c>
      <c r="M20" s="9" t="s">
        <v>55</v>
      </c>
      <c r="N20" s="9">
        <v>380081.0</v>
      </c>
      <c r="O20" s="9">
        <v>342073.0</v>
      </c>
      <c r="P20" s="9">
        <v>380081.0</v>
      </c>
      <c r="Q20" s="9">
        <v>0.0</v>
      </c>
      <c r="R20" s="9" t="s">
        <v>60</v>
      </c>
      <c r="S20" s="9" t="s">
        <v>57</v>
      </c>
      <c r="T20" s="9" t="s">
        <v>61</v>
      </c>
      <c r="V20" s="9">
        <v>254511.42</v>
      </c>
      <c r="W20" s="9">
        <v>0.0</v>
      </c>
      <c r="X20" s="9">
        <v>0.0</v>
      </c>
    </row>
    <row r="21" ht="15.75" customHeight="1">
      <c r="A21" s="9">
        <v>2030537.0</v>
      </c>
      <c r="B21" s="9">
        <v>8645797.0</v>
      </c>
      <c r="C21" s="9">
        <v>30638.0</v>
      </c>
      <c r="D21" s="9" t="s">
        <v>52</v>
      </c>
      <c r="E21" s="9" t="s">
        <v>53</v>
      </c>
      <c r="F21" s="9">
        <v>1872.0</v>
      </c>
      <c r="G21" s="9">
        <v>8645797.0</v>
      </c>
      <c r="H21" s="9">
        <v>8645797.0</v>
      </c>
      <c r="I21" s="9">
        <v>8539912.37</v>
      </c>
      <c r="J21" s="9">
        <v>0.0</v>
      </c>
      <c r="K21" s="9">
        <v>0.0</v>
      </c>
      <c r="L21" s="9" t="s">
        <v>69</v>
      </c>
      <c r="M21" s="9" t="s">
        <v>55</v>
      </c>
      <c r="N21" s="9">
        <v>8645797.0</v>
      </c>
      <c r="O21" s="9">
        <v>9207679.98</v>
      </c>
      <c r="P21" s="9">
        <v>185254.44</v>
      </c>
      <c r="Q21" s="9">
        <v>155676.0</v>
      </c>
      <c r="R21" s="9" t="s">
        <v>72</v>
      </c>
      <c r="S21" s="9" t="s">
        <v>57</v>
      </c>
      <c r="T21" s="9" t="s">
        <v>73</v>
      </c>
      <c r="V21" s="9">
        <v>0.0</v>
      </c>
      <c r="W21" s="9">
        <v>155676.0</v>
      </c>
      <c r="X21" s="9">
        <v>0.0</v>
      </c>
    </row>
    <row r="22" ht="15.75" customHeight="1">
      <c r="A22" s="9">
        <v>2030538.0</v>
      </c>
      <c r="B22" s="9">
        <v>1993909.0</v>
      </c>
      <c r="C22" s="9">
        <v>30861.0</v>
      </c>
      <c r="D22" s="9" t="s">
        <v>52</v>
      </c>
      <c r="E22" s="9" t="s">
        <v>53</v>
      </c>
      <c r="F22" s="9">
        <v>12190.0</v>
      </c>
      <c r="G22" s="9">
        <v>4072124.32</v>
      </c>
      <c r="H22" s="9">
        <v>4072124.32</v>
      </c>
      <c r="I22" s="9">
        <v>4169239.86</v>
      </c>
      <c r="J22" s="9">
        <v>0.0</v>
      </c>
      <c r="K22" s="9">
        <v>0.0</v>
      </c>
      <c r="L22" s="9" t="s">
        <v>69</v>
      </c>
      <c r="M22" s="9" t="s">
        <v>55</v>
      </c>
      <c r="N22" s="9">
        <v>1919020.0</v>
      </c>
      <c r="O22" s="9">
        <v>1919020.0</v>
      </c>
      <c r="P22" s="9">
        <v>60000.0</v>
      </c>
      <c r="Q22" s="9">
        <v>54000.0</v>
      </c>
      <c r="R22" s="9" t="s">
        <v>60</v>
      </c>
      <c r="S22" s="9" t="s">
        <v>57</v>
      </c>
      <c r="T22" s="9" t="s">
        <v>61</v>
      </c>
      <c r="V22" s="9">
        <v>3359260.89</v>
      </c>
      <c r="W22" s="9">
        <v>0.0</v>
      </c>
      <c r="X22" s="9">
        <v>0.0</v>
      </c>
    </row>
    <row r="23" ht="15.75" customHeight="1">
      <c r="A23" s="9">
        <v>2030555.0</v>
      </c>
      <c r="B23" s="9">
        <v>1805329.0</v>
      </c>
      <c r="C23" s="9">
        <v>30722.0</v>
      </c>
      <c r="D23" s="9" t="s">
        <v>52</v>
      </c>
      <c r="E23" s="9" t="s">
        <v>53</v>
      </c>
      <c r="F23" s="9">
        <v>26583.0</v>
      </c>
      <c r="G23" s="9">
        <v>1805329.0</v>
      </c>
      <c r="H23" s="9">
        <v>1805329.0</v>
      </c>
      <c r="I23" s="9">
        <v>0.0</v>
      </c>
      <c r="J23" s="9">
        <v>0.0</v>
      </c>
      <c r="K23" s="9">
        <v>0.0</v>
      </c>
      <c r="L23" s="9" t="s">
        <v>54</v>
      </c>
      <c r="M23" s="9" t="s">
        <v>55</v>
      </c>
      <c r="N23" s="9">
        <v>1315486.84</v>
      </c>
      <c r="O23" s="9">
        <v>1183938.16</v>
      </c>
      <c r="P23" s="9">
        <v>42697.0</v>
      </c>
      <c r="Q23" s="9">
        <v>38427.3</v>
      </c>
      <c r="R23" s="9" t="s">
        <v>60</v>
      </c>
      <c r="S23" s="9" t="s">
        <v>57</v>
      </c>
      <c r="T23" s="9" t="s">
        <v>61</v>
      </c>
      <c r="V23" s="9">
        <v>1183938.16</v>
      </c>
      <c r="W23" s="9">
        <v>0.0</v>
      </c>
      <c r="X23" s="9">
        <v>0.0</v>
      </c>
    </row>
    <row r="24" ht="15.75" customHeight="1">
      <c r="A24" s="9">
        <v>2030556.0</v>
      </c>
      <c r="B24" s="9">
        <v>1691681.0</v>
      </c>
      <c r="C24" s="9">
        <v>30734.0</v>
      </c>
      <c r="D24" s="9" t="s">
        <v>52</v>
      </c>
      <c r="E24" s="9" t="s">
        <v>53</v>
      </c>
      <c r="F24" s="9">
        <v>26787.0</v>
      </c>
      <c r="G24" s="9">
        <v>1691681.0</v>
      </c>
      <c r="H24" s="9">
        <v>1691681.0</v>
      </c>
      <c r="I24" s="9">
        <v>1903517.8</v>
      </c>
      <c r="J24" s="9">
        <v>0.0</v>
      </c>
      <c r="K24" s="9">
        <v>0.0</v>
      </c>
      <c r="L24" s="9" t="s">
        <v>69</v>
      </c>
      <c r="M24" s="9" t="s">
        <v>55</v>
      </c>
      <c r="N24" s="9">
        <v>1824350.98</v>
      </c>
      <c r="O24" s="9">
        <v>1824350.98</v>
      </c>
      <c r="P24" s="9">
        <v>36130.02</v>
      </c>
      <c r="Q24" s="9">
        <v>32517.02</v>
      </c>
      <c r="R24" s="9" t="s">
        <v>60</v>
      </c>
      <c r="S24" s="9" t="s">
        <v>57</v>
      </c>
      <c r="T24" s="9" t="s">
        <v>61</v>
      </c>
      <c r="V24" s="9">
        <v>1862667.62</v>
      </c>
      <c r="W24" s="9">
        <v>0.0</v>
      </c>
      <c r="X24" s="9">
        <v>0.0</v>
      </c>
    </row>
    <row r="25" ht="15.75" customHeight="1">
      <c r="A25" s="9">
        <v>2016436.0</v>
      </c>
      <c r="B25" s="9">
        <v>490932.29</v>
      </c>
      <c r="C25" s="9">
        <v>30685.0</v>
      </c>
      <c r="D25" s="9" t="s">
        <v>52</v>
      </c>
      <c r="E25" s="9" t="s">
        <v>53</v>
      </c>
      <c r="F25" s="9">
        <v>7672.0</v>
      </c>
      <c r="G25" s="9">
        <v>490932.29</v>
      </c>
      <c r="H25" s="9">
        <v>490932.29</v>
      </c>
      <c r="I25" s="9">
        <v>667964.28</v>
      </c>
      <c r="J25" s="9">
        <v>0.0</v>
      </c>
      <c r="K25" s="9">
        <v>0.0</v>
      </c>
      <c r="L25" s="9" t="s">
        <v>59</v>
      </c>
      <c r="M25" s="9" t="s">
        <v>55</v>
      </c>
      <c r="N25" s="9">
        <v>143713.0</v>
      </c>
      <c r="O25" s="9">
        <v>140839.0</v>
      </c>
      <c r="R25" s="9" t="s">
        <v>60</v>
      </c>
      <c r="S25" s="9" t="s">
        <v>57</v>
      </c>
      <c r="T25" s="9" t="s">
        <v>61</v>
      </c>
      <c r="V25" s="9">
        <v>148001.84</v>
      </c>
      <c r="W25" s="9">
        <v>0.0</v>
      </c>
      <c r="X25" s="9">
        <v>0.0</v>
      </c>
    </row>
    <row r="26" ht="15.75" customHeight="1">
      <c r="A26" s="9">
        <v>2017265.0</v>
      </c>
      <c r="B26" s="9">
        <v>1893011.8</v>
      </c>
      <c r="C26" s="9">
        <v>30694.0</v>
      </c>
      <c r="D26" s="9" t="s">
        <v>52</v>
      </c>
      <c r="E26" s="9" t="s">
        <v>53</v>
      </c>
      <c r="F26" s="9">
        <v>7008.0</v>
      </c>
      <c r="G26" s="9">
        <v>1893011.8</v>
      </c>
      <c r="H26" s="9">
        <v>1893011.8</v>
      </c>
      <c r="I26" s="9">
        <v>2197967.63</v>
      </c>
      <c r="J26" s="9">
        <v>0.0</v>
      </c>
      <c r="K26" s="9">
        <v>0.0</v>
      </c>
      <c r="L26" s="9" t="s">
        <v>69</v>
      </c>
      <c r="M26" s="9" t="s">
        <v>55</v>
      </c>
      <c r="N26" s="9">
        <v>555904.0</v>
      </c>
      <c r="O26" s="9">
        <v>555904.0</v>
      </c>
      <c r="P26" s="9">
        <v>555904.0</v>
      </c>
      <c r="Q26" s="9">
        <v>13086.34</v>
      </c>
      <c r="R26" s="9" t="s">
        <v>60</v>
      </c>
      <c r="S26" s="9" t="s">
        <v>57</v>
      </c>
      <c r="T26" s="9" t="s">
        <v>61</v>
      </c>
      <c r="V26" s="9">
        <v>711029.89</v>
      </c>
      <c r="W26" s="9">
        <v>0.0</v>
      </c>
      <c r="X26" s="9">
        <v>0.0</v>
      </c>
    </row>
    <row r="27" ht="15.75" customHeight="1">
      <c r="A27" s="9">
        <v>2018910.0</v>
      </c>
      <c r="B27" s="9">
        <v>1486177.0</v>
      </c>
      <c r="C27" s="9">
        <v>30950.0</v>
      </c>
      <c r="D27" s="9" t="s">
        <v>52</v>
      </c>
      <c r="E27" s="9" t="s">
        <v>53</v>
      </c>
      <c r="F27" s="9">
        <v>11773.0</v>
      </c>
      <c r="G27" s="9">
        <v>1486177.0</v>
      </c>
      <c r="H27" s="9">
        <v>1486177.0</v>
      </c>
      <c r="I27" s="9">
        <v>2338064.44</v>
      </c>
      <c r="J27" s="9">
        <v>0.0</v>
      </c>
      <c r="K27" s="9">
        <v>0.0</v>
      </c>
      <c r="L27" s="9" t="s">
        <v>69</v>
      </c>
      <c r="M27" s="9" t="s">
        <v>55</v>
      </c>
      <c r="N27" s="9">
        <v>2060703.89</v>
      </c>
      <c r="O27" s="9">
        <v>1645099.74</v>
      </c>
      <c r="R27" s="9" t="s">
        <v>56</v>
      </c>
      <c r="S27" s="9" t="s">
        <v>57</v>
      </c>
      <c r="T27" s="9" t="s">
        <v>58</v>
      </c>
      <c r="V27" s="9">
        <v>768349.68</v>
      </c>
      <c r="W27" s="9">
        <v>0.0</v>
      </c>
      <c r="X27" s="9">
        <v>2234300.53</v>
      </c>
    </row>
    <row r="28" ht="15.75" customHeight="1">
      <c r="A28" s="9">
        <v>2018978.0</v>
      </c>
      <c r="B28" s="9">
        <v>1970046.0</v>
      </c>
      <c r="C28" s="9">
        <v>31233.0</v>
      </c>
      <c r="D28" s="9" t="s">
        <v>52</v>
      </c>
      <c r="E28" s="9" t="s">
        <v>53</v>
      </c>
      <c r="F28" s="9">
        <v>4319.0</v>
      </c>
      <c r="G28" s="9">
        <v>1999586.28</v>
      </c>
      <c r="H28" s="9">
        <v>1999586.28</v>
      </c>
      <c r="I28" s="9">
        <v>2144524.73</v>
      </c>
      <c r="J28" s="9">
        <v>0.0</v>
      </c>
      <c r="K28" s="9">
        <v>0.0</v>
      </c>
      <c r="L28" s="9" t="s">
        <v>69</v>
      </c>
      <c r="M28" s="9" t="s">
        <v>55</v>
      </c>
      <c r="R28" s="9" t="s">
        <v>56</v>
      </c>
      <c r="S28" s="9" t="s">
        <v>57</v>
      </c>
      <c r="T28" s="9" t="s">
        <v>58</v>
      </c>
      <c r="V28" s="9">
        <v>2136756.81</v>
      </c>
      <c r="W28" s="9">
        <v>0.0</v>
      </c>
      <c r="X28" s="9">
        <v>0.0</v>
      </c>
    </row>
    <row r="29" ht="15.75" customHeight="1">
      <c r="A29" s="9">
        <v>2019410.0</v>
      </c>
      <c r="B29" s="9">
        <v>843490.0</v>
      </c>
      <c r="C29" s="9">
        <v>29936.0</v>
      </c>
      <c r="D29" s="9" t="s">
        <v>52</v>
      </c>
      <c r="E29" s="9" t="s">
        <v>53</v>
      </c>
      <c r="F29" s="9">
        <v>17787.0</v>
      </c>
      <c r="G29" s="9">
        <v>843490.0</v>
      </c>
      <c r="H29" s="9">
        <v>843490.0</v>
      </c>
      <c r="I29" s="9">
        <v>0.0</v>
      </c>
      <c r="J29" s="9">
        <v>0.0</v>
      </c>
      <c r="K29" s="9">
        <v>0.0</v>
      </c>
      <c r="L29" s="9" t="s">
        <v>54</v>
      </c>
      <c r="M29" s="9" t="s">
        <v>55</v>
      </c>
      <c r="N29" s="9">
        <v>888489.0</v>
      </c>
      <c r="O29" s="9">
        <v>888489.0</v>
      </c>
      <c r="P29" s="9">
        <v>888489.0</v>
      </c>
      <c r="Q29" s="9">
        <v>0.0</v>
      </c>
      <c r="R29" s="9" t="s">
        <v>60</v>
      </c>
      <c r="S29" s="9" t="s">
        <v>57</v>
      </c>
      <c r="T29" s="9" t="s">
        <v>61</v>
      </c>
      <c r="V29" s="9">
        <v>872881.74</v>
      </c>
      <c r="W29" s="9">
        <v>10000.0</v>
      </c>
      <c r="X29" s="9">
        <v>0.0</v>
      </c>
    </row>
    <row r="30" ht="15.75" customHeight="1">
      <c r="A30" s="9">
        <v>2019444.0</v>
      </c>
      <c r="B30" s="9">
        <v>1565422.0</v>
      </c>
      <c r="C30" s="9">
        <v>31024.0</v>
      </c>
      <c r="D30" s="9" t="s">
        <v>52</v>
      </c>
      <c r="E30" s="9" t="s">
        <v>53</v>
      </c>
      <c r="F30" s="9">
        <v>12973.0</v>
      </c>
      <c r="G30" s="9">
        <v>1565422.0</v>
      </c>
      <c r="H30" s="9">
        <v>1565422.0</v>
      </c>
      <c r="I30" s="9">
        <v>0.0</v>
      </c>
      <c r="J30" s="9">
        <v>0.0</v>
      </c>
      <c r="K30" s="9">
        <v>0.0</v>
      </c>
      <c r="L30" s="9" t="s">
        <v>54</v>
      </c>
      <c r="M30" s="9" t="s">
        <v>55</v>
      </c>
      <c r="R30" s="9" t="s">
        <v>60</v>
      </c>
      <c r="S30" s="9" t="s">
        <v>57</v>
      </c>
      <c r="T30" s="9" t="s">
        <v>61</v>
      </c>
      <c r="V30" s="9">
        <v>1856225.0</v>
      </c>
      <c r="W30" s="9">
        <v>0.0</v>
      </c>
      <c r="X30" s="9">
        <v>0.0</v>
      </c>
    </row>
    <row r="31" ht="15.75" customHeight="1">
      <c r="A31" s="9">
        <v>2019446.0</v>
      </c>
      <c r="B31" s="9">
        <v>221954.0</v>
      </c>
      <c r="C31" s="9">
        <v>29961.0</v>
      </c>
      <c r="D31" s="9" t="s">
        <v>52</v>
      </c>
      <c r="E31" s="9" t="s">
        <v>53</v>
      </c>
      <c r="F31" s="9">
        <v>12837.0</v>
      </c>
      <c r="G31" s="9">
        <v>1518234.0</v>
      </c>
      <c r="H31" s="9">
        <v>1574440.06</v>
      </c>
      <c r="I31" s="9">
        <v>1625796.74</v>
      </c>
      <c r="J31" s="9">
        <v>0.0</v>
      </c>
      <c r="K31" s="9">
        <v>0.0</v>
      </c>
      <c r="L31" s="9" t="s">
        <v>59</v>
      </c>
      <c r="M31" s="9" t="s">
        <v>55</v>
      </c>
      <c r="N31" s="9">
        <v>1486755.21</v>
      </c>
      <c r="O31" s="9">
        <v>1486755.21</v>
      </c>
      <c r="P31" s="9">
        <v>1486755.21</v>
      </c>
      <c r="Q31" s="9">
        <v>37168.89</v>
      </c>
      <c r="R31" s="9" t="s">
        <v>60</v>
      </c>
      <c r="S31" s="9" t="s">
        <v>57</v>
      </c>
      <c r="T31" s="9" t="s">
        <v>61</v>
      </c>
      <c r="V31" s="9">
        <v>1549609.94</v>
      </c>
      <c r="W31" s="9">
        <v>0.0</v>
      </c>
      <c r="X31" s="9">
        <v>0.0</v>
      </c>
    </row>
    <row r="32" ht="15.75" customHeight="1">
      <c r="A32" s="9">
        <v>2021584.0</v>
      </c>
      <c r="B32" s="9">
        <v>1999513.0</v>
      </c>
      <c r="C32" s="9">
        <v>31162.0</v>
      </c>
      <c r="D32" s="9" t="s">
        <v>52</v>
      </c>
      <c r="E32" s="9" t="s">
        <v>53</v>
      </c>
      <c r="F32" s="9">
        <v>18122.0</v>
      </c>
      <c r="G32" s="9">
        <v>1999513.0</v>
      </c>
      <c r="H32" s="9">
        <v>1999513.0</v>
      </c>
      <c r="I32" s="9">
        <v>1637768.89</v>
      </c>
      <c r="J32" s="9">
        <v>0.0</v>
      </c>
      <c r="K32" s="9">
        <v>0.0</v>
      </c>
      <c r="L32" s="9" t="s">
        <v>69</v>
      </c>
      <c r="M32" s="9" t="s">
        <v>55</v>
      </c>
      <c r="R32" s="9" t="s">
        <v>72</v>
      </c>
      <c r="S32" s="9" t="s">
        <v>57</v>
      </c>
      <c r="T32" s="9" t="s">
        <v>73</v>
      </c>
      <c r="V32" s="9">
        <v>616052.82</v>
      </c>
      <c r="W32" s="9">
        <v>0.0</v>
      </c>
      <c r="X32" s="9">
        <v>0.0</v>
      </c>
    </row>
    <row r="33" ht="15.75" customHeight="1">
      <c r="A33" s="9">
        <v>2021877.0</v>
      </c>
      <c r="B33" s="9">
        <v>6804821.0</v>
      </c>
      <c r="C33" s="9">
        <v>30755.0</v>
      </c>
      <c r="D33" s="9" t="s">
        <v>52</v>
      </c>
      <c r="E33" s="9" t="s">
        <v>53</v>
      </c>
      <c r="F33" s="9">
        <v>702.0</v>
      </c>
      <c r="G33" s="9">
        <v>6804821.0</v>
      </c>
      <c r="H33" s="9">
        <v>6804821.0</v>
      </c>
      <c r="I33" s="9">
        <v>9497902.31</v>
      </c>
      <c r="J33" s="9">
        <v>0.0</v>
      </c>
      <c r="K33" s="9">
        <v>0.0</v>
      </c>
      <c r="L33" s="9" t="s">
        <v>69</v>
      </c>
      <c r="M33" s="9" t="s">
        <v>55</v>
      </c>
      <c r="N33" s="9">
        <v>6622142.0</v>
      </c>
      <c r="O33" s="9">
        <v>7304641.0</v>
      </c>
      <c r="P33" s="9">
        <v>320809.13</v>
      </c>
      <c r="Q33" s="9">
        <v>288728.22</v>
      </c>
      <c r="R33" s="9" t="s">
        <v>60</v>
      </c>
      <c r="S33" s="9" t="s">
        <v>57</v>
      </c>
      <c r="T33" s="9" t="s">
        <v>61</v>
      </c>
      <c r="V33" s="9">
        <v>7447670.79</v>
      </c>
      <c r="W33" s="9">
        <v>0.0</v>
      </c>
      <c r="X33" s="9">
        <v>0.0</v>
      </c>
    </row>
    <row r="34" ht="15.75" customHeight="1">
      <c r="A34" s="9">
        <v>2022711.0</v>
      </c>
      <c r="B34" s="9">
        <v>3546394.0</v>
      </c>
      <c r="C34" s="9">
        <v>31063.0</v>
      </c>
      <c r="D34" s="9" t="s">
        <v>52</v>
      </c>
      <c r="E34" s="9" t="s">
        <v>53</v>
      </c>
      <c r="F34" s="9">
        <v>6336.0</v>
      </c>
      <c r="G34" s="9">
        <v>2899585.0</v>
      </c>
      <c r="H34" s="9">
        <v>2899585.0</v>
      </c>
      <c r="I34" s="9">
        <v>0.0</v>
      </c>
      <c r="J34" s="9">
        <v>0.0</v>
      </c>
      <c r="K34" s="9">
        <v>0.0</v>
      </c>
      <c r="L34" s="9" t="s">
        <v>54</v>
      </c>
      <c r="M34" s="9" t="s">
        <v>55</v>
      </c>
      <c r="R34" s="9" t="s">
        <v>60</v>
      </c>
      <c r="S34" s="9" t="s">
        <v>57</v>
      </c>
      <c r="T34" s="9" t="s">
        <v>61</v>
      </c>
      <c r="V34" s="9">
        <v>2847100.0</v>
      </c>
      <c r="W34" s="9">
        <v>0.0</v>
      </c>
      <c r="X34" s="9">
        <v>0.0</v>
      </c>
    </row>
    <row r="35" ht="15.75" customHeight="1">
      <c r="A35" s="9">
        <v>2022722.0</v>
      </c>
      <c r="B35" s="9">
        <v>1.8278862E7</v>
      </c>
      <c r="C35" s="9">
        <v>48297.0</v>
      </c>
      <c r="D35" s="9" t="s">
        <v>52</v>
      </c>
      <c r="E35" s="9" t="s">
        <v>53</v>
      </c>
      <c r="F35" s="9">
        <v>9311.0</v>
      </c>
      <c r="G35" s="9">
        <v>4.288813863E7</v>
      </c>
      <c r="H35" s="9">
        <v>4.312673248E7</v>
      </c>
      <c r="I35" s="9">
        <v>1.420145562E7</v>
      </c>
      <c r="J35" s="9">
        <v>121768.69</v>
      </c>
      <c r="K35" s="9">
        <v>377880.0</v>
      </c>
      <c r="L35" s="9" t="s">
        <v>59</v>
      </c>
      <c r="M35" s="9" t="s">
        <v>74</v>
      </c>
      <c r="R35" s="9" t="s">
        <v>66</v>
      </c>
      <c r="S35" s="9" t="s">
        <v>67</v>
      </c>
      <c r="T35" s="9" t="s">
        <v>68</v>
      </c>
    </row>
    <row r="36" ht="15.75" customHeight="1">
      <c r="A36" s="9">
        <v>2022945.0</v>
      </c>
      <c r="B36" s="9">
        <v>7429337.0</v>
      </c>
      <c r="C36" s="9">
        <v>30760.0</v>
      </c>
      <c r="D36" s="9" t="s">
        <v>52</v>
      </c>
      <c r="E36" s="9" t="s">
        <v>53</v>
      </c>
      <c r="F36" s="9">
        <v>9992.0</v>
      </c>
      <c r="G36" s="9">
        <v>9814397.7</v>
      </c>
      <c r="H36" s="9">
        <v>9814397.7</v>
      </c>
      <c r="I36" s="9">
        <v>9574525.41</v>
      </c>
      <c r="J36" s="9">
        <v>0.0</v>
      </c>
      <c r="K36" s="9">
        <v>0.0</v>
      </c>
      <c r="L36" s="9" t="s">
        <v>69</v>
      </c>
      <c r="M36" s="9" t="s">
        <v>55</v>
      </c>
      <c r="N36" s="9">
        <v>7032213.0</v>
      </c>
      <c r="O36" s="9">
        <v>7383823.96</v>
      </c>
      <c r="P36" s="9">
        <v>397124.0</v>
      </c>
      <c r="Q36" s="9">
        <v>397124.0</v>
      </c>
      <c r="R36" s="9" t="s">
        <v>72</v>
      </c>
      <c r="S36" s="9" t="s">
        <v>57</v>
      </c>
      <c r="T36" s="9" t="s">
        <v>73</v>
      </c>
      <c r="V36" s="9">
        <v>8286720.95</v>
      </c>
      <c r="W36" s="9">
        <v>491835.37</v>
      </c>
      <c r="X36" s="9">
        <v>0.0</v>
      </c>
    </row>
    <row r="37" ht="15.75" customHeight="1">
      <c r="A37" s="9">
        <v>2025630.0</v>
      </c>
      <c r="B37" s="9">
        <v>870922.0</v>
      </c>
      <c r="C37" s="9">
        <v>30761.0</v>
      </c>
      <c r="D37" s="9" t="s">
        <v>52</v>
      </c>
      <c r="E37" s="9" t="s">
        <v>53</v>
      </c>
      <c r="F37" s="9">
        <v>19736.0</v>
      </c>
      <c r="G37" s="9">
        <v>870922.0</v>
      </c>
      <c r="H37" s="9">
        <v>870922.0</v>
      </c>
      <c r="I37" s="9">
        <v>2104123.4</v>
      </c>
      <c r="J37" s="9">
        <v>0.0</v>
      </c>
      <c r="K37" s="9">
        <v>0.0</v>
      </c>
      <c r="L37" s="9" t="s">
        <v>69</v>
      </c>
      <c r="M37" s="9" t="s">
        <v>55</v>
      </c>
      <c r="N37" s="9">
        <v>1011471.42</v>
      </c>
      <c r="O37" s="9">
        <v>1222558.7</v>
      </c>
      <c r="R37" s="9" t="s">
        <v>60</v>
      </c>
      <c r="S37" s="9" t="s">
        <v>57</v>
      </c>
      <c r="T37" s="9" t="s">
        <v>61</v>
      </c>
      <c r="V37" s="9">
        <v>1222558.7</v>
      </c>
      <c r="W37" s="9">
        <v>0.0</v>
      </c>
      <c r="X37" s="9">
        <v>0.0</v>
      </c>
    </row>
    <row r="38" ht="15.75" customHeight="1">
      <c r="A38" s="9">
        <v>2025660.0</v>
      </c>
      <c r="B38" s="9">
        <v>1994896.0</v>
      </c>
      <c r="C38" s="9">
        <v>31081.0</v>
      </c>
      <c r="D38" s="9" t="s">
        <v>52</v>
      </c>
      <c r="E38" s="9" t="s">
        <v>53</v>
      </c>
      <c r="F38" s="9">
        <v>21765.0</v>
      </c>
      <c r="G38" s="9">
        <v>1994896.0</v>
      </c>
      <c r="H38" s="9">
        <v>1994896.0</v>
      </c>
      <c r="I38" s="9">
        <v>1375338.12</v>
      </c>
      <c r="J38" s="9">
        <v>0.0</v>
      </c>
      <c r="K38" s="9">
        <v>0.0</v>
      </c>
      <c r="L38" s="9" t="s">
        <v>59</v>
      </c>
      <c r="M38" s="9" t="s">
        <v>55</v>
      </c>
      <c r="R38" s="9" t="s">
        <v>56</v>
      </c>
      <c r="S38" s="9" t="s">
        <v>57</v>
      </c>
      <c r="T38" s="9" t="s">
        <v>58</v>
      </c>
      <c r="V38" s="9">
        <v>1897011.53</v>
      </c>
      <c r="W38" s="9">
        <v>95000.0</v>
      </c>
      <c r="X38" s="9">
        <v>0.0</v>
      </c>
    </row>
    <row r="39" ht="15.75" customHeight="1">
      <c r="A39" s="9">
        <v>2026355.0</v>
      </c>
      <c r="B39" s="9">
        <v>687022.0</v>
      </c>
      <c r="C39" s="9">
        <v>30819.0</v>
      </c>
      <c r="D39" s="9" t="s">
        <v>52</v>
      </c>
      <c r="E39" s="9" t="s">
        <v>53</v>
      </c>
      <c r="F39" s="9">
        <v>20292.0</v>
      </c>
      <c r="G39" s="9">
        <v>687022.0</v>
      </c>
      <c r="H39" s="9">
        <v>687022.0</v>
      </c>
      <c r="I39" s="9">
        <v>678412.0</v>
      </c>
      <c r="J39" s="9">
        <v>0.0</v>
      </c>
      <c r="K39" s="9">
        <v>0.0</v>
      </c>
      <c r="L39" s="9" t="s">
        <v>69</v>
      </c>
      <c r="M39" s="9" t="s">
        <v>55</v>
      </c>
      <c r="N39" s="9">
        <v>666412.0</v>
      </c>
      <c r="O39" s="9">
        <v>666412.0</v>
      </c>
      <c r="P39" s="9">
        <v>0.0</v>
      </c>
      <c r="Q39" s="9">
        <v>12000.0</v>
      </c>
      <c r="R39" s="9" t="s">
        <v>56</v>
      </c>
      <c r="S39" s="9" t="s">
        <v>57</v>
      </c>
      <c r="T39" s="9" t="s">
        <v>58</v>
      </c>
      <c r="V39" s="9">
        <v>666411.99</v>
      </c>
      <c r="W39" s="9">
        <v>0.0</v>
      </c>
      <c r="X39" s="9">
        <v>0.0</v>
      </c>
    </row>
    <row r="40" ht="15.75" customHeight="1">
      <c r="A40" s="9">
        <v>2027825.0</v>
      </c>
      <c r="B40" s="9">
        <v>1067190.0</v>
      </c>
      <c r="C40" s="9">
        <v>30632.0</v>
      </c>
      <c r="D40" s="9" t="s">
        <v>52</v>
      </c>
      <c r="E40" s="9" t="s">
        <v>53</v>
      </c>
      <c r="F40" s="9">
        <v>25559.0</v>
      </c>
      <c r="G40" s="9">
        <v>1067190.0</v>
      </c>
      <c r="H40" s="9">
        <v>1067190.0</v>
      </c>
      <c r="I40" s="9">
        <v>611037.05</v>
      </c>
      <c r="J40" s="9">
        <v>0.0</v>
      </c>
      <c r="K40" s="9">
        <v>0.0</v>
      </c>
      <c r="L40" s="9" t="s">
        <v>59</v>
      </c>
      <c r="M40" s="9" t="s">
        <v>55</v>
      </c>
      <c r="N40" s="9">
        <v>891114.94</v>
      </c>
      <c r="O40" s="9">
        <v>673952.48</v>
      </c>
      <c r="P40" s="9">
        <v>20682.2</v>
      </c>
      <c r="Q40" s="9">
        <v>15642.0</v>
      </c>
      <c r="R40" s="9" t="s">
        <v>72</v>
      </c>
      <c r="S40" s="9" t="s">
        <v>57</v>
      </c>
      <c r="T40" s="9" t="s">
        <v>73</v>
      </c>
      <c r="V40" s="9">
        <v>777642.14</v>
      </c>
      <c r="W40" s="9">
        <v>0.0</v>
      </c>
      <c r="X40" s="9">
        <v>0.0</v>
      </c>
    </row>
    <row r="41" ht="15.75" customHeight="1">
      <c r="A41" s="9">
        <v>2027902.0</v>
      </c>
      <c r="B41" s="9">
        <v>3997661.0</v>
      </c>
      <c r="C41" s="9">
        <v>31039.0</v>
      </c>
      <c r="D41" s="9" t="s">
        <v>52</v>
      </c>
      <c r="E41" s="9" t="s">
        <v>53</v>
      </c>
      <c r="F41" s="9">
        <v>27852.0</v>
      </c>
      <c r="G41" s="9">
        <v>3997661.0</v>
      </c>
      <c r="H41" s="9">
        <v>3997661.0</v>
      </c>
      <c r="I41" s="9">
        <v>9818405.77</v>
      </c>
      <c r="J41" s="9">
        <v>0.0</v>
      </c>
      <c r="K41" s="9">
        <v>0.0</v>
      </c>
      <c r="L41" s="9" t="s">
        <v>59</v>
      </c>
      <c r="M41" s="9" t="s">
        <v>55</v>
      </c>
      <c r="R41" s="9" t="s">
        <v>60</v>
      </c>
      <c r="S41" s="9" t="s">
        <v>57</v>
      </c>
      <c r="T41" s="9" t="s">
        <v>61</v>
      </c>
      <c r="V41" s="9">
        <v>9778787.77</v>
      </c>
      <c r="W41" s="9">
        <v>0.0</v>
      </c>
      <c r="X41" s="9">
        <v>0.0</v>
      </c>
    </row>
    <row r="42" ht="15.75" customHeight="1">
      <c r="A42" s="9">
        <v>2027995.0</v>
      </c>
      <c r="B42" s="9">
        <v>1327607.0</v>
      </c>
      <c r="C42" s="9">
        <v>31191.0</v>
      </c>
      <c r="D42" s="9" t="s">
        <v>52</v>
      </c>
      <c r="E42" s="9" t="s">
        <v>53</v>
      </c>
      <c r="F42" s="9">
        <v>25133.0</v>
      </c>
      <c r="G42" s="9">
        <v>1327607.0</v>
      </c>
      <c r="H42" s="9">
        <v>1327607.0</v>
      </c>
      <c r="I42" s="9">
        <v>0.0</v>
      </c>
      <c r="J42" s="9">
        <v>0.0</v>
      </c>
      <c r="K42" s="9">
        <v>0.0</v>
      </c>
      <c r="L42" s="9" t="s">
        <v>54</v>
      </c>
      <c r="M42" s="9" t="s">
        <v>55</v>
      </c>
      <c r="R42" s="9" t="s">
        <v>60</v>
      </c>
      <c r="S42" s="9" t="s">
        <v>57</v>
      </c>
      <c r="T42" s="9" t="s">
        <v>61</v>
      </c>
      <c r="V42" s="9">
        <v>1091548.85</v>
      </c>
      <c r="W42" s="9">
        <v>0.0</v>
      </c>
      <c r="X42" s="9">
        <v>0.0</v>
      </c>
    </row>
    <row r="43" ht="15.75" customHeight="1">
      <c r="A43" s="9">
        <v>2029429.0</v>
      </c>
      <c r="B43" s="9">
        <v>1992916.0</v>
      </c>
      <c r="C43" s="9">
        <v>30677.0</v>
      </c>
      <c r="D43" s="9" t="s">
        <v>52</v>
      </c>
      <c r="E43" s="9" t="s">
        <v>53</v>
      </c>
      <c r="F43" s="9">
        <v>14941.0</v>
      </c>
      <c r="G43" s="9">
        <v>1992916.0</v>
      </c>
      <c r="H43" s="9">
        <v>2459749.45</v>
      </c>
      <c r="I43" s="9">
        <v>4014698.7</v>
      </c>
      <c r="J43" s="9">
        <v>0.0</v>
      </c>
      <c r="K43" s="9">
        <v>0.0</v>
      </c>
      <c r="L43" s="9" t="s">
        <v>69</v>
      </c>
      <c r="M43" s="9" t="s">
        <v>55</v>
      </c>
      <c r="N43" s="9">
        <v>2259738.61</v>
      </c>
      <c r="O43" s="9">
        <v>2459749.5</v>
      </c>
      <c r="P43" s="9">
        <v>2259738.61</v>
      </c>
      <c r="Q43" s="9">
        <v>80916.73</v>
      </c>
      <c r="R43" s="9" t="s">
        <v>60</v>
      </c>
      <c r="S43" s="9" t="s">
        <v>57</v>
      </c>
      <c r="T43" s="9" t="s">
        <v>61</v>
      </c>
      <c r="V43" s="9">
        <v>2988341.78</v>
      </c>
      <c r="W43" s="9">
        <v>0.0</v>
      </c>
      <c r="X43" s="9">
        <v>0.0</v>
      </c>
    </row>
    <row r="44" ht="15.75" customHeight="1">
      <c r="A44" s="9">
        <v>2030174.0</v>
      </c>
      <c r="B44" s="9">
        <v>733505.0</v>
      </c>
      <c r="C44" s="9">
        <v>31229.0</v>
      </c>
      <c r="D44" s="9" t="s">
        <v>52</v>
      </c>
      <c r="E44" s="9" t="s">
        <v>53</v>
      </c>
      <c r="F44" s="9">
        <v>24322.0</v>
      </c>
      <c r="G44" s="9">
        <v>733505.0</v>
      </c>
      <c r="H44" s="9">
        <v>733505.0</v>
      </c>
      <c r="I44" s="9">
        <v>0.0</v>
      </c>
      <c r="J44" s="9">
        <v>0.0</v>
      </c>
      <c r="K44" s="9">
        <v>0.0</v>
      </c>
      <c r="L44" s="9" t="s">
        <v>54</v>
      </c>
      <c r="M44" s="9" t="s">
        <v>55</v>
      </c>
      <c r="R44" s="9" t="s">
        <v>75</v>
      </c>
      <c r="S44" s="9" t="s">
        <v>57</v>
      </c>
      <c r="T44" s="9" t="s">
        <v>76</v>
      </c>
    </row>
    <row r="45" ht="15.75" customHeight="1">
      <c r="A45" s="9">
        <v>2030176.0</v>
      </c>
      <c r="B45" s="9">
        <v>4347941.0</v>
      </c>
      <c r="C45" s="9">
        <v>30585.0</v>
      </c>
      <c r="D45" s="9" t="s">
        <v>52</v>
      </c>
      <c r="E45" s="9" t="s">
        <v>53</v>
      </c>
      <c r="F45" s="9">
        <v>6222.0</v>
      </c>
      <c r="G45" s="9">
        <v>4347941.0</v>
      </c>
      <c r="H45" s="9">
        <v>4347941.0</v>
      </c>
      <c r="I45" s="9">
        <v>0.0</v>
      </c>
      <c r="J45" s="9">
        <v>0.0</v>
      </c>
      <c r="K45" s="9">
        <v>0.0</v>
      </c>
      <c r="L45" s="9" t="s">
        <v>69</v>
      </c>
      <c r="M45" s="9" t="s">
        <v>55</v>
      </c>
      <c r="N45" s="9">
        <v>4167941.0</v>
      </c>
      <c r="O45" s="9">
        <v>4163773.05</v>
      </c>
      <c r="P45" s="9">
        <v>166635.7</v>
      </c>
      <c r="Q45" s="9">
        <v>149972.13</v>
      </c>
      <c r="R45" s="9" t="s">
        <v>60</v>
      </c>
      <c r="S45" s="9" t="s">
        <v>57</v>
      </c>
      <c r="T45" s="9" t="s">
        <v>61</v>
      </c>
      <c r="V45" s="9">
        <v>4347941.0</v>
      </c>
      <c r="W45" s="9">
        <v>0.0</v>
      </c>
      <c r="X45" s="9">
        <v>0.0</v>
      </c>
    </row>
    <row r="46" ht="15.75" customHeight="1">
      <c r="A46" s="9">
        <v>2030267.0</v>
      </c>
      <c r="B46" s="9">
        <v>1709257.0</v>
      </c>
      <c r="C46" s="9">
        <v>30144.0</v>
      </c>
      <c r="D46" s="9" t="s">
        <v>52</v>
      </c>
      <c r="E46" s="9" t="s">
        <v>53</v>
      </c>
      <c r="F46" s="9">
        <v>30355.0</v>
      </c>
      <c r="G46" s="9">
        <v>1709257.0</v>
      </c>
      <c r="H46" s="9">
        <v>1709257.0</v>
      </c>
      <c r="I46" s="9">
        <v>0.0</v>
      </c>
      <c r="J46" s="9">
        <v>0.0</v>
      </c>
      <c r="K46" s="9">
        <v>0.0</v>
      </c>
      <c r="L46" s="9" t="s">
        <v>69</v>
      </c>
      <c r="M46" s="9" t="s">
        <v>55</v>
      </c>
      <c r="N46" s="9">
        <v>1049114.87</v>
      </c>
      <c r="O46" s="9">
        <v>944203.41</v>
      </c>
      <c r="R46" s="9" t="s">
        <v>60</v>
      </c>
      <c r="S46" s="9" t="s">
        <v>57</v>
      </c>
      <c r="T46" s="9" t="s">
        <v>61</v>
      </c>
      <c r="V46" s="9">
        <v>244045.9</v>
      </c>
      <c r="W46" s="9">
        <v>0.0</v>
      </c>
      <c r="X46" s="9">
        <v>0.0</v>
      </c>
    </row>
    <row r="47" ht="15.75" customHeight="1">
      <c r="A47" s="9">
        <v>2030569.0</v>
      </c>
      <c r="B47" s="9">
        <v>1772806.0</v>
      </c>
      <c r="C47" s="9">
        <v>30316.0</v>
      </c>
      <c r="D47" s="9" t="s">
        <v>52</v>
      </c>
      <c r="E47" s="9" t="s">
        <v>53</v>
      </c>
      <c r="F47" s="9">
        <v>10913.0</v>
      </c>
      <c r="G47" s="9">
        <v>1772806.0</v>
      </c>
      <c r="H47" s="9">
        <v>1772806.0</v>
      </c>
      <c r="I47" s="9">
        <v>1970766.42</v>
      </c>
      <c r="J47" s="9">
        <v>0.0</v>
      </c>
      <c r="K47" s="9">
        <v>0.0</v>
      </c>
      <c r="L47" s="9" t="s">
        <v>69</v>
      </c>
      <c r="M47" s="9" t="s">
        <v>55</v>
      </c>
      <c r="N47" s="9">
        <v>1617767.87</v>
      </c>
      <c r="O47" s="9">
        <v>1696956.92</v>
      </c>
      <c r="P47" s="9">
        <v>151020.52</v>
      </c>
      <c r="Q47" s="9">
        <v>166122.57</v>
      </c>
      <c r="R47" s="9" t="s">
        <v>60</v>
      </c>
      <c r="S47" s="9" t="s">
        <v>57</v>
      </c>
      <c r="T47" s="9" t="s">
        <v>61</v>
      </c>
      <c r="V47" s="9">
        <v>2014090.77</v>
      </c>
      <c r="W47" s="9">
        <v>0.0</v>
      </c>
      <c r="X47" s="9">
        <v>0.0</v>
      </c>
    </row>
    <row r="48" ht="15.75" customHeight="1">
      <c r="A48" s="9">
        <v>2030570.0</v>
      </c>
      <c r="B48" s="9">
        <v>1619400.0</v>
      </c>
      <c r="C48" s="9">
        <v>30317.0</v>
      </c>
      <c r="D48" s="9" t="s">
        <v>52</v>
      </c>
      <c r="E48" s="9" t="s">
        <v>53</v>
      </c>
      <c r="F48" s="9">
        <v>15747.0</v>
      </c>
      <c r="G48" s="9">
        <v>1619400.0</v>
      </c>
      <c r="H48" s="9">
        <v>1652653.31</v>
      </c>
      <c r="I48" s="9">
        <v>2821075.98</v>
      </c>
      <c r="J48" s="9">
        <v>0.0</v>
      </c>
      <c r="K48" s="9">
        <v>0.0</v>
      </c>
      <c r="L48" s="9" t="s">
        <v>69</v>
      </c>
      <c r="M48" s="9" t="s">
        <v>55</v>
      </c>
      <c r="N48" s="9">
        <v>1483760.91</v>
      </c>
      <c r="O48" s="9">
        <v>1335384.82</v>
      </c>
      <c r="P48" s="9">
        <v>135612.4</v>
      </c>
      <c r="Q48" s="9">
        <v>122051.26</v>
      </c>
      <c r="R48" s="9" t="s">
        <v>75</v>
      </c>
      <c r="S48" s="9" t="s">
        <v>57</v>
      </c>
      <c r="T48" s="9" t="s">
        <v>76</v>
      </c>
    </row>
    <row r="49" ht="15.75" customHeight="1">
      <c r="A49" s="9">
        <v>2030573.0</v>
      </c>
      <c r="B49" s="9">
        <v>1043980.0</v>
      </c>
      <c r="C49" s="9">
        <v>31193.0</v>
      </c>
      <c r="D49" s="9" t="s">
        <v>52</v>
      </c>
      <c r="E49" s="9" t="s">
        <v>53</v>
      </c>
      <c r="F49" s="9">
        <v>26698.0</v>
      </c>
      <c r="G49" s="9">
        <v>1357419.0</v>
      </c>
      <c r="H49" s="9">
        <v>1043980.0</v>
      </c>
      <c r="I49" s="9">
        <v>0.0</v>
      </c>
      <c r="J49" s="9">
        <v>0.0</v>
      </c>
      <c r="K49" s="9">
        <v>0.0</v>
      </c>
      <c r="L49" s="9" t="s">
        <v>54</v>
      </c>
      <c r="M49" s="9" t="s">
        <v>55</v>
      </c>
      <c r="R49" s="9" t="s">
        <v>60</v>
      </c>
      <c r="S49" s="9" t="s">
        <v>57</v>
      </c>
      <c r="T49" s="9" t="s">
        <v>61</v>
      </c>
      <c r="V49" s="9">
        <v>504883.47</v>
      </c>
      <c r="W49" s="9">
        <v>0.0</v>
      </c>
      <c r="X49" s="9">
        <v>0.0</v>
      </c>
    </row>
    <row r="50" ht="15.75" customHeight="1">
      <c r="A50" s="9">
        <v>2030587.0</v>
      </c>
      <c r="B50" s="9">
        <v>106444.0</v>
      </c>
      <c r="C50" s="9">
        <v>30686.0</v>
      </c>
      <c r="D50" s="9" t="s">
        <v>52</v>
      </c>
      <c r="E50" s="9" t="s">
        <v>53</v>
      </c>
      <c r="F50" s="9">
        <v>5781.0</v>
      </c>
      <c r="G50" s="9">
        <v>106444.0</v>
      </c>
      <c r="H50" s="9">
        <v>95931.24</v>
      </c>
      <c r="I50" s="9">
        <v>131090.24</v>
      </c>
      <c r="J50" s="9">
        <v>0.0</v>
      </c>
      <c r="K50" s="9">
        <v>0.0</v>
      </c>
      <c r="L50" s="9" t="s">
        <v>59</v>
      </c>
      <c r="M50" s="9" t="s">
        <v>55</v>
      </c>
      <c r="N50" s="9">
        <v>106444.0</v>
      </c>
      <c r="O50" s="9">
        <v>106444.0</v>
      </c>
      <c r="R50" s="9" t="s">
        <v>60</v>
      </c>
      <c r="S50" s="9" t="s">
        <v>57</v>
      </c>
      <c r="T50" s="9" t="s">
        <v>61</v>
      </c>
      <c r="V50" s="9">
        <v>123433.27</v>
      </c>
      <c r="W50" s="9">
        <v>0.0</v>
      </c>
      <c r="X50" s="9">
        <v>0.0</v>
      </c>
    </row>
    <row r="51" ht="15.75" customHeight="1">
      <c r="A51" s="9">
        <v>2030588.0</v>
      </c>
      <c r="B51" s="9">
        <v>1957796.0</v>
      </c>
      <c r="C51" s="9">
        <v>30687.0</v>
      </c>
      <c r="D51" s="9" t="s">
        <v>52</v>
      </c>
      <c r="E51" s="9" t="s">
        <v>53</v>
      </c>
      <c r="F51" s="9">
        <v>6845.0</v>
      </c>
      <c r="G51" s="9">
        <v>1957796.0</v>
      </c>
      <c r="H51" s="9">
        <v>1957796.0</v>
      </c>
      <c r="I51" s="9">
        <v>496883.02</v>
      </c>
      <c r="J51" s="9">
        <v>0.0</v>
      </c>
      <c r="K51" s="9">
        <v>0.0</v>
      </c>
      <c r="L51" s="9" t="s">
        <v>59</v>
      </c>
      <c r="M51" s="9" t="s">
        <v>55</v>
      </c>
      <c r="N51" s="9">
        <v>457448.0</v>
      </c>
      <c r="O51" s="9">
        <v>511914.0</v>
      </c>
      <c r="R51" s="9" t="s">
        <v>72</v>
      </c>
      <c r="S51" s="9" t="s">
        <v>57</v>
      </c>
      <c r="T51" s="9" t="s">
        <v>73</v>
      </c>
      <c r="V51" s="9">
        <v>457448.0</v>
      </c>
      <c r="W51" s="9">
        <v>10000.0</v>
      </c>
      <c r="X51" s="9">
        <v>0.0</v>
      </c>
    </row>
    <row r="52" ht="15.75" customHeight="1">
      <c r="A52" s="9">
        <v>2030606.0</v>
      </c>
      <c r="B52" s="9">
        <v>1195259.0</v>
      </c>
      <c r="C52" s="9">
        <v>31230.0</v>
      </c>
      <c r="D52" s="9" t="s">
        <v>52</v>
      </c>
      <c r="E52" s="9" t="s">
        <v>53</v>
      </c>
      <c r="F52" s="9">
        <v>30664.0</v>
      </c>
      <c r="G52" s="9">
        <v>1195259.0</v>
      </c>
      <c r="H52" s="9">
        <v>1195259.0</v>
      </c>
      <c r="I52" s="9">
        <v>255587.47</v>
      </c>
      <c r="J52" s="9">
        <v>0.0</v>
      </c>
      <c r="K52" s="9">
        <v>0.0</v>
      </c>
      <c r="L52" s="9" t="s">
        <v>69</v>
      </c>
      <c r="M52" s="9" t="s">
        <v>55</v>
      </c>
      <c r="R52" s="9" t="s">
        <v>60</v>
      </c>
      <c r="S52" s="9" t="s">
        <v>57</v>
      </c>
      <c r="T52" s="9" t="s">
        <v>61</v>
      </c>
      <c r="V52" s="9">
        <v>899997.91</v>
      </c>
      <c r="W52" s="9">
        <v>0.0</v>
      </c>
      <c r="X52" s="9">
        <v>0.0</v>
      </c>
    </row>
    <row r="53" ht="15.75" customHeight="1">
      <c r="A53" s="9">
        <v>2030723.0</v>
      </c>
      <c r="B53" s="9">
        <v>1965163.0</v>
      </c>
      <c r="C53" s="9">
        <v>29603.0</v>
      </c>
      <c r="D53" s="9" t="s">
        <v>52</v>
      </c>
      <c r="E53" s="9" t="s">
        <v>53</v>
      </c>
      <c r="F53" s="9">
        <v>14747.0</v>
      </c>
      <c r="G53" s="9">
        <v>1965163.0</v>
      </c>
      <c r="H53" s="9">
        <v>1965163.0</v>
      </c>
      <c r="I53" s="9">
        <v>0.0</v>
      </c>
      <c r="J53" s="9">
        <v>0.0</v>
      </c>
      <c r="K53" s="9">
        <v>0.0</v>
      </c>
      <c r="L53" s="9" t="s">
        <v>54</v>
      </c>
      <c r="M53" s="9" t="s">
        <v>65</v>
      </c>
      <c r="N53" s="9">
        <v>0.0</v>
      </c>
      <c r="O53" s="9">
        <v>54000.0</v>
      </c>
      <c r="R53" s="9" t="s">
        <v>60</v>
      </c>
      <c r="S53" s="9" t="s">
        <v>57</v>
      </c>
      <c r="T53" s="9" t="s">
        <v>61</v>
      </c>
    </row>
    <row r="54" ht="15.75" customHeight="1">
      <c r="A54" s="9">
        <v>2030737.0</v>
      </c>
      <c r="B54" s="9">
        <v>363672.0</v>
      </c>
      <c r="C54" s="9">
        <v>30400.0</v>
      </c>
      <c r="D54" s="9" t="s">
        <v>52</v>
      </c>
      <c r="E54" s="9" t="s">
        <v>53</v>
      </c>
      <c r="F54" s="9">
        <v>34814.0</v>
      </c>
      <c r="G54" s="9">
        <v>363672.0</v>
      </c>
      <c r="H54" s="9">
        <v>363672.0</v>
      </c>
      <c r="I54" s="9">
        <v>0.0</v>
      </c>
      <c r="J54" s="9">
        <v>0.0</v>
      </c>
      <c r="K54" s="9">
        <v>0.0</v>
      </c>
      <c r="L54" s="9" t="s">
        <v>54</v>
      </c>
      <c r="M54" s="9" t="s">
        <v>55</v>
      </c>
      <c r="N54" s="9">
        <v>355816.0</v>
      </c>
      <c r="O54" s="9">
        <v>385815.99</v>
      </c>
      <c r="P54" s="9">
        <v>355816.0</v>
      </c>
      <c r="Q54" s="9">
        <v>24500.0</v>
      </c>
      <c r="R54" s="9" t="s">
        <v>60</v>
      </c>
      <c r="S54" s="9" t="s">
        <v>57</v>
      </c>
      <c r="T54" s="9" t="s">
        <v>61</v>
      </c>
      <c r="V54" s="9">
        <v>385815.99</v>
      </c>
      <c r="W54" s="9">
        <v>0.0</v>
      </c>
      <c r="X54" s="9">
        <v>0.0</v>
      </c>
    </row>
    <row r="55" ht="15.75" customHeight="1">
      <c r="A55" s="9">
        <v>2030738.0</v>
      </c>
      <c r="B55" s="9">
        <v>3.5332632E7</v>
      </c>
      <c r="C55" s="9">
        <v>30395.0</v>
      </c>
      <c r="D55" s="9" t="s">
        <v>52</v>
      </c>
      <c r="E55" s="9" t="s">
        <v>53</v>
      </c>
      <c r="F55" s="9">
        <v>28632.0</v>
      </c>
      <c r="G55" s="9">
        <v>3.5332632E7</v>
      </c>
      <c r="H55" s="9">
        <v>3.5332632E7</v>
      </c>
      <c r="I55" s="9">
        <v>0.0</v>
      </c>
      <c r="J55" s="9">
        <v>0.0</v>
      </c>
      <c r="K55" s="9">
        <v>0.0</v>
      </c>
      <c r="L55" s="9" t="s">
        <v>54</v>
      </c>
      <c r="M55" s="9" t="s">
        <v>55</v>
      </c>
      <c r="N55" s="9">
        <v>1.84E7</v>
      </c>
      <c r="O55" s="9">
        <v>1.84E7</v>
      </c>
      <c r="P55" s="9">
        <v>551860.0</v>
      </c>
      <c r="Q55" s="9">
        <v>496674.0</v>
      </c>
      <c r="R55" s="9" t="s">
        <v>60</v>
      </c>
      <c r="S55" s="9" t="s">
        <v>57</v>
      </c>
      <c r="T55" s="9" t="s">
        <v>61</v>
      </c>
      <c r="V55" s="9">
        <v>2.108587222E7</v>
      </c>
      <c r="W55" s="9">
        <v>0.0</v>
      </c>
      <c r="X55" s="9">
        <v>0.0</v>
      </c>
    </row>
    <row r="56" ht="15.75" customHeight="1">
      <c r="A56" s="9">
        <v>2030755.0</v>
      </c>
      <c r="B56" s="9">
        <v>1.6291365E7</v>
      </c>
      <c r="C56" s="9">
        <v>30740.0</v>
      </c>
      <c r="D56" s="9" t="s">
        <v>52</v>
      </c>
      <c r="E56" s="9" t="s">
        <v>53</v>
      </c>
      <c r="F56" s="9">
        <v>1960.0</v>
      </c>
      <c r="G56" s="9">
        <v>1.966344507E7</v>
      </c>
      <c r="H56" s="9">
        <v>1.978810964E7</v>
      </c>
      <c r="I56" s="9">
        <v>2.249724856E7</v>
      </c>
      <c r="J56" s="9">
        <v>0.0</v>
      </c>
      <c r="K56" s="9">
        <v>0.0</v>
      </c>
      <c r="L56" s="9" t="s">
        <v>59</v>
      </c>
      <c r="M56" s="9" t="s">
        <v>55</v>
      </c>
      <c r="N56" s="9">
        <v>1.5316499E7</v>
      </c>
      <c r="O56" s="9">
        <v>1.605707865E7</v>
      </c>
      <c r="P56" s="9">
        <v>658711.41</v>
      </c>
      <c r="Q56" s="9">
        <v>592840.27</v>
      </c>
      <c r="R56" s="9" t="s">
        <v>77</v>
      </c>
      <c r="S56" s="9" t="s">
        <v>78</v>
      </c>
      <c r="T56" s="9" t="s">
        <v>79</v>
      </c>
      <c r="U56" s="9" t="s">
        <v>80</v>
      </c>
    </row>
    <row r="57" ht="15.75" customHeight="1">
      <c r="A57" s="9">
        <v>2030756.0</v>
      </c>
      <c r="B57" s="9">
        <v>1.3958899E7</v>
      </c>
      <c r="C57" s="9">
        <v>30871.0</v>
      </c>
      <c r="D57" s="9" t="s">
        <v>52</v>
      </c>
      <c r="E57" s="9" t="s">
        <v>53</v>
      </c>
      <c r="F57" s="9">
        <v>29738.0</v>
      </c>
      <c r="G57" s="9">
        <v>1.36588993E7</v>
      </c>
      <c r="H57" s="9">
        <v>1.36588993E7</v>
      </c>
      <c r="I57" s="9">
        <v>1.173242235E7</v>
      </c>
      <c r="J57" s="9">
        <v>0.0</v>
      </c>
      <c r="K57" s="9">
        <v>0.0</v>
      </c>
      <c r="L57" s="9" t="s">
        <v>69</v>
      </c>
      <c r="M57" s="9" t="s">
        <v>55</v>
      </c>
      <c r="N57" s="9">
        <v>7893538.24</v>
      </c>
      <c r="O57" s="9">
        <v>7734514.46</v>
      </c>
      <c r="P57" s="9">
        <v>126246.45</v>
      </c>
      <c r="Q57" s="9">
        <v>113621.81</v>
      </c>
      <c r="R57" s="9" t="s">
        <v>60</v>
      </c>
      <c r="S57" s="9" t="s">
        <v>57</v>
      </c>
      <c r="T57" s="9" t="s">
        <v>61</v>
      </c>
      <c r="V57" s="9">
        <v>7843630.85</v>
      </c>
      <c r="W57" s="9">
        <v>771805.5</v>
      </c>
      <c r="X57" s="9">
        <v>2808801.02</v>
      </c>
    </row>
    <row r="58" ht="15.75" customHeight="1">
      <c r="A58" s="9">
        <v>2030773.0</v>
      </c>
      <c r="B58" s="9">
        <v>33313.0</v>
      </c>
      <c r="C58" s="9">
        <v>31316.0</v>
      </c>
      <c r="D58" s="9" t="s">
        <v>52</v>
      </c>
      <c r="E58" s="9" t="s">
        <v>53</v>
      </c>
      <c r="F58" s="9">
        <v>29785.0</v>
      </c>
      <c r="G58" s="9">
        <v>33313.0</v>
      </c>
      <c r="H58" s="9">
        <v>33313.0</v>
      </c>
      <c r="I58" s="9">
        <v>0.0</v>
      </c>
      <c r="J58" s="9">
        <v>0.0</v>
      </c>
      <c r="K58" s="9">
        <v>0.0</v>
      </c>
      <c r="L58" s="9" t="s">
        <v>54</v>
      </c>
      <c r="M58" s="9" t="s">
        <v>55</v>
      </c>
      <c r="R58" s="9" t="s">
        <v>56</v>
      </c>
      <c r="S58" s="9" t="s">
        <v>57</v>
      </c>
      <c r="T58" s="9" t="s">
        <v>58</v>
      </c>
      <c r="V58" s="9">
        <v>21625.68</v>
      </c>
      <c r="W58" s="9">
        <v>0.0</v>
      </c>
      <c r="X58" s="9">
        <v>0.0</v>
      </c>
    </row>
    <row r="59" ht="15.75" customHeight="1">
      <c r="A59" s="9">
        <v>2031492.0</v>
      </c>
      <c r="B59" s="9">
        <v>785962.0</v>
      </c>
      <c r="C59" s="9">
        <v>31287.0</v>
      </c>
      <c r="D59" s="9" t="s">
        <v>52</v>
      </c>
      <c r="E59" s="9" t="s">
        <v>53</v>
      </c>
      <c r="F59" s="9">
        <v>5806.0</v>
      </c>
      <c r="G59" s="9">
        <v>785962.0</v>
      </c>
      <c r="H59" s="9">
        <v>785962.0</v>
      </c>
      <c r="I59" s="9">
        <v>579126.43</v>
      </c>
      <c r="J59" s="9">
        <v>0.0</v>
      </c>
      <c r="K59" s="9">
        <v>0.0</v>
      </c>
      <c r="L59" s="9" t="s">
        <v>69</v>
      </c>
      <c r="M59" s="9" t="s">
        <v>55</v>
      </c>
      <c r="R59" s="9" t="s">
        <v>60</v>
      </c>
      <c r="S59" s="9" t="s">
        <v>57</v>
      </c>
      <c r="T59" s="9" t="s">
        <v>61</v>
      </c>
      <c r="V59" s="9">
        <v>545376.43</v>
      </c>
      <c r="W59" s="9">
        <v>0.0</v>
      </c>
      <c r="X59" s="9">
        <v>0.0</v>
      </c>
    </row>
    <row r="60" ht="15.75" customHeight="1">
      <c r="A60" s="9">
        <v>2031641.0</v>
      </c>
      <c r="B60" s="9">
        <v>2.5648761E7</v>
      </c>
      <c r="C60" s="9">
        <v>30953.0</v>
      </c>
      <c r="D60" s="9" t="s">
        <v>52</v>
      </c>
      <c r="E60" s="9" t="s">
        <v>53</v>
      </c>
      <c r="F60" s="9">
        <v>23828.0</v>
      </c>
      <c r="G60" s="9">
        <v>2.4856957E7</v>
      </c>
      <c r="H60" s="9">
        <v>2.4856957E7</v>
      </c>
      <c r="I60" s="9">
        <v>2.504705658E7</v>
      </c>
      <c r="J60" s="9">
        <v>0.0</v>
      </c>
      <c r="K60" s="9">
        <v>0.0</v>
      </c>
      <c r="L60" s="9" t="s">
        <v>69</v>
      </c>
      <c r="M60" s="9" t="s">
        <v>55</v>
      </c>
      <c r="N60" s="9">
        <v>2.28E7</v>
      </c>
      <c r="O60" s="9">
        <v>2.28E7</v>
      </c>
      <c r="P60" s="9">
        <v>830547.49</v>
      </c>
      <c r="Q60" s="9">
        <v>697939.07</v>
      </c>
      <c r="R60" s="9" t="s">
        <v>60</v>
      </c>
      <c r="S60" s="9" t="s">
        <v>57</v>
      </c>
      <c r="T60" s="9" t="s">
        <v>61</v>
      </c>
      <c r="V60" s="9">
        <v>2.44662914E7</v>
      </c>
      <c r="W60" s="9">
        <v>580523.95</v>
      </c>
      <c r="X60" s="9">
        <v>0.0</v>
      </c>
    </row>
    <row r="61" ht="15.75" customHeight="1">
      <c r="A61" s="9">
        <v>2031691.0</v>
      </c>
      <c r="B61" s="9">
        <v>4.0513748E7</v>
      </c>
      <c r="C61" s="9">
        <v>47179.0</v>
      </c>
      <c r="D61" s="9" t="s">
        <v>52</v>
      </c>
      <c r="E61" s="9" t="s">
        <v>53</v>
      </c>
      <c r="F61" s="9">
        <v>34548.0</v>
      </c>
      <c r="G61" s="9">
        <v>4.082596864E7</v>
      </c>
      <c r="H61" s="9">
        <v>3.953250303E7</v>
      </c>
      <c r="I61" s="9">
        <v>2.951358898E7</v>
      </c>
      <c r="J61" s="9">
        <v>9414272.19</v>
      </c>
      <c r="K61" s="9">
        <v>1.8956731E7</v>
      </c>
      <c r="L61" s="9" t="s">
        <v>59</v>
      </c>
      <c r="M61" s="9" t="s">
        <v>55</v>
      </c>
      <c r="N61" s="9">
        <v>3.732796759E7</v>
      </c>
      <c r="O61" s="9">
        <v>3.732735678E7</v>
      </c>
      <c r="P61" s="9">
        <v>1862723.83</v>
      </c>
      <c r="Q61" s="9">
        <v>1420721.57</v>
      </c>
      <c r="R61" s="9" t="s">
        <v>81</v>
      </c>
      <c r="S61" s="9" t="s">
        <v>82</v>
      </c>
      <c r="T61" s="9" t="s">
        <v>83</v>
      </c>
      <c r="U61" s="9" t="s">
        <v>84</v>
      </c>
    </row>
    <row r="62" ht="15.75" customHeight="1">
      <c r="A62" s="9">
        <v>2032127.0</v>
      </c>
      <c r="B62" s="9">
        <v>59548.0</v>
      </c>
      <c r="C62" s="9">
        <v>30751.0</v>
      </c>
      <c r="D62" s="9" t="s">
        <v>52</v>
      </c>
      <c r="E62" s="9" t="s">
        <v>53</v>
      </c>
      <c r="F62" s="9">
        <v>24750.0</v>
      </c>
      <c r="G62" s="9">
        <v>59548.0</v>
      </c>
      <c r="H62" s="9">
        <v>59548.0</v>
      </c>
      <c r="I62" s="9">
        <v>71686.35</v>
      </c>
      <c r="J62" s="9">
        <v>0.0</v>
      </c>
      <c r="K62" s="9">
        <v>0.0</v>
      </c>
      <c r="L62" s="9" t="s">
        <v>69</v>
      </c>
      <c r="M62" s="9" t="s">
        <v>55</v>
      </c>
      <c r="N62" s="9">
        <v>58824.0</v>
      </c>
      <c r="O62" s="9">
        <v>65744.11</v>
      </c>
      <c r="R62" s="9" t="s">
        <v>60</v>
      </c>
      <c r="S62" s="9" t="s">
        <v>57</v>
      </c>
      <c r="T62" s="9" t="s">
        <v>61</v>
      </c>
      <c r="V62" s="9">
        <v>66106.35</v>
      </c>
      <c r="W62" s="9">
        <v>0.0</v>
      </c>
      <c r="X62" s="9">
        <v>0.0</v>
      </c>
    </row>
    <row r="63" ht="15.75" customHeight="1">
      <c r="A63" s="9">
        <v>2036186.0</v>
      </c>
      <c r="B63" s="9">
        <v>1522502.0</v>
      </c>
      <c r="C63" s="9">
        <v>30758.0</v>
      </c>
      <c r="D63" s="9" t="s">
        <v>52</v>
      </c>
      <c r="E63" s="9" t="s">
        <v>53</v>
      </c>
      <c r="F63" s="9">
        <v>34561.0</v>
      </c>
      <c r="G63" s="9">
        <v>1522502.0</v>
      </c>
      <c r="H63" s="9">
        <v>1522502.0</v>
      </c>
      <c r="I63" s="9">
        <v>1661311.92</v>
      </c>
      <c r="J63" s="9">
        <v>0.0</v>
      </c>
      <c r="K63" s="9">
        <v>0.0</v>
      </c>
      <c r="L63" s="9" t="s">
        <v>69</v>
      </c>
      <c r="M63" s="9" t="s">
        <v>55</v>
      </c>
      <c r="N63" s="9">
        <v>1479042.0</v>
      </c>
      <c r="O63" s="9">
        <v>1617080.0</v>
      </c>
      <c r="R63" s="9" t="s">
        <v>60</v>
      </c>
      <c r="S63" s="9" t="s">
        <v>57</v>
      </c>
      <c r="T63" s="9" t="s">
        <v>61</v>
      </c>
      <c r="V63" s="9">
        <v>1598748.93</v>
      </c>
      <c r="W63" s="9">
        <v>0.0</v>
      </c>
      <c r="X63" s="9">
        <v>0.0</v>
      </c>
    </row>
    <row r="64" ht="15.75" customHeight="1">
      <c r="A64" s="9">
        <v>2036303.0</v>
      </c>
      <c r="B64" s="9">
        <v>235361.0</v>
      </c>
      <c r="C64" s="9">
        <v>31115.0</v>
      </c>
      <c r="D64" s="9" t="s">
        <v>52</v>
      </c>
      <c r="E64" s="9" t="s">
        <v>53</v>
      </c>
      <c r="F64" s="9">
        <v>32404.0</v>
      </c>
      <c r="G64" s="9">
        <v>235361.0</v>
      </c>
      <c r="H64" s="9">
        <v>235361.0</v>
      </c>
      <c r="I64" s="9">
        <v>552315.96</v>
      </c>
      <c r="J64" s="9">
        <v>0.0</v>
      </c>
      <c r="K64" s="9">
        <v>0.0</v>
      </c>
      <c r="L64" s="9" t="s">
        <v>59</v>
      </c>
      <c r="M64" s="9" t="s">
        <v>55</v>
      </c>
      <c r="R64" s="9" t="s">
        <v>60</v>
      </c>
      <c r="S64" s="9" t="s">
        <v>57</v>
      </c>
      <c r="T64" s="9" t="s">
        <v>61</v>
      </c>
      <c r="V64" s="9">
        <v>537528.42</v>
      </c>
      <c r="W64" s="9">
        <v>0.0</v>
      </c>
      <c r="X64" s="9">
        <v>0.0</v>
      </c>
    </row>
    <row r="65" ht="15.75" customHeight="1">
      <c r="A65" s="9">
        <v>2037422.0</v>
      </c>
      <c r="B65" s="9">
        <v>521570.0</v>
      </c>
      <c r="C65" s="9">
        <v>31011.0</v>
      </c>
      <c r="D65" s="9" t="s">
        <v>52</v>
      </c>
      <c r="E65" s="9" t="s">
        <v>53</v>
      </c>
      <c r="F65" s="9">
        <v>37351.0</v>
      </c>
      <c r="G65" s="9">
        <v>728669.0</v>
      </c>
      <c r="H65" s="9">
        <v>521570.0</v>
      </c>
      <c r="I65" s="9">
        <v>0.0</v>
      </c>
      <c r="J65" s="9">
        <v>0.0</v>
      </c>
      <c r="K65" s="9">
        <v>0.0</v>
      </c>
      <c r="L65" s="9" t="s">
        <v>54</v>
      </c>
      <c r="M65" s="9" t="s">
        <v>55</v>
      </c>
      <c r="R65" s="9" t="s">
        <v>60</v>
      </c>
      <c r="S65" s="9" t="s">
        <v>57</v>
      </c>
      <c r="T65" s="9" t="s">
        <v>61</v>
      </c>
      <c r="V65" s="9">
        <v>728670.4</v>
      </c>
      <c r="W65" s="9">
        <v>0.0</v>
      </c>
      <c r="X65" s="9">
        <v>0.0</v>
      </c>
    </row>
    <row r="66" ht="15.75" customHeight="1">
      <c r="A66" s="9">
        <v>2037622.0</v>
      </c>
      <c r="B66" s="9">
        <v>2.319028E7</v>
      </c>
      <c r="C66" s="9">
        <v>30764.0</v>
      </c>
      <c r="D66" s="9" t="s">
        <v>52</v>
      </c>
      <c r="E66" s="9" t="s">
        <v>53</v>
      </c>
      <c r="F66" s="9">
        <v>28929.0</v>
      </c>
      <c r="G66" s="9">
        <v>2.5454632E7</v>
      </c>
      <c r="H66" s="9">
        <v>2.5454632E7</v>
      </c>
      <c r="I66" s="9">
        <v>2.719857767E7</v>
      </c>
      <c r="J66" s="9">
        <v>0.0</v>
      </c>
      <c r="K66" s="9">
        <v>0.0</v>
      </c>
      <c r="L66" s="9" t="s">
        <v>69</v>
      </c>
      <c r="M66" s="9" t="s">
        <v>55</v>
      </c>
      <c r="N66" s="9">
        <v>2.3039293E7</v>
      </c>
      <c r="O66" s="9">
        <v>2.303929327E7</v>
      </c>
      <c r="R66" s="9" t="s">
        <v>56</v>
      </c>
      <c r="S66" s="9" t="s">
        <v>57</v>
      </c>
      <c r="T66" s="9" t="s">
        <v>58</v>
      </c>
      <c r="V66" s="9">
        <v>2.303929327E7</v>
      </c>
      <c r="W66" s="9">
        <v>0.0</v>
      </c>
      <c r="X66" s="9">
        <v>0.0</v>
      </c>
    </row>
    <row r="67" ht="15.75" customHeight="1">
      <c r="A67" s="9">
        <v>2038458.0</v>
      </c>
      <c r="B67" s="9">
        <v>1.5543225E7</v>
      </c>
      <c r="C67" s="9">
        <v>48113.0</v>
      </c>
      <c r="D67" s="9" t="s">
        <v>52</v>
      </c>
      <c r="E67" s="9" t="s">
        <v>53</v>
      </c>
      <c r="F67" s="9">
        <v>25707.0</v>
      </c>
      <c r="G67" s="9">
        <v>2.44006138E7</v>
      </c>
      <c r="H67" s="9">
        <v>2.848257254E7</v>
      </c>
      <c r="I67" s="9">
        <v>2.518198007E7</v>
      </c>
      <c r="J67" s="9">
        <v>0.0</v>
      </c>
      <c r="K67" s="9">
        <v>379516.0</v>
      </c>
      <c r="L67" s="9" t="s">
        <v>59</v>
      </c>
      <c r="M67" s="9" t="s">
        <v>74</v>
      </c>
      <c r="R67" s="9" t="s">
        <v>85</v>
      </c>
      <c r="S67" s="9" t="s">
        <v>67</v>
      </c>
      <c r="T67" s="9" t="s">
        <v>86</v>
      </c>
    </row>
    <row r="68" ht="15.75" customHeight="1">
      <c r="A68" s="9">
        <v>2038593.0</v>
      </c>
      <c r="B68" s="9">
        <v>5912500.0</v>
      </c>
      <c r="C68" s="9">
        <v>31171.0</v>
      </c>
      <c r="D68" s="9" t="s">
        <v>52</v>
      </c>
      <c r="E68" s="9" t="s">
        <v>53</v>
      </c>
      <c r="F68" s="9">
        <v>9652.0</v>
      </c>
      <c r="G68" s="9">
        <v>5912500.0</v>
      </c>
      <c r="H68" s="9">
        <v>5912500.0</v>
      </c>
      <c r="I68" s="9">
        <v>89783.69</v>
      </c>
      <c r="J68" s="9">
        <v>0.0</v>
      </c>
      <c r="K68" s="9">
        <v>0.0</v>
      </c>
      <c r="L68" s="9" t="s">
        <v>59</v>
      </c>
      <c r="M68" s="9" t="s">
        <v>55</v>
      </c>
      <c r="R68" s="9" t="s">
        <v>60</v>
      </c>
      <c r="S68" s="9" t="s">
        <v>57</v>
      </c>
      <c r="T68" s="9" t="s">
        <v>61</v>
      </c>
      <c r="V68" s="9">
        <v>5040806.66</v>
      </c>
      <c r="W68" s="9">
        <v>0.0</v>
      </c>
      <c r="X68" s="9">
        <v>0.0</v>
      </c>
    </row>
    <row r="69" ht="15.75" customHeight="1">
      <c r="A69" s="9">
        <v>2015101.0</v>
      </c>
      <c r="B69" s="9">
        <v>89900.0</v>
      </c>
      <c r="C69" s="9">
        <v>31082.0</v>
      </c>
      <c r="D69" s="9" t="s">
        <v>52</v>
      </c>
      <c r="E69" s="9" t="s">
        <v>53</v>
      </c>
      <c r="F69" s="9">
        <v>32693.0</v>
      </c>
      <c r="G69" s="9">
        <v>89900.0</v>
      </c>
      <c r="H69" s="9">
        <v>89900.0</v>
      </c>
      <c r="I69" s="9">
        <v>0.0</v>
      </c>
      <c r="J69" s="9">
        <v>0.0</v>
      </c>
      <c r="K69" s="9">
        <v>0.0</v>
      </c>
      <c r="L69" s="9" t="s">
        <v>54</v>
      </c>
      <c r="M69" s="9" t="s">
        <v>55</v>
      </c>
      <c r="R69" s="9" t="s">
        <v>60</v>
      </c>
      <c r="S69" s="9" t="s">
        <v>57</v>
      </c>
      <c r="T69" s="9" t="s">
        <v>61</v>
      </c>
      <c r="V69" s="9">
        <v>100576.31</v>
      </c>
      <c r="W69" s="9">
        <v>0.0</v>
      </c>
      <c r="X69" s="9">
        <v>0.0</v>
      </c>
    </row>
    <row r="70" ht="15.75" customHeight="1">
      <c r="A70" s="9">
        <v>2015819.0</v>
      </c>
      <c r="B70" s="9">
        <v>0.0</v>
      </c>
      <c r="C70" s="9">
        <v>38063.0</v>
      </c>
      <c r="D70" s="9" t="s">
        <v>52</v>
      </c>
      <c r="E70" s="9" t="s">
        <v>87</v>
      </c>
      <c r="F70" s="9">
        <v>0.0</v>
      </c>
      <c r="G70" s="9">
        <v>0.0</v>
      </c>
      <c r="M70" s="9" t="s">
        <v>55</v>
      </c>
      <c r="N70" s="9">
        <v>0.0</v>
      </c>
      <c r="O70" s="9">
        <v>6.410231768E7</v>
      </c>
      <c r="R70" s="9" t="s">
        <v>72</v>
      </c>
      <c r="S70" s="9" t="s">
        <v>57</v>
      </c>
      <c r="T70" s="9" t="s">
        <v>73</v>
      </c>
      <c r="V70" s="9">
        <v>1.1690213916E8</v>
      </c>
      <c r="W70" s="9">
        <v>2.231047645E7</v>
      </c>
    </row>
    <row r="71" ht="15.75" customHeight="1">
      <c r="A71" s="9">
        <v>2017723.0</v>
      </c>
      <c r="B71" s="9">
        <v>5928091.0</v>
      </c>
      <c r="C71" s="9">
        <v>38119.0</v>
      </c>
      <c r="D71" s="9" t="s">
        <v>52</v>
      </c>
      <c r="E71" s="9" t="s">
        <v>88</v>
      </c>
      <c r="F71" s="9">
        <v>6507.0</v>
      </c>
      <c r="G71" s="9">
        <v>2.480047801E7</v>
      </c>
      <c r="H71" s="9">
        <v>2.987736878E7</v>
      </c>
      <c r="I71" s="9">
        <v>3.145766337E7</v>
      </c>
      <c r="J71" s="9">
        <v>0.0</v>
      </c>
      <c r="K71" s="9">
        <v>18651.0</v>
      </c>
      <c r="L71" s="9" t="s">
        <v>59</v>
      </c>
      <c r="M71" s="9" t="s">
        <v>55</v>
      </c>
      <c r="N71" s="9">
        <v>1.693561407E7</v>
      </c>
      <c r="O71" s="9">
        <v>1.680357368E7</v>
      </c>
      <c r="P71" s="9">
        <v>807059.12</v>
      </c>
      <c r="Q71" s="9">
        <v>798988.52</v>
      </c>
      <c r="R71" s="9" t="s">
        <v>89</v>
      </c>
      <c r="S71" s="9" t="s">
        <v>90</v>
      </c>
      <c r="T71" s="9" t="s">
        <v>91</v>
      </c>
      <c r="V71" s="9">
        <v>662199.74</v>
      </c>
    </row>
    <row r="72" ht="15.75" customHeight="1">
      <c r="A72" s="9">
        <v>2018502.0</v>
      </c>
      <c r="B72" s="9">
        <v>1999475.0</v>
      </c>
      <c r="C72" s="9">
        <v>30386.0</v>
      </c>
      <c r="D72" s="9" t="s">
        <v>52</v>
      </c>
      <c r="E72" s="9" t="s">
        <v>53</v>
      </c>
      <c r="F72" s="9">
        <v>4507.0</v>
      </c>
      <c r="G72" s="9">
        <v>1999475.0</v>
      </c>
      <c r="H72" s="9">
        <v>1999475.0</v>
      </c>
      <c r="I72" s="9">
        <v>1835638.14</v>
      </c>
      <c r="J72" s="9">
        <v>0.0</v>
      </c>
      <c r="K72" s="9">
        <v>0.0</v>
      </c>
      <c r="L72" s="9" t="s">
        <v>59</v>
      </c>
      <c r="M72" s="9" t="s">
        <v>55</v>
      </c>
      <c r="N72" s="9">
        <v>715918.0</v>
      </c>
      <c r="O72" s="9">
        <v>644325.94</v>
      </c>
      <c r="P72" s="9">
        <v>715918.0</v>
      </c>
      <c r="Q72" s="9">
        <v>13300.0</v>
      </c>
      <c r="R72" s="9" t="s">
        <v>72</v>
      </c>
      <c r="S72" s="9" t="s">
        <v>57</v>
      </c>
      <c r="T72" s="9" t="s">
        <v>73</v>
      </c>
      <c r="V72" s="9">
        <v>245449.47</v>
      </c>
      <c r="W72" s="9">
        <v>5500.0</v>
      </c>
      <c r="X72" s="9">
        <v>0.0</v>
      </c>
    </row>
    <row r="73" ht="15.75" customHeight="1">
      <c r="A73" s="9">
        <v>2021767.0</v>
      </c>
      <c r="B73" s="9">
        <v>1180170.0</v>
      </c>
      <c r="C73" s="9">
        <v>30642.0</v>
      </c>
      <c r="D73" s="9" t="s">
        <v>52</v>
      </c>
      <c r="E73" s="9" t="s">
        <v>53</v>
      </c>
      <c r="F73" s="9">
        <v>14181.0</v>
      </c>
      <c r="G73" s="9">
        <v>1180170.0</v>
      </c>
      <c r="H73" s="9">
        <v>1180170.0</v>
      </c>
      <c r="I73" s="9">
        <v>926270.66</v>
      </c>
      <c r="J73" s="9">
        <v>0.0</v>
      </c>
      <c r="K73" s="9">
        <v>0.0</v>
      </c>
      <c r="L73" s="9" t="s">
        <v>69</v>
      </c>
      <c r="M73" s="9" t="s">
        <v>55</v>
      </c>
      <c r="N73" s="9">
        <v>1062363.27</v>
      </c>
      <c r="O73" s="9">
        <v>988309.03</v>
      </c>
      <c r="P73" s="9">
        <v>41822.55</v>
      </c>
      <c r="Q73" s="9">
        <v>31630.5</v>
      </c>
      <c r="R73" s="9" t="s">
        <v>60</v>
      </c>
      <c r="S73" s="9" t="s">
        <v>57</v>
      </c>
      <c r="T73" s="9" t="s">
        <v>61</v>
      </c>
      <c r="V73" s="9">
        <v>1039185.05</v>
      </c>
      <c r="W73" s="9">
        <v>0.0</v>
      </c>
      <c r="X73" s="9">
        <v>0.0</v>
      </c>
    </row>
    <row r="74" ht="15.75" customHeight="1">
      <c r="A74" s="9">
        <v>2021878.0</v>
      </c>
      <c r="B74" s="9">
        <v>5194685.0</v>
      </c>
      <c r="C74" s="9">
        <v>31239.0</v>
      </c>
      <c r="D74" s="9" t="s">
        <v>52</v>
      </c>
      <c r="E74" s="9" t="s">
        <v>53</v>
      </c>
      <c r="F74" s="9">
        <v>16679.0</v>
      </c>
      <c r="G74" s="9">
        <v>8719891.0</v>
      </c>
      <c r="H74" s="9">
        <v>8719891.0</v>
      </c>
      <c r="I74" s="9">
        <v>8797695.14</v>
      </c>
      <c r="J74" s="9">
        <v>0.0</v>
      </c>
      <c r="K74" s="9">
        <v>0.0</v>
      </c>
      <c r="L74" s="9" t="s">
        <v>69</v>
      </c>
      <c r="M74" s="9" t="s">
        <v>55</v>
      </c>
      <c r="R74" s="9" t="s">
        <v>75</v>
      </c>
      <c r="S74" s="9" t="s">
        <v>57</v>
      </c>
      <c r="T74" s="9" t="s">
        <v>76</v>
      </c>
      <c r="V74" s="9">
        <v>8797695.14</v>
      </c>
      <c r="W74" s="9">
        <v>0.0</v>
      </c>
      <c r="X74" s="9">
        <v>0.0</v>
      </c>
    </row>
    <row r="75" ht="15.75" customHeight="1">
      <c r="A75" s="9">
        <v>2021885.0</v>
      </c>
      <c r="B75" s="9">
        <v>4445437.0</v>
      </c>
      <c r="C75" s="9">
        <v>30650.0</v>
      </c>
      <c r="D75" s="9" t="s">
        <v>52</v>
      </c>
      <c r="E75" s="9" t="s">
        <v>53</v>
      </c>
      <c r="F75" s="9">
        <v>7048.0</v>
      </c>
      <c r="G75" s="9">
        <v>9365050.36</v>
      </c>
      <c r="H75" s="9">
        <v>9365050.36</v>
      </c>
      <c r="I75" s="9">
        <v>1.045309658E7</v>
      </c>
      <c r="J75" s="9">
        <v>0.0</v>
      </c>
      <c r="K75" s="9">
        <v>0.0</v>
      </c>
      <c r="L75" s="9" t="s">
        <v>69</v>
      </c>
      <c r="M75" s="9" t="s">
        <v>55</v>
      </c>
      <c r="N75" s="9">
        <v>8836732.24</v>
      </c>
      <c r="O75" s="9">
        <v>7231321.45</v>
      </c>
      <c r="P75" s="9">
        <v>426995.8</v>
      </c>
      <c r="Q75" s="9">
        <v>358820.0</v>
      </c>
      <c r="R75" s="9" t="s">
        <v>60</v>
      </c>
      <c r="S75" s="9" t="s">
        <v>57</v>
      </c>
      <c r="T75" s="9" t="s">
        <v>61</v>
      </c>
      <c r="V75" s="9">
        <v>1.218591079E7</v>
      </c>
      <c r="W75" s="9">
        <v>849283.33</v>
      </c>
      <c r="X75" s="9">
        <v>0.0</v>
      </c>
    </row>
    <row r="76" ht="15.75" customHeight="1">
      <c r="A76" s="9">
        <v>2022696.0</v>
      </c>
      <c r="B76" s="9">
        <v>5941283.0</v>
      </c>
      <c r="C76" s="9">
        <v>30870.0</v>
      </c>
      <c r="D76" s="9" t="s">
        <v>52</v>
      </c>
      <c r="E76" s="9" t="s">
        <v>53</v>
      </c>
      <c r="F76" s="9">
        <v>12759.0</v>
      </c>
      <c r="G76" s="9">
        <v>5941283.0</v>
      </c>
      <c r="H76" s="9">
        <v>5941283.0</v>
      </c>
      <c r="I76" s="9">
        <v>1399994.95</v>
      </c>
      <c r="J76" s="9">
        <v>0.0</v>
      </c>
      <c r="K76" s="9">
        <v>0.0</v>
      </c>
      <c r="L76" s="9" t="s">
        <v>59</v>
      </c>
      <c r="M76" s="9" t="s">
        <v>55</v>
      </c>
      <c r="N76" s="9">
        <v>3646237.86</v>
      </c>
      <c r="O76" s="9">
        <v>3828007.55</v>
      </c>
      <c r="P76" s="9">
        <v>260284.83</v>
      </c>
      <c r="Q76" s="9">
        <v>282734.18</v>
      </c>
      <c r="R76" s="9" t="s">
        <v>75</v>
      </c>
      <c r="S76" s="9" t="s">
        <v>57</v>
      </c>
      <c r="T76" s="9" t="s">
        <v>76</v>
      </c>
      <c r="V76" s="9">
        <v>3812085.15</v>
      </c>
      <c r="W76" s="9">
        <v>0.0</v>
      </c>
      <c r="X76" s="9">
        <v>0.0</v>
      </c>
    </row>
    <row r="77" ht="15.75" customHeight="1">
      <c r="A77" s="9">
        <v>2022746.0</v>
      </c>
      <c r="B77" s="9">
        <v>5311113.0</v>
      </c>
      <c r="C77" s="9">
        <v>30020.0</v>
      </c>
      <c r="D77" s="9" t="s">
        <v>52</v>
      </c>
      <c r="E77" s="9" t="s">
        <v>53</v>
      </c>
      <c r="F77" s="9">
        <v>20326.0</v>
      </c>
      <c r="G77" s="9">
        <v>5311113.0</v>
      </c>
      <c r="H77" s="9">
        <v>5311113.0</v>
      </c>
      <c r="I77" s="9">
        <v>4611104.48</v>
      </c>
      <c r="J77" s="9">
        <v>0.0</v>
      </c>
      <c r="K77" s="9">
        <v>0.0</v>
      </c>
      <c r="L77" s="9" t="s">
        <v>59</v>
      </c>
      <c r="M77" s="9" t="s">
        <v>55</v>
      </c>
      <c r="N77" s="9">
        <v>4215031.62</v>
      </c>
      <c r="O77" s="9">
        <v>3793528.48</v>
      </c>
      <c r="P77" s="9">
        <v>123446.25</v>
      </c>
      <c r="Q77" s="9">
        <v>123446.25</v>
      </c>
      <c r="R77" s="9" t="s">
        <v>60</v>
      </c>
      <c r="S77" s="9" t="s">
        <v>57</v>
      </c>
      <c r="T77" s="9" t="s">
        <v>61</v>
      </c>
      <c r="V77" s="9">
        <v>3932249.0</v>
      </c>
      <c r="W77" s="9">
        <v>0.0</v>
      </c>
      <c r="X77" s="9">
        <v>0.0</v>
      </c>
    </row>
    <row r="78" ht="15.75" customHeight="1">
      <c r="A78" s="9">
        <v>2025711.0</v>
      </c>
      <c r="B78" s="9">
        <v>1410266.0</v>
      </c>
      <c r="C78" s="9">
        <v>31238.0</v>
      </c>
      <c r="D78" s="9" t="s">
        <v>52</v>
      </c>
      <c r="E78" s="9" t="s">
        <v>53</v>
      </c>
      <c r="F78" s="9">
        <v>11388.0</v>
      </c>
      <c r="G78" s="9">
        <v>1410266.0</v>
      </c>
      <c r="H78" s="9">
        <v>1410266.0</v>
      </c>
      <c r="I78" s="9">
        <v>1419822.1</v>
      </c>
      <c r="J78" s="9">
        <v>0.0</v>
      </c>
      <c r="K78" s="9">
        <v>0.0</v>
      </c>
      <c r="L78" s="9" t="s">
        <v>69</v>
      </c>
      <c r="M78" s="9" t="s">
        <v>55</v>
      </c>
      <c r="R78" s="9" t="s">
        <v>60</v>
      </c>
      <c r="S78" s="9" t="s">
        <v>57</v>
      </c>
      <c r="T78" s="9" t="s">
        <v>61</v>
      </c>
      <c r="V78" s="9">
        <v>1332009.14</v>
      </c>
      <c r="W78" s="9">
        <v>35950.06</v>
      </c>
      <c r="X78" s="9">
        <v>0.0</v>
      </c>
    </row>
    <row r="79" ht="15.75" customHeight="1">
      <c r="A79" s="9">
        <v>2026833.0</v>
      </c>
      <c r="B79" s="9">
        <v>3762609.0</v>
      </c>
      <c r="C79" s="9">
        <v>30978.0</v>
      </c>
      <c r="D79" s="9" t="s">
        <v>52</v>
      </c>
      <c r="E79" s="9" t="s">
        <v>53</v>
      </c>
      <c r="F79" s="9">
        <v>4665.0</v>
      </c>
      <c r="G79" s="9">
        <v>3762609.0</v>
      </c>
      <c r="H79" s="9">
        <v>3762609.0</v>
      </c>
      <c r="I79" s="9">
        <v>5296709.54</v>
      </c>
      <c r="J79" s="9">
        <v>0.0</v>
      </c>
      <c r="K79" s="9">
        <v>0.0</v>
      </c>
      <c r="L79" s="9" t="s">
        <v>69</v>
      </c>
      <c r="M79" s="9" t="s">
        <v>55</v>
      </c>
      <c r="R79" s="9" t="s">
        <v>60</v>
      </c>
      <c r="S79" s="9" t="s">
        <v>57</v>
      </c>
      <c r="T79" s="9" t="s">
        <v>61</v>
      </c>
      <c r="V79" s="9">
        <v>5296709.54</v>
      </c>
      <c r="W79" s="9">
        <v>0.0</v>
      </c>
      <c r="X79" s="9">
        <v>0.0</v>
      </c>
    </row>
    <row r="80" ht="15.75" customHeight="1">
      <c r="A80" s="9">
        <v>2027994.0</v>
      </c>
      <c r="B80" s="9">
        <v>1402771.0</v>
      </c>
      <c r="C80" s="9">
        <v>31182.0</v>
      </c>
      <c r="D80" s="9" t="s">
        <v>52</v>
      </c>
      <c r="E80" s="9" t="s">
        <v>53</v>
      </c>
      <c r="F80" s="9">
        <v>25142.0</v>
      </c>
      <c r="G80" s="9">
        <v>1402771.0</v>
      </c>
      <c r="H80" s="9">
        <v>1402771.0</v>
      </c>
      <c r="I80" s="9">
        <v>0.0</v>
      </c>
      <c r="J80" s="9">
        <v>0.0</v>
      </c>
      <c r="K80" s="9">
        <v>0.0</v>
      </c>
      <c r="L80" s="9" t="s">
        <v>54</v>
      </c>
      <c r="M80" s="9" t="s">
        <v>55</v>
      </c>
      <c r="R80" s="9" t="s">
        <v>60</v>
      </c>
      <c r="S80" s="9" t="s">
        <v>57</v>
      </c>
      <c r="T80" s="9" t="s">
        <v>61</v>
      </c>
      <c r="V80" s="9">
        <v>1572301.29</v>
      </c>
      <c r="W80" s="9">
        <v>0.0</v>
      </c>
      <c r="X80" s="9">
        <v>0.0</v>
      </c>
    </row>
    <row r="81" ht="15.75" customHeight="1">
      <c r="A81" s="9">
        <v>2028101.0</v>
      </c>
      <c r="B81" s="9">
        <v>1824714.0</v>
      </c>
      <c r="C81" s="9">
        <v>31008.0</v>
      </c>
      <c r="D81" s="9" t="s">
        <v>52</v>
      </c>
      <c r="E81" s="9" t="s">
        <v>53</v>
      </c>
      <c r="F81" s="9">
        <v>29858.0</v>
      </c>
      <c r="G81" s="9">
        <v>1824714.0</v>
      </c>
      <c r="H81" s="9">
        <v>1744048.05</v>
      </c>
      <c r="I81" s="9">
        <v>1744048.05</v>
      </c>
      <c r="J81" s="9">
        <v>0.0</v>
      </c>
      <c r="K81" s="9">
        <v>0.0</v>
      </c>
      <c r="L81" s="9" t="s">
        <v>59</v>
      </c>
      <c r="M81" s="9" t="s">
        <v>55</v>
      </c>
      <c r="R81" s="9" t="s">
        <v>60</v>
      </c>
      <c r="S81" s="9" t="s">
        <v>57</v>
      </c>
      <c r="T81" s="9" t="s">
        <v>61</v>
      </c>
      <c r="V81" s="9">
        <v>1824714.0</v>
      </c>
      <c r="W81" s="9">
        <v>18000.0</v>
      </c>
      <c r="X81" s="9">
        <v>0.0</v>
      </c>
    </row>
    <row r="82" ht="15.75" customHeight="1">
      <c r="A82" s="9">
        <v>2028462.0</v>
      </c>
      <c r="B82" s="9">
        <v>2907494.0</v>
      </c>
      <c r="C82" s="9">
        <v>31032.0</v>
      </c>
      <c r="D82" s="9" t="s">
        <v>52</v>
      </c>
      <c r="E82" s="9" t="s">
        <v>53</v>
      </c>
      <c r="F82" s="9">
        <v>30375.0</v>
      </c>
      <c r="G82" s="9">
        <v>5579400.83</v>
      </c>
      <c r="H82" s="9">
        <v>5579400.83</v>
      </c>
      <c r="I82" s="9">
        <v>5143230.67</v>
      </c>
      <c r="J82" s="9">
        <v>0.0</v>
      </c>
      <c r="K82" s="9">
        <v>0.0</v>
      </c>
      <c r="L82" s="9" t="s">
        <v>59</v>
      </c>
      <c r="M82" s="9" t="s">
        <v>55</v>
      </c>
      <c r="R82" s="9" t="s">
        <v>60</v>
      </c>
      <c r="S82" s="9" t="s">
        <v>57</v>
      </c>
      <c r="T82" s="9" t="s">
        <v>61</v>
      </c>
      <c r="V82" s="9">
        <v>4485927.68</v>
      </c>
      <c r="W82" s="9">
        <v>0.0</v>
      </c>
      <c r="X82" s="9">
        <v>0.0</v>
      </c>
    </row>
    <row r="83" ht="15.75" customHeight="1">
      <c r="A83" s="9">
        <v>2029666.0</v>
      </c>
      <c r="B83" s="9">
        <v>1048314.0</v>
      </c>
      <c r="C83" s="9">
        <v>31309.0</v>
      </c>
      <c r="D83" s="9" t="s">
        <v>52</v>
      </c>
      <c r="E83" s="9" t="s">
        <v>53</v>
      </c>
      <c r="F83" s="9">
        <v>31191.0</v>
      </c>
      <c r="G83" s="9">
        <v>1048314.0</v>
      </c>
      <c r="H83" s="9">
        <v>1048314.0</v>
      </c>
      <c r="I83" s="9">
        <v>0.0</v>
      </c>
      <c r="J83" s="9">
        <v>0.0</v>
      </c>
      <c r="K83" s="9">
        <v>0.0</v>
      </c>
      <c r="L83" s="9" t="s">
        <v>54</v>
      </c>
      <c r="M83" s="9" t="s">
        <v>55</v>
      </c>
      <c r="R83" s="9" t="s">
        <v>60</v>
      </c>
      <c r="S83" s="9" t="s">
        <v>57</v>
      </c>
      <c r="T83" s="9" t="s">
        <v>61</v>
      </c>
      <c r="V83" s="9">
        <v>788841.68</v>
      </c>
      <c r="W83" s="9">
        <v>0.0</v>
      </c>
      <c r="X83" s="9">
        <v>0.0</v>
      </c>
    </row>
    <row r="84" ht="15.75" customHeight="1">
      <c r="A84" s="9">
        <v>2030166.0</v>
      </c>
      <c r="B84" s="9">
        <v>1908703.0</v>
      </c>
      <c r="C84" s="9">
        <v>30174.0</v>
      </c>
      <c r="D84" s="9" t="s">
        <v>52</v>
      </c>
      <c r="E84" s="9" t="s">
        <v>53</v>
      </c>
      <c r="F84" s="9">
        <v>13040.0</v>
      </c>
      <c r="G84" s="9">
        <v>1908703.0</v>
      </c>
      <c r="H84" s="9">
        <v>1908703.0</v>
      </c>
      <c r="I84" s="9">
        <v>2388346.27</v>
      </c>
      <c r="J84" s="9">
        <v>0.0</v>
      </c>
      <c r="K84" s="9">
        <v>0.0</v>
      </c>
      <c r="L84" s="9" t="s">
        <v>69</v>
      </c>
      <c r="M84" s="9" t="s">
        <v>55</v>
      </c>
      <c r="N84" s="9">
        <v>2030692.49</v>
      </c>
      <c r="O84" s="9">
        <v>1929157.87</v>
      </c>
      <c r="P84" s="9">
        <v>100000.0</v>
      </c>
      <c r="Q84" s="9">
        <v>98700.0</v>
      </c>
      <c r="R84" s="9" t="s">
        <v>60</v>
      </c>
      <c r="S84" s="9" t="s">
        <v>57</v>
      </c>
      <c r="T84" s="9" t="s">
        <v>61</v>
      </c>
      <c r="V84" s="9">
        <v>2388346.27</v>
      </c>
      <c r="W84" s="9">
        <v>0.0</v>
      </c>
      <c r="X84" s="9">
        <v>0.0</v>
      </c>
    </row>
    <row r="85" ht="15.75" customHeight="1">
      <c r="A85" s="9">
        <v>2030173.0</v>
      </c>
      <c r="B85" s="9">
        <v>1716562.0</v>
      </c>
      <c r="C85" s="9">
        <v>30478.0</v>
      </c>
      <c r="D85" s="9" t="s">
        <v>52</v>
      </c>
      <c r="E85" s="9" t="s">
        <v>53</v>
      </c>
      <c r="F85" s="9">
        <v>21802.0</v>
      </c>
      <c r="G85" s="9">
        <v>1716562.0</v>
      </c>
      <c r="H85" s="9">
        <v>1716562.0</v>
      </c>
      <c r="I85" s="9">
        <v>0.0</v>
      </c>
      <c r="J85" s="9">
        <v>0.0</v>
      </c>
      <c r="K85" s="9">
        <v>0.0</v>
      </c>
      <c r="L85" s="9" t="s">
        <v>54</v>
      </c>
      <c r="M85" s="9" t="s">
        <v>55</v>
      </c>
      <c r="N85" s="9">
        <v>1692762.06</v>
      </c>
      <c r="O85" s="9">
        <v>1641979.2</v>
      </c>
      <c r="R85" s="9" t="s">
        <v>60</v>
      </c>
      <c r="S85" s="9" t="s">
        <v>57</v>
      </c>
      <c r="T85" s="9" t="s">
        <v>61</v>
      </c>
      <c r="V85" s="9">
        <v>1669663.49</v>
      </c>
      <c r="W85" s="9">
        <v>0.0</v>
      </c>
      <c r="X85" s="9">
        <v>0.0</v>
      </c>
    </row>
    <row r="86" ht="15.75" customHeight="1">
      <c r="A86" s="9">
        <v>2030184.0</v>
      </c>
      <c r="B86" s="9">
        <v>1408929.0</v>
      </c>
      <c r="C86" s="9">
        <v>30908.0</v>
      </c>
      <c r="D86" s="9" t="s">
        <v>52</v>
      </c>
      <c r="E86" s="9" t="s">
        <v>53</v>
      </c>
      <c r="F86" s="9">
        <v>15516.0</v>
      </c>
      <c r="G86" s="9">
        <v>1408929.0</v>
      </c>
      <c r="H86" s="9">
        <v>1408929.0</v>
      </c>
      <c r="I86" s="9">
        <v>1645609.25</v>
      </c>
      <c r="J86" s="9">
        <v>0.0</v>
      </c>
      <c r="K86" s="9">
        <v>0.0</v>
      </c>
      <c r="L86" s="9" t="s">
        <v>59</v>
      </c>
      <c r="M86" s="9" t="s">
        <v>55</v>
      </c>
      <c r="N86" s="9">
        <v>1488137.0</v>
      </c>
      <c r="O86" s="9">
        <v>1631509.25</v>
      </c>
      <c r="P86" s="9">
        <v>20500.0</v>
      </c>
      <c r="Q86" s="9">
        <v>20100.0</v>
      </c>
      <c r="R86" s="9" t="s">
        <v>60</v>
      </c>
      <c r="S86" s="9" t="s">
        <v>57</v>
      </c>
      <c r="T86" s="9" t="s">
        <v>61</v>
      </c>
      <c r="V86" s="9">
        <v>1680365.33</v>
      </c>
      <c r="W86" s="9">
        <v>0.0</v>
      </c>
      <c r="X86" s="9">
        <v>0.0</v>
      </c>
    </row>
    <row r="87" ht="15.75" customHeight="1">
      <c r="A87" s="9">
        <v>2030273.0</v>
      </c>
      <c r="B87" s="9">
        <v>1453852.0</v>
      </c>
      <c r="C87" s="9">
        <v>31097.0</v>
      </c>
      <c r="D87" s="9" t="s">
        <v>52</v>
      </c>
      <c r="E87" s="9" t="s">
        <v>53</v>
      </c>
      <c r="F87" s="9">
        <v>30489.0</v>
      </c>
      <c r="G87" s="9">
        <v>1453852.0</v>
      </c>
      <c r="H87" s="9">
        <v>1453852.0</v>
      </c>
      <c r="I87" s="9">
        <v>0.0</v>
      </c>
      <c r="J87" s="9">
        <v>0.0</v>
      </c>
      <c r="K87" s="9">
        <v>0.0</v>
      </c>
      <c r="L87" s="9" t="s">
        <v>54</v>
      </c>
      <c r="M87" s="9" t="s">
        <v>55</v>
      </c>
      <c r="R87" s="9" t="s">
        <v>60</v>
      </c>
      <c r="S87" s="9" t="s">
        <v>57</v>
      </c>
      <c r="T87" s="9" t="s">
        <v>61</v>
      </c>
      <c r="V87" s="9">
        <v>883289.87</v>
      </c>
      <c r="W87" s="9">
        <v>0.0</v>
      </c>
      <c r="X87" s="9">
        <v>0.0</v>
      </c>
    </row>
    <row r="88" ht="15.75" customHeight="1">
      <c r="A88" s="9">
        <v>2030541.0</v>
      </c>
      <c r="B88" s="9">
        <v>1997613.0</v>
      </c>
      <c r="C88" s="9">
        <v>30860.0</v>
      </c>
      <c r="D88" s="9" t="s">
        <v>52</v>
      </c>
      <c r="E88" s="9" t="s">
        <v>53</v>
      </c>
      <c r="F88" s="9">
        <v>26015.0</v>
      </c>
      <c r="G88" s="9">
        <v>2417418.0</v>
      </c>
      <c r="H88" s="9">
        <v>1969485.54</v>
      </c>
      <c r="I88" s="9">
        <v>2127022.7</v>
      </c>
      <c r="J88" s="9">
        <v>0.0</v>
      </c>
      <c r="K88" s="9">
        <v>0.0</v>
      </c>
      <c r="L88" s="9" t="s">
        <v>69</v>
      </c>
      <c r="M88" s="9" t="s">
        <v>55</v>
      </c>
      <c r="N88" s="9">
        <v>1922613.1</v>
      </c>
      <c r="O88" s="9">
        <v>1730241.96</v>
      </c>
      <c r="P88" s="9">
        <v>60000.0</v>
      </c>
      <c r="Q88" s="9">
        <v>54000.0</v>
      </c>
      <c r="R88" s="9" t="s">
        <v>60</v>
      </c>
      <c r="S88" s="9" t="s">
        <v>57</v>
      </c>
      <c r="T88" s="9" t="s">
        <v>61</v>
      </c>
      <c r="V88" s="9">
        <v>1884179.65</v>
      </c>
      <c r="W88" s="9">
        <v>54000.0</v>
      </c>
      <c r="X88" s="9">
        <v>0.0</v>
      </c>
    </row>
    <row r="89" ht="15.75" customHeight="1">
      <c r="A89" s="9">
        <v>2030552.0</v>
      </c>
      <c r="B89" s="9">
        <v>1717976.0</v>
      </c>
      <c r="C89" s="9">
        <v>30728.0</v>
      </c>
      <c r="D89" s="9" t="s">
        <v>52</v>
      </c>
      <c r="E89" s="9" t="s">
        <v>53</v>
      </c>
      <c r="F89" s="9">
        <v>24835.0</v>
      </c>
      <c r="G89" s="9">
        <v>1717976.0</v>
      </c>
      <c r="H89" s="9">
        <v>1717976.0</v>
      </c>
      <c r="I89" s="9">
        <v>1457699.11</v>
      </c>
      <c r="J89" s="9">
        <v>0.0</v>
      </c>
      <c r="K89" s="9">
        <v>0.0</v>
      </c>
      <c r="L89" s="9" t="s">
        <v>69</v>
      </c>
      <c r="M89" s="9" t="s">
        <v>55</v>
      </c>
      <c r="N89" s="9">
        <v>1647502.08</v>
      </c>
      <c r="O89" s="9">
        <v>1482751.88</v>
      </c>
      <c r="R89" s="9" t="s">
        <v>56</v>
      </c>
      <c r="S89" s="9" t="s">
        <v>57</v>
      </c>
      <c r="T89" s="9" t="s">
        <v>58</v>
      </c>
      <c r="V89" s="9">
        <v>1447474.96</v>
      </c>
      <c r="W89" s="9">
        <v>0.0</v>
      </c>
      <c r="X89" s="9">
        <v>0.0</v>
      </c>
    </row>
    <row r="90" ht="15.75" customHeight="1">
      <c r="A90" s="9">
        <v>2030559.0</v>
      </c>
      <c r="B90" s="9">
        <v>1725124.0</v>
      </c>
      <c r="C90" s="9">
        <v>29995.0</v>
      </c>
      <c r="D90" s="9" t="s">
        <v>52</v>
      </c>
      <c r="E90" s="9" t="s">
        <v>53</v>
      </c>
      <c r="F90" s="9">
        <v>29273.0</v>
      </c>
      <c r="G90" s="9">
        <v>1725124.0</v>
      </c>
      <c r="H90" s="9">
        <v>1725124.0</v>
      </c>
      <c r="I90" s="9">
        <v>1564228.25</v>
      </c>
      <c r="J90" s="9">
        <v>0.0</v>
      </c>
      <c r="K90" s="9">
        <v>0.0</v>
      </c>
      <c r="L90" s="9" t="s">
        <v>69</v>
      </c>
      <c r="M90" s="9" t="s">
        <v>55</v>
      </c>
      <c r="N90" s="9">
        <v>409635.0</v>
      </c>
      <c r="O90" s="9">
        <v>409635.0</v>
      </c>
      <c r="P90" s="9">
        <v>409635.0</v>
      </c>
      <c r="Q90" s="9">
        <v>0.0</v>
      </c>
      <c r="R90" s="9" t="s">
        <v>60</v>
      </c>
      <c r="S90" s="9" t="s">
        <v>57</v>
      </c>
      <c r="T90" s="9" t="s">
        <v>61</v>
      </c>
      <c r="V90" s="9">
        <v>1740470.66</v>
      </c>
      <c r="W90" s="9">
        <v>0.0</v>
      </c>
      <c r="X90" s="9">
        <v>0.0</v>
      </c>
    </row>
    <row r="91" ht="15.75" customHeight="1">
      <c r="A91" s="9">
        <v>2030274.0</v>
      </c>
      <c r="B91" s="9">
        <v>607000.0</v>
      </c>
      <c r="C91" s="9">
        <v>30153.0</v>
      </c>
      <c r="D91" s="9" t="s">
        <v>52</v>
      </c>
      <c r="E91" s="9" t="s">
        <v>53</v>
      </c>
      <c r="F91" s="9">
        <v>32698.0</v>
      </c>
      <c r="G91" s="9">
        <v>607000.0</v>
      </c>
      <c r="H91" s="9">
        <v>607000.0</v>
      </c>
      <c r="I91" s="9">
        <v>0.0</v>
      </c>
      <c r="J91" s="9">
        <v>0.0</v>
      </c>
      <c r="K91" s="9">
        <v>0.0</v>
      </c>
      <c r="L91" s="9" t="s">
        <v>69</v>
      </c>
      <c r="M91" s="9" t="s">
        <v>55</v>
      </c>
      <c r="N91" s="9">
        <v>808065.0</v>
      </c>
      <c r="O91" s="9">
        <v>727259.0</v>
      </c>
      <c r="P91" s="9">
        <v>808065.0</v>
      </c>
      <c r="Q91" s="9">
        <v>0.0</v>
      </c>
      <c r="R91" s="9" t="s">
        <v>60</v>
      </c>
      <c r="S91" s="9" t="s">
        <v>57</v>
      </c>
      <c r="T91" s="9" t="s">
        <v>61</v>
      </c>
      <c r="V91" s="9">
        <v>739543.76</v>
      </c>
      <c r="W91" s="9">
        <v>0.0</v>
      </c>
      <c r="X91" s="9">
        <v>0.0</v>
      </c>
    </row>
    <row r="92" ht="15.75" customHeight="1">
      <c r="A92" s="9">
        <v>2030276.0</v>
      </c>
      <c r="B92" s="9">
        <v>960934.0</v>
      </c>
      <c r="C92" s="9">
        <v>30979.0</v>
      </c>
      <c r="D92" s="9" t="s">
        <v>52</v>
      </c>
      <c r="E92" s="9" t="s">
        <v>53</v>
      </c>
      <c r="F92" s="9">
        <v>8780.0</v>
      </c>
      <c r="G92" s="9">
        <v>960934.0</v>
      </c>
      <c r="H92" s="9">
        <v>960934.0</v>
      </c>
      <c r="I92" s="9">
        <v>1064799.76</v>
      </c>
      <c r="J92" s="9">
        <v>0.0</v>
      </c>
      <c r="K92" s="9">
        <v>0.0</v>
      </c>
      <c r="L92" s="9" t="s">
        <v>69</v>
      </c>
      <c r="M92" s="9" t="s">
        <v>55</v>
      </c>
      <c r="P92" s="9">
        <v>24750.0</v>
      </c>
      <c r="Q92" s="9">
        <v>24750.0</v>
      </c>
      <c r="R92" s="9" t="s">
        <v>60</v>
      </c>
      <c r="S92" s="9" t="s">
        <v>57</v>
      </c>
      <c r="T92" s="9" t="s">
        <v>61</v>
      </c>
      <c r="V92" s="9">
        <v>1062228.48</v>
      </c>
      <c r="W92" s="9">
        <v>19389.4</v>
      </c>
      <c r="X92" s="9">
        <v>0.0</v>
      </c>
    </row>
    <row r="93" ht="15.75" customHeight="1">
      <c r="A93" s="9">
        <v>2030540.0</v>
      </c>
      <c r="B93" s="9">
        <v>1984039.0</v>
      </c>
      <c r="C93" s="9">
        <v>30858.0</v>
      </c>
      <c r="D93" s="9" t="s">
        <v>52</v>
      </c>
      <c r="E93" s="9" t="s">
        <v>53</v>
      </c>
      <c r="F93" s="9">
        <v>12970.0</v>
      </c>
      <c r="G93" s="9">
        <v>3004669.96</v>
      </c>
      <c r="H93" s="9">
        <v>3004669.96</v>
      </c>
      <c r="I93" s="9">
        <v>3072693.15</v>
      </c>
      <c r="J93" s="9">
        <v>0.0</v>
      </c>
      <c r="K93" s="9">
        <v>0.0</v>
      </c>
      <c r="L93" s="9" t="s">
        <v>69</v>
      </c>
      <c r="M93" s="9" t="s">
        <v>55</v>
      </c>
      <c r="N93" s="9">
        <v>1874826.0</v>
      </c>
      <c r="O93" s="9">
        <v>1687260.26</v>
      </c>
      <c r="P93" s="9">
        <v>60000.0</v>
      </c>
      <c r="Q93" s="9">
        <v>54000.0</v>
      </c>
      <c r="R93" s="9" t="s">
        <v>60</v>
      </c>
      <c r="S93" s="9" t="s">
        <v>57</v>
      </c>
      <c r="T93" s="9" t="s">
        <v>61</v>
      </c>
      <c r="V93" s="9">
        <v>2894266.54</v>
      </c>
      <c r="W93" s="9">
        <v>0.0</v>
      </c>
      <c r="X93" s="9">
        <v>0.0</v>
      </c>
    </row>
    <row r="94" ht="15.75" customHeight="1">
      <c r="A94" s="9">
        <v>2030542.0</v>
      </c>
      <c r="B94" s="9">
        <v>1775697.0</v>
      </c>
      <c r="C94" s="9">
        <v>30865.0</v>
      </c>
      <c r="D94" s="9" t="s">
        <v>52</v>
      </c>
      <c r="E94" s="9" t="s">
        <v>53</v>
      </c>
      <c r="F94" s="9">
        <v>27332.0</v>
      </c>
      <c r="G94" s="9">
        <v>1815711.79</v>
      </c>
      <c r="H94" s="9">
        <v>1480234.82</v>
      </c>
      <c r="I94" s="9">
        <v>1646743.08</v>
      </c>
      <c r="J94" s="9">
        <v>0.0</v>
      </c>
      <c r="K94" s="9">
        <v>0.0</v>
      </c>
      <c r="L94" s="9" t="s">
        <v>69</v>
      </c>
      <c r="M94" s="9" t="s">
        <v>55</v>
      </c>
      <c r="N94" s="9">
        <v>1662698.0</v>
      </c>
      <c r="O94" s="9">
        <v>1496341.51</v>
      </c>
      <c r="P94" s="9">
        <v>60000.0</v>
      </c>
      <c r="Q94" s="9">
        <v>54000.0</v>
      </c>
      <c r="R94" s="9" t="s">
        <v>60</v>
      </c>
      <c r="S94" s="9" t="s">
        <v>57</v>
      </c>
      <c r="T94" s="9" t="s">
        <v>61</v>
      </c>
      <c r="V94" s="9">
        <v>1503597.27</v>
      </c>
      <c r="W94" s="9">
        <v>58100.0</v>
      </c>
      <c r="X94" s="9">
        <v>0.0</v>
      </c>
    </row>
    <row r="95" ht="15.75" customHeight="1">
      <c r="A95" s="9">
        <v>2030565.0</v>
      </c>
      <c r="B95" s="9">
        <v>1364801.0</v>
      </c>
      <c r="C95" s="9">
        <v>31043.0</v>
      </c>
      <c r="D95" s="9" t="s">
        <v>52</v>
      </c>
      <c r="E95" s="9" t="s">
        <v>53</v>
      </c>
      <c r="F95" s="9">
        <v>34007.0</v>
      </c>
      <c r="G95" s="9">
        <v>1364801.0</v>
      </c>
      <c r="H95" s="9">
        <v>1364801.0</v>
      </c>
      <c r="I95" s="9">
        <v>769304.93</v>
      </c>
      <c r="J95" s="9">
        <v>0.0</v>
      </c>
      <c r="K95" s="9">
        <v>0.0</v>
      </c>
      <c r="L95" s="9" t="s">
        <v>59</v>
      </c>
      <c r="M95" s="9" t="s">
        <v>55</v>
      </c>
      <c r="R95" s="9" t="s">
        <v>56</v>
      </c>
      <c r="S95" s="9" t="s">
        <v>57</v>
      </c>
      <c r="T95" s="9" t="s">
        <v>58</v>
      </c>
      <c r="V95" s="9">
        <v>743574.71</v>
      </c>
      <c r="W95" s="9">
        <v>0.0</v>
      </c>
      <c r="X95" s="9">
        <v>0.0</v>
      </c>
    </row>
    <row r="96" ht="15.75" customHeight="1">
      <c r="A96" s="9">
        <v>2030574.0</v>
      </c>
      <c r="B96" s="9">
        <v>1615019.0</v>
      </c>
      <c r="C96" s="9">
        <v>31018.0</v>
      </c>
      <c r="D96" s="9" t="s">
        <v>52</v>
      </c>
      <c r="E96" s="9" t="s">
        <v>53</v>
      </c>
      <c r="F96" s="9">
        <v>26814.0</v>
      </c>
      <c r="G96" s="9">
        <v>1615019.0</v>
      </c>
      <c r="H96" s="9">
        <v>1106722.5</v>
      </c>
      <c r="I96" s="9">
        <v>1106722.5</v>
      </c>
      <c r="J96" s="9">
        <v>0.0</v>
      </c>
      <c r="K96" s="9">
        <v>0.0</v>
      </c>
      <c r="L96" s="9" t="s">
        <v>69</v>
      </c>
      <c r="M96" s="9" t="s">
        <v>55</v>
      </c>
      <c r="R96" s="9" t="s">
        <v>60</v>
      </c>
      <c r="S96" s="9" t="s">
        <v>57</v>
      </c>
      <c r="T96" s="9" t="s">
        <v>61</v>
      </c>
      <c r="V96" s="9">
        <v>1615019.0</v>
      </c>
      <c r="W96" s="9">
        <v>0.0</v>
      </c>
      <c r="X96" s="9">
        <v>0.0</v>
      </c>
    </row>
    <row r="97" ht="15.75" customHeight="1">
      <c r="A97" s="9">
        <v>2030599.0</v>
      </c>
      <c r="B97" s="9">
        <v>701283.0</v>
      </c>
      <c r="C97" s="9">
        <v>30692.0</v>
      </c>
      <c r="D97" s="9" t="s">
        <v>52</v>
      </c>
      <c r="E97" s="9" t="s">
        <v>53</v>
      </c>
      <c r="F97" s="9">
        <v>31304.0</v>
      </c>
      <c r="G97" s="9">
        <v>701283.0</v>
      </c>
      <c r="H97" s="9">
        <v>701283.0</v>
      </c>
      <c r="I97" s="9">
        <v>743729.62</v>
      </c>
      <c r="J97" s="9">
        <v>0.0</v>
      </c>
      <c r="K97" s="9">
        <v>0.0</v>
      </c>
      <c r="L97" s="9" t="s">
        <v>59</v>
      </c>
      <c r="M97" s="9" t="s">
        <v>55</v>
      </c>
      <c r="N97" s="9">
        <v>686886.6</v>
      </c>
      <c r="O97" s="9">
        <v>686886.6</v>
      </c>
      <c r="P97" s="9">
        <v>686886.6</v>
      </c>
      <c r="Q97" s="9">
        <v>0.0</v>
      </c>
      <c r="R97" s="9" t="s">
        <v>72</v>
      </c>
      <c r="S97" s="9" t="s">
        <v>57</v>
      </c>
      <c r="T97" s="9" t="s">
        <v>73</v>
      </c>
      <c r="V97" s="9">
        <v>743729.62</v>
      </c>
      <c r="W97" s="9">
        <v>13500.0</v>
      </c>
      <c r="X97" s="9">
        <v>0.0</v>
      </c>
    </row>
    <row r="98" ht="15.75" customHeight="1">
      <c r="A98" s="9">
        <v>2030608.0</v>
      </c>
      <c r="B98" s="9">
        <v>640505.0</v>
      </c>
      <c r="C98" s="9">
        <v>30283.0</v>
      </c>
      <c r="D98" s="9" t="s">
        <v>52</v>
      </c>
      <c r="E98" s="9" t="s">
        <v>53</v>
      </c>
      <c r="F98" s="9">
        <v>30873.0</v>
      </c>
      <c r="G98" s="9">
        <v>640505.0</v>
      </c>
      <c r="H98" s="9">
        <v>640505.0</v>
      </c>
      <c r="I98" s="9">
        <v>0.0</v>
      </c>
      <c r="J98" s="9">
        <v>0.0</v>
      </c>
      <c r="K98" s="9">
        <v>0.0</v>
      </c>
      <c r="L98" s="9" t="s">
        <v>54</v>
      </c>
      <c r="M98" s="9" t="s">
        <v>55</v>
      </c>
      <c r="N98" s="9">
        <v>669055.97</v>
      </c>
      <c r="O98" s="9">
        <v>602150.38</v>
      </c>
      <c r="P98" s="9">
        <v>669055.97</v>
      </c>
      <c r="Q98" s="9">
        <v>0.0</v>
      </c>
      <c r="R98" s="9" t="s">
        <v>56</v>
      </c>
      <c r="S98" s="9" t="s">
        <v>57</v>
      </c>
      <c r="T98" s="9" t="s">
        <v>58</v>
      </c>
      <c r="V98" s="9">
        <v>612800.39</v>
      </c>
      <c r="W98" s="9">
        <v>0.0</v>
      </c>
      <c r="X98" s="9">
        <v>0.0</v>
      </c>
    </row>
    <row r="99" ht="15.75" customHeight="1">
      <c r="A99" s="9">
        <v>2030610.0</v>
      </c>
      <c r="B99" s="9">
        <v>1955811.0</v>
      </c>
      <c r="C99" s="9">
        <v>31080.0</v>
      </c>
      <c r="D99" s="9" t="s">
        <v>52</v>
      </c>
      <c r="E99" s="9" t="s">
        <v>53</v>
      </c>
      <c r="F99" s="9">
        <v>22997.0</v>
      </c>
      <c r="G99" s="9">
        <v>1955811.0</v>
      </c>
      <c r="H99" s="9">
        <v>1955811.0</v>
      </c>
      <c r="I99" s="9">
        <v>0.0</v>
      </c>
      <c r="J99" s="9">
        <v>0.0</v>
      </c>
      <c r="K99" s="9">
        <v>0.0</v>
      </c>
      <c r="L99" s="9" t="s">
        <v>54</v>
      </c>
      <c r="M99" s="9" t="s">
        <v>55</v>
      </c>
      <c r="R99" s="9" t="s">
        <v>60</v>
      </c>
      <c r="S99" s="9" t="s">
        <v>57</v>
      </c>
      <c r="T99" s="9" t="s">
        <v>61</v>
      </c>
      <c r="V99" s="9">
        <v>3225839.4</v>
      </c>
      <c r="W99" s="9">
        <v>0.0</v>
      </c>
      <c r="X99" s="9">
        <v>0.0</v>
      </c>
    </row>
    <row r="100" ht="15.75" customHeight="1">
      <c r="A100" s="9">
        <v>2030708.0</v>
      </c>
      <c r="B100" s="9">
        <v>360500.0</v>
      </c>
      <c r="C100" s="9">
        <v>30151.0</v>
      </c>
      <c r="D100" s="9" t="s">
        <v>52</v>
      </c>
      <c r="E100" s="9" t="s">
        <v>53</v>
      </c>
      <c r="F100" s="9">
        <v>30326.0</v>
      </c>
      <c r="G100" s="9">
        <v>360500.0</v>
      </c>
      <c r="H100" s="9">
        <v>360500.0</v>
      </c>
      <c r="I100" s="9">
        <v>0.0</v>
      </c>
      <c r="J100" s="9">
        <v>0.0</v>
      </c>
      <c r="K100" s="9">
        <v>0.0</v>
      </c>
      <c r="L100" s="9" t="s">
        <v>54</v>
      </c>
      <c r="M100" s="9" t="s">
        <v>55</v>
      </c>
      <c r="N100" s="9">
        <v>266834.0</v>
      </c>
      <c r="O100" s="9">
        <v>240151.0</v>
      </c>
      <c r="P100" s="9">
        <v>266834.0</v>
      </c>
      <c r="Q100" s="9">
        <v>0.0</v>
      </c>
      <c r="R100" s="9" t="s">
        <v>60</v>
      </c>
      <c r="S100" s="9" t="s">
        <v>57</v>
      </c>
      <c r="T100" s="9" t="s">
        <v>61</v>
      </c>
      <c r="V100" s="9">
        <v>260262.37</v>
      </c>
      <c r="W100" s="9">
        <v>0.0</v>
      </c>
      <c r="X100" s="9">
        <v>0.0</v>
      </c>
    </row>
    <row r="101" ht="15.75" customHeight="1">
      <c r="A101" s="9">
        <v>2030710.0</v>
      </c>
      <c r="B101" s="9">
        <v>224000.0</v>
      </c>
      <c r="C101" s="9">
        <v>30156.0</v>
      </c>
      <c r="D101" s="9" t="s">
        <v>52</v>
      </c>
      <c r="E101" s="9" t="s">
        <v>53</v>
      </c>
      <c r="F101" s="9">
        <v>32787.0</v>
      </c>
      <c r="G101" s="9">
        <v>224000.0</v>
      </c>
      <c r="H101" s="9">
        <v>224000.0</v>
      </c>
      <c r="I101" s="9">
        <v>0.0</v>
      </c>
      <c r="J101" s="9">
        <v>0.0</v>
      </c>
      <c r="K101" s="9">
        <v>0.0</v>
      </c>
      <c r="L101" s="9" t="s">
        <v>54</v>
      </c>
      <c r="M101" s="9" t="s">
        <v>55</v>
      </c>
      <c r="N101" s="9">
        <v>127740.0</v>
      </c>
      <c r="O101" s="9">
        <v>114966.0</v>
      </c>
      <c r="P101" s="9">
        <v>127740.0</v>
      </c>
      <c r="Q101" s="9">
        <v>0.0</v>
      </c>
      <c r="R101" s="9" t="s">
        <v>60</v>
      </c>
      <c r="S101" s="9" t="s">
        <v>57</v>
      </c>
      <c r="T101" s="9" t="s">
        <v>61</v>
      </c>
      <c r="V101" s="9">
        <v>141774.3</v>
      </c>
      <c r="W101" s="9">
        <v>0.0</v>
      </c>
      <c r="X101" s="9">
        <v>0.0</v>
      </c>
    </row>
    <row r="102" ht="15.75" customHeight="1">
      <c r="A102" s="9">
        <v>2030735.0</v>
      </c>
      <c r="B102" s="9">
        <v>1057703.0</v>
      </c>
      <c r="C102" s="9">
        <v>31164.0</v>
      </c>
      <c r="D102" s="9" t="s">
        <v>52</v>
      </c>
      <c r="E102" s="9" t="s">
        <v>53</v>
      </c>
      <c r="F102" s="9">
        <v>34013.0</v>
      </c>
      <c r="G102" s="9">
        <v>1057703.0</v>
      </c>
      <c r="H102" s="9">
        <v>1057703.0</v>
      </c>
      <c r="I102" s="9">
        <v>0.0</v>
      </c>
      <c r="J102" s="9">
        <v>0.0</v>
      </c>
      <c r="K102" s="9">
        <v>0.0</v>
      </c>
      <c r="L102" s="9" t="s">
        <v>54</v>
      </c>
      <c r="M102" s="9" t="s">
        <v>55</v>
      </c>
      <c r="R102" s="9" t="s">
        <v>60</v>
      </c>
      <c r="S102" s="9" t="s">
        <v>57</v>
      </c>
      <c r="T102" s="9" t="s">
        <v>61</v>
      </c>
      <c r="V102" s="9">
        <v>1117482.55</v>
      </c>
      <c r="W102" s="9">
        <v>0.0</v>
      </c>
      <c r="X102" s="9">
        <v>0.0</v>
      </c>
    </row>
    <row r="103" ht="15.75" customHeight="1">
      <c r="A103" s="9">
        <v>2030744.0</v>
      </c>
      <c r="B103" s="9">
        <v>174014.0</v>
      </c>
      <c r="C103" s="9">
        <v>30759.0</v>
      </c>
      <c r="D103" s="9" t="s">
        <v>52</v>
      </c>
      <c r="E103" s="9" t="s">
        <v>53</v>
      </c>
      <c r="F103" s="9">
        <v>30417.0</v>
      </c>
      <c r="G103" s="9">
        <v>174014.0</v>
      </c>
      <c r="H103" s="9">
        <v>174014.0</v>
      </c>
      <c r="I103" s="9">
        <v>0.0</v>
      </c>
      <c r="J103" s="9">
        <v>0.0</v>
      </c>
      <c r="K103" s="9">
        <v>0.0</v>
      </c>
      <c r="L103" s="9" t="s">
        <v>54</v>
      </c>
      <c r="M103" s="9" t="s">
        <v>55</v>
      </c>
      <c r="N103" s="9">
        <v>162212.52</v>
      </c>
      <c r="O103" s="9">
        <v>145991.27</v>
      </c>
      <c r="R103" s="9" t="s">
        <v>60</v>
      </c>
      <c r="S103" s="9" t="s">
        <v>57</v>
      </c>
      <c r="T103" s="9" t="s">
        <v>61</v>
      </c>
      <c r="V103" s="9">
        <v>148796.05</v>
      </c>
      <c r="W103" s="9">
        <v>0.0</v>
      </c>
      <c r="X103" s="9">
        <v>0.0</v>
      </c>
    </row>
    <row r="104" ht="15.75" customHeight="1">
      <c r="A104" s="9">
        <v>2030767.0</v>
      </c>
      <c r="B104" s="9">
        <v>40433.0</v>
      </c>
      <c r="C104" s="9">
        <v>31315.0</v>
      </c>
      <c r="D104" s="9" t="s">
        <v>52</v>
      </c>
      <c r="E104" s="9" t="s">
        <v>53</v>
      </c>
      <c r="F104" s="9">
        <v>23532.0</v>
      </c>
      <c r="G104" s="9">
        <v>40433.0</v>
      </c>
      <c r="H104" s="9">
        <v>40433.0</v>
      </c>
      <c r="I104" s="9">
        <v>0.0</v>
      </c>
      <c r="J104" s="9">
        <v>0.0</v>
      </c>
      <c r="K104" s="9">
        <v>0.0</v>
      </c>
      <c r="L104" s="9" t="s">
        <v>54</v>
      </c>
      <c r="M104" s="9" t="s">
        <v>55</v>
      </c>
      <c r="R104" s="9" t="s">
        <v>56</v>
      </c>
      <c r="S104" s="9" t="s">
        <v>57</v>
      </c>
      <c r="T104" s="9" t="s">
        <v>58</v>
      </c>
      <c r="V104" s="9">
        <v>36184.88</v>
      </c>
      <c r="W104" s="9">
        <v>0.0</v>
      </c>
      <c r="X104" s="9">
        <v>0.0</v>
      </c>
    </row>
    <row r="105" ht="15.75" customHeight="1">
      <c r="A105" s="9">
        <v>2030774.0</v>
      </c>
      <c r="B105" s="9">
        <v>86253.0</v>
      </c>
      <c r="C105" s="9">
        <v>31318.0</v>
      </c>
      <c r="D105" s="9" t="s">
        <v>52</v>
      </c>
      <c r="E105" s="9" t="s">
        <v>53</v>
      </c>
      <c r="F105" s="9">
        <v>27572.0</v>
      </c>
      <c r="G105" s="9">
        <v>148499.7</v>
      </c>
      <c r="H105" s="9">
        <v>148499.7</v>
      </c>
      <c r="I105" s="9">
        <v>0.0</v>
      </c>
      <c r="J105" s="9">
        <v>0.0</v>
      </c>
      <c r="K105" s="9">
        <v>0.0</v>
      </c>
      <c r="L105" s="9" t="s">
        <v>54</v>
      </c>
      <c r="M105" s="9" t="s">
        <v>55</v>
      </c>
      <c r="R105" s="9" t="s">
        <v>60</v>
      </c>
      <c r="S105" s="9" t="s">
        <v>57</v>
      </c>
      <c r="T105" s="9" t="s">
        <v>61</v>
      </c>
      <c r="V105" s="9">
        <v>114952.83</v>
      </c>
      <c r="W105" s="9">
        <v>0.0</v>
      </c>
      <c r="X105" s="9">
        <v>0.0</v>
      </c>
    </row>
    <row r="106" ht="15.75" customHeight="1">
      <c r="A106" s="9">
        <v>2031635.0</v>
      </c>
      <c r="B106" s="9">
        <v>1897492.0</v>
      </c>
      <c r="C106" s="9">
        <v>30323.0</v>
      </c>
      <c r="D106" s="9" t="s">
        <v>52</v>
      </c>
      <c r="E106" s="9" t="s">
        <v>53</v>
      </c>
      <c r="F106" s="9">
        <v>31387.0</v>
      </c>
      <c r="G106" s="9">
        <v>1897492.0</v>
      </c>
      <c r="H106" s="9">
        <v>1897492.0</v>
      </c>
      <c r="I106" s="9">
        <v>0.0</v>
      </c>
      <c r="J106" s="9">
        <v>0.0</v>
      </c>
      <c r="K106" s="9">
        <v>0.0</v>
      </c>
      <c r="L106" s="9" t="s">
        <v>54</v>
      </c>
      <c r="M106" s="9" t="s">
        <v>55</v>
      </c>
      <c r="N106" s="9">
        <v>1622032.92</v>
      </c>
      <c r="O106" s="9">
        <v>1540781.92</v>
      </c>
      <c r="P106" s="9">
        <v>1622032.92</v>
      </c>
      <c r="Q106" s="9">
        <v>0.0</v>
      </c>
      <c r="R106" s="9" t="s">
        <v>60</v>
      </c>
      <c r="S106" s="9" t="s">
        <v>57</v>
      </c>
      <c r="T106" s="9" t="s">
        <v>61</v>
      </c>
      <c r="V106" s="9">
        <v>1781506.45</v>
      </c>
      <c r="W106" s="9">
        <v>0.0</v>
      </c>
      <c r="X106" s="9">
        <v>0.0</v>
      </c>
    </row>
    <row r="107" ht="15.75" customHeight="1">
      <c r="A107" s="9">
        <v>2031637.0</v>
      </c>
      <c r="B107" s="9">
        <v>2519378.0</v>
      </c>
      <c r="C107" s="9">
        <v>30332.0</v>
      </c>
      <c r="D107" s="9" t="s">
        <v>52</v>
      </c>
      <c r="E107" s="9" t="s">
        <v>53</v>
      </c>
      <c r="F107" s="9">
        <v>32386.0</v>
      </c>
      <c r="G107" s="9">
        <v>2519378.0</v>
      </c>
      <c r="H107" s="9">
        <v>2519378.0</v>
      </c>
      <c r="I107" s="9">
        <v>0.0</v>
      </c>
      <c r="J107" s="9">
        <v>0.0</v>
      </c>
      <c r="K107" s="9">
        <v>0.0</v>
      </c>
      <c r="L107" s="9" t="s">
        <v>54</v>
      </c>
      <c r="M107" s="9" t="s">
        <v>55</v>
      </c>
      <c r="N107" s="9">
        <v>1762213.0</v>
      </c>
      <c r="O107" s="9">
        <v>1585991.71</v>
      </c>
      <c r="R107" s="9" t="s">
        <v>60</v>
      </c>
      <c r="S107" s="9" t="s">
        <v>57</v>
      </c>
      <c r="T107" s="9" t="s">
        <v>61</v>
      </c>
      <c r="V107" s="9">
        <v>1780161.65</v>
      </c>
      <c r="W107" s="9">
        <v>0.0</v>
      </c>
      <c r="X107" s="9">
        <v>0.0</v>
      </c>
    </row>
    <row r="108" ht="15.75" customHeight="1">
      <c r="A108" s="9">
        <v>2034050.0</v>
      </c>
      <c r="B108" s="9">
        <v>236500.0</v>
      </c>
      <c r="C108" s="9">
        <v>30495.0</v>
      </c>
      <c r="D108" s="9" t="s">
        <v>52</v>
      </c>
      <c r="E108" s="9" t="s">
        <v>53</v>
      </c>
      <c r="F108" s="9">
        <v>23758.0</v>
      </c>
      <c r="G108" s="9">
        <v>381200.0</v>
      </c>
      <c r="H108" s="9">
        <v>236500.0</v>
      </c>
      <c r="I108" s="9">
        <v>0.0</v>
      </c>
      <c r="J108" s="9">
        <v>0.0</v>
      </c>
      <c r="K108" s="9">
        <v>0.0</v>
      </c>
      <c r="L108" s="9" t="s">
        <v>54</v>
      </c>
      <c r="M108" s="9" t="s">
        <v>55</v>
      </c>
      <c r="N108" s="9">
        <v>331190.07</v>
      </c>
      <c r="O108" s="9">
        <v>331190.07</v>
      </c>
      <c r="R108" s="9" t="s">
        <v>72</v>
      </c>
      <c r="S108" s="9" t="s">
        <v>57</v>
      </c>
      <c r="T108" s="9" t="s">
        <v>73</v>
      </c>
      <c r="V108" s="9">
        <v>329972.64</v>
      </c>
      <c r="W108" s="9">
        <v>11218.36</v>
      </c>
      <c r="X108" s="9">
        <v>0.0</v>
      </c>
    </row>
    <row r="109" ht="15.75" customHeight="1">
      <c r="A109" s="9">
        <v>2034688.0</v>
      </c>
      <c r="B109" s="9">
        <v>901654.0</v>
      </c>
      <c r="C109" s="9">
        <v>30228.0</v>
      </c>
      <c r="D109" s="9" t="s">
        <v>52</v>
      </c>
      <c r="E109" s="9" t="s">
        <v>53</v>
      </c>
      <c r="F109" s="9">
        <v>24236.0</v>
      </c>
      <c r="G109" s="9">
        <v>1081016.0</v>
      </c>
      <c r="H109" s="9">
        <v>1081016.0</v>
      </c>
      <c r="I109" s="9">
        <v>1093776.55</v>
      </c>
      <c r="J109" s="9">
        <v>0.0</v>
      </c>
      <c r="K109" s="9">
        <v>0.0</v>
      </c>
      <c r="L109" s="9" t="s">
        <v>59</v>
      </c>
      <c r="M109" s="9" t="s">
        <v>55</v>
      </c>
      <c r="N109" s="9">
        <v>1037775.36</v>
      </c>
      <c r="O109" s="9">
        <v>1037775.35</v>
      </c>
      <c r="P109" s="9">
        <v>39309.67</v>
      </c>
      <c r="Q109" s="9">
        <v>39301.81</v>
      </c>
      <c r="R109" s="9" t="s">
        <v>60</v>
      </c>
      <c r="S109" s="9" t="s">
        <v>57</v>
      </c>
      <c r="T109" s="9" t="s">
        <v>61</v>
      </c>
      <c r="V109" s="9">
        <v>1054474.74</v>
      </c>
      <c r="W109" s="9">
        <v>0.0</v>
      </c>
      <c r="X109" s="9">
        <v>0.0</v>
      </c>
    </row>
    <row r="110" ht="15.75" customHeight="1">
      <c r="A110" s="9">
        <v>2037351.0</v>
      </c>
      <c r="B110" s="9">
        <v>1864773.0</v>
      </c>
      <c r="C110" s="9">
        <v>31243.0</v>
      </c>
      <c r="D110" s="9" t="s">
        <v>52</v>
      </c>
      <c r="E110" s="9" t="s">
        <v>53</v>
      </c>
      <c r="F110" s="9">
        <v>36345.0</v>
      </c>
      <c r="G110" s="9">
        <v>1864773.0</v>
      </c>
      <c r="H110" s="9">
        <v>1864773.0</v>
      </c>
      <c r="I110" s="9">
        <v>1906149.63</v>
      </c>
      <c r="J110" s="9">
        <v>0.0</v>
      </c>
      <c r="K110" s="9">
        <v>0.0</v>
      </c>
      <c r="L110" s="9" t="s">
        <v>59</v>
      </c>
      <c r="M110" s="9" t="s">
        <v>55</v>
      </c>
      <c r="R110" s="9" t="s">
        <v>75</v>
      </c>
      <c r="S110" s="9" t="s">
        <v>57</v>
      </c>
      <c r="T110" s="9" t="s">
        <v>76</v>
      </c>
    </row>
    <row r="111" ht="15.75" customHeight="1">
      <c r="A111" s="9">
        <v>2038130.0</v>
      </c>
      <c r="B111" s="9">
        <v>1118153.0</v>
      </c>
      <c r="C111" s="9">
        <v>30498.0</v>
      </c>
      <c r="D111" s="9" t="s">
        <v>52</v>
      </c>
      <c r="E111" s="9" t="s">
        <v>53</v>
      </c>
      <c r="F111" s="9">
        <v>24719.0</v>
      </c>
      <c r="G111" s="9">
        <v>1118153.0</v>
      </c>
      <c r="H111" s="9">
        <v>1118153.0</v>
      </c>
      <c r="I111" s="9">
        <v>878989.1</v>
      </c>
      <c r="J111" s="9">
        <v>0.0</v>
      </c>
      <c r="K111" s="9">
        <v>0.0</v>
      </c>
      <c r="L111" s="9" t="s">
        <v>59</v>
      </c>
      <c r="M111" s="9" t="s">
        <v>55</v>
      </c>
      <c r="N111" s="9">
        <v>1118153.0</v>
      </c>
      <c r="O111" s="9">
        <v>855000.01</v>
      </c>
      <c r="R111" s="9" t="s">
        <v>72</v>
      </c>
      <c r="S111" s="9" t="s">
        <v>57</v>
      </c>
      <c r="T111" s="9" t="s">
        <v>73</v>
      </c>
      <c r="V111" s="9">
        <v>845000.01</v>
      </c>
      <c r="W111" s="9">
        <v>19153.33</v>
      </c>
      <c r="X111" s="9">
        <v>0.0</v>
      </c>
    </row>
    <row r="112" ht="15.75" customHeight="1">
      <c r="A112" s="9">
        <v>2018554.0</v>
      </c>
      <c r="B112" s="9">
        <v>780390.0</v>
      </c>
      <c r="C112" s="9">
        <v>30321.0</v>
      </c>
      <c r="D112" s="9" t="s">
        <v>52</v>
      </c>
      <c r="E112" s="9" t="s">
        <v>53</v>
      </c>
      <c r="F112" s="9">
        <v>12188.0</v>
      </c>
      <c r="G112" s="9">
        <v>780390.0</v>
      </c>
      <c r="H112" s="9">
        <v>780390.0</v>
      </c>
      <c r="I112" s="9">
        <v>662214.44</v>
      </c>
      <c r="J112" s="9">
        <v>0.0</v>
      </c>
      <c r="K112" s="9">
        <v>0.0</v>
      </c>
      <c r="L112" s="9" t="s">
        <v>69</v>
      </c>
      <c r="M112" s="9" t="s">
        <v>55</v>
      </c>
      <c r="N112" s="9">
        <v>756979.0</v>
      </c>
      <c r="O112" s="9">
        <v>681281.1</v>
      </c>
      <c r="P112" s="9">
        <v>756979.0</v>
      </c>
      <c r="Q112" s="9">
        <v>0.0</v>
      </c>
      <c r="R112" s="9" t="s">
        <v>60</v>
      </c>
      <c r="S112" s="9" t="s">
        <v>57</v>
      </c>
      <c r="T112" s="9" t="s">
        <v>61</v>
      </c>
      <c r="V112" s="9">
        <v>662214.41</v>
      </c>
      <c r="W112" s="9">
        <v>0.0</v>
      </c>
      <c r="X112" s="9">
        <v>0.0</v>
      </c>
    </row>
    <row r="113" ht="15.75" customHeight="1">
      <c r="A113" s="9">
        <v>2019808.0</v>
      </c>
      <c r="B113" s="9">
        <v>1950976.0</v>
      </c>
      <c r="C113" s="9">
        <v>30315.0</v>
      </c>
      <c r="D113" s="9" t="s">
        <v>52</v>
      </c>
      <c r="E113" s="9" t="s">
        <v>53</v>
      </c>
      <c r="F113" s="9">
        <v>9349.0</v>
      </c>
      <c r="G113" s="9">
        <v>1950976.0</v>
      </c>
      <c r="H113" s="9">
        <v>1950976.0</v>
      </c>
      <c r="I113" s="9">
        <v>2054437.72</v>
      </c>
      <c r="J113" s="9">
        <v>0.0</v>
      </c>
      <c r="K113" s="9">
        <v>0.0</v>
      </c>
      <c r="L113" s="9" t="s">
        <v>54</v>
      </c>
      <c r="M113" s="9" t="s">
        <v>55</v>
      </c>
      <c r="N113" s="9">
        <v>1860653.04</v>
      </c>
      <c r="O113" s="9">
        <v>1808184.28</v>
      </c>
      <c r="P113" s="9">
        <v>148440.6</v>
      </c>
      <c r="Q113" s="9">
        <v>133596.54</v>
      </c>
      <c r="R113" s="9" t="s">
        <v>75</v>
      </c>
      <c r="S113" s="9" t="s">
        <v>57</v>
      </c>
      <c r="T113" s="9" t="s">
        <v>76</v>
      </c>
    </row>
    <row r="114" ht="15.75" customHeight="1">
      <c r="A114" s="9">
        <v>2019908.0</v>
      </c>
      <c r="B114" s="9">
        <v>1494980.0</v>
      </c>
      <c r="C114" s="9">
        <v>31192.0</v>
      </c>
      <c r="D114" s="9" t="s">
        <v>52</v>
      </c>
      <c r="E114" s="9" t="s">
        <v>53</v>
      </c>
      <c r="F114" s="9">
        <v>12017.0</v>
      </c>
      <c r="G114" s="9">
        <v>1494980.0</v>
      </c>
      <c r="H114" s="9">
        <v>1494980.0</v>
      </c>
      <c r="I114" s="9">
        <v>0.0</v>
      </c>
      <c r="J114" s="9">
        <v>0.0</v>
      </c>
      <c r="K114" s="9">
        <v>0.0</v>
      </c>
      <c r="L114" s="9" t="s">
        <v>54</v>
      </c>
      <c r="M114" s="9" t="s">
        <v>55</v>
      </c>
      <c r="R114" s="9" t="s">
        <v>60</v>
      </c>
      <c r="S114" s="9" t="s">
        <v>57</v>
      </c>
      <c r="T114" s="9" t="s">
        <v>61</v>
      </c>
      <c r="V114" s="9">
        <v>1149587.82</v>
      </c>
      <c r="W114" s="9">
        <v>0.0</v>
      </c>
      <c r="X114" s="9">
        <v>0.0</v>
      </c>
    </row>
    <row r="115" ht="15.75" customHeight="1">
      <c r="A115" s="9">
        <v>2021043.0</v>
      </c>
      <c r="B115" s="9">
        <v>1485938.0</v>
      </c>
      <c r="C115" s="9">
        <v>31237.0</v>
      </c>
      <c r="D115" s="9" t="s">
        <v>52</v>
      </c>
      <c r="E115" s="9" t="s">
        <v>53</v>
      </c>
      <c r="F115" s="9">
        <v>8447.0</v>
      </c>
      <c r="G115" s="9">
        <v>1485938.0</v>
      </c>
      <c r="H115" s="9">
        <v>1485938.0</v>
      </c>
      <c r="I115" s="9">
        <v>1437669.13</v>
      </c>
      <c r="J115" s="9">
        <v>0.0</v>
      </c>
      <c r="K115" s="9">
        <v>0.0</v>
      </c>
      <c r="L115" s="9" t="s">
        <v>69</v>
      </c>
      <c r="M115" s="9" t="s">
        <v>55</v>
      </c>
      <c r="R115" s="9" t="s">
        <v>60</v>
      </c>
      <c r="S115" s="9" t="s">
        <v>57</v>
      </c>
      <c r="T115" s="9" t="s">
        <v>61</v>
      </c>
      <c r="V115" s="9">
        <v>1421054.29</v>
      </c>
      <c r="W115" s="9">
        <v>16614.84</v>
      </c>
      <c r="X115" s="9">
        <v>0.0</v>
      </c>
    </row>
    <row r="116" ht="15.75" customHeight="1">
      <c r="A116" s="9">
        <v>2021444.0</v>
      </c>
      <c r="B116" s="9">
        <v>1573409.0</v>
      </c>
      <c r="C116" s="9">
        <v>30583.0</v>
      </c>
      <c r="D116" s="9" t="s">
        <v>52</v>
      </c>
      <c r="E116" s="9" t="s">
        <v>53</v>
      </c>
      <c r="F116" s="9">
        <v>9330.0</v>
      </c>
      <c r="G116" s="9">
        <v>2201222.49</v>
      </c>
      <c r="H116" s="9">
        <v>2201222.49</v>
      </c>
      <c r="I116" s="9">
        <v>2201222.48</v>
      </c>
      <c r="J116" s="9">
        <v>0.0</v>
      </c>
      <c r="K116" s="9">
        <v>0.0</v>
      </c>
      <c r="L116" s="9" t="s">
        <v>59</v>
      </c>
      <c r="M116" s="9" t="s">
        <v>55</v>
      </c>
      <c r="N116" s="9">
        <v>1473409.0</v>
      </c>
      <c r="O116" s="9">
        <v>1473332.79</v>
      </c>
      <c r="P116" s="9">
        <v>58933.0</v>
      </c>
      <c r="Q116" s="9">
        <v>53039.7</v>
      </c>
      <c r="R116" s="9" t="s">
        <v>60</v>
      </c>
      <c r="S116" s="9" t="s">
        <v>57</v>
      </c>
      <c r="T116" s="9" t="s">
        <v>61</v>
      </c>
      <c r="V116" s="9">
        <v>2345092.94</v>
      </c>
      <c r="W116" s="9">
        <v>53039.7</v>
      </c>
      <c r="X116" s="9">
        <v>0.0</v>
      </c>
    </row>
    <row r="117" ht="15.75" customHeight="1">
      <c r="A117" s="9">
        <v>2021730.0</v>
      </c>
      <c r="B117" s="9">
        <v>3990635.0</v>
      </c>
      <c r="C117" s="9">
        <v>30862.0</v>
      </c>
      <c r="D117" s="9" t="s">
        <v>52</v>
      </c>
      <c r="E117" s="9" t="s">
        <v>53</v>
      </c>
      <c r="F117" s="9">
        <v>11282.0</v>
      </c>
      <c r="G117" s="9">
        <v>8316799.7</v>
      </c>
      <c r="H117" s="9">
        <v>5895602.31</v>
      </c>
      <c r="I117" s="9">
        <v>9402013.94</v>
      </c>
      <c r="J117" s="9">
        <v>0.0</v>
      </c>
      <c r="K117" s="9">
        <v>0.0</v>
      </c>
      <c r="L117" s="9" t="s">
        <v>69</v>
      </c>
      <c r="M117" s="9" t="s">
        <v>55</v>
      </c>
      <c r="N117" s="9">
        <v>7493938.73</v>
      </c>
      <c r="O117" s="9">
        <v>6137000.09</v>
      </c>
      <c r="P117" s="9">
        <v>299757.55</v>
      </c>
      <c r="Q117" s="9">
        <v>226707.39</v>
      </c>
      <c r="R117" s="9" t="s">
        <v>60</v>
      </c>
      <c r="S117" s="9" t="s">
        <v>57</v>
      </c>
      <c r="T117" s="9" t="s">
        <v>61</v>
      </c>
      <c r="V117" s="9">
        <v>8177733.46</v>
      </c>
      <c r="W117" s="9">
        <v>359067.14</v>
      </c>
      <c r="X117" s="9">
        <v>479866.45</v>
      </c>
    </row>
    <row r="118" ht="15.75" customHeight="1">
      <c r="A118" s="9">
        <v>2021879.0</v>
      </c>
      <c r="B118" s="9">
        <v>2592025.0</v>
      </c>
      <c r="C118" s="9">
        <v>30691.0</v>
      </c>
      <c r="D118" s="9" t="s">
        <v>52</v>
      </c>
      <c r="E118" s="9" t="s">
        <v>53</v>
      </c>
      <c r="F118" s="9">
        <v>8418.0</v>
      </c>
      <c r="G118" s="9">
        <v>2592025.0</v>
      </c>
      <c r="H118" s="9">
        <v>2592025.0</v>
      </c>
      <c r="I118" s="9">
        <v>1080093.33</v>
      </c>
      <c r="J118" s="9">
        <v>0.0</v>
      </c>
      <c r="K118" s="9">
        <v>0.0</v>
      </c>
      <c r="L118" s="9" t="s">
        <v>59</v>
      </c>
      <c r="M118" s="9" t="s">
        <v>55</v>
      </c>
      <c r="N118" s="9">
        <v>765608.0</v>
      </c>
      <c r="O118" s="9">
        <v>689047.2</v>
      </c>
      <c r="R118" s="9" t="s">
        <v>72</v>
      </c>
      <c r="S118" s="9" t="s">
        <v>57</v>
      </c>
      <c r="T118" s="9" t="s">
        <v>73</v>
      </c>
      <c r="V118" s="9">
        <v>615174.48</v>
      </c>
      <c r="W118" s="9">
        <v>13400.0</v>
      </c>
      <c r="X118" s="9">
        <v>0.0</v>
      </c>
    </row>
    <row r="119" ht="15.75" customHeight="1">
      <c r="A119" s="9">
        <v>2022434.0</v>
      </c>
      <c r="B119" s="9">
        <v>1994107.0</v>
      </c>
      <c r="C119" s="9">
        <v>30634.0</v>
      </c>
      <c r="D119" s="9" t="s">
        <v>52</v>
      </c>
      <c r="E119" s="9" t="s">
        <v>53</v>
      </c>
      <c r="F119" s="9">
        <v>1550.0</v>
      </c>
      <c r="G119" s="9">
        <v>1994107.0</v>
      </c>
      <c r="H119" s="9">
        <v>1994107.0</v>
      </c>
      <c r="I119" s="9">
        <v>2242426.1</v>
      </c>
      <c r="J119" s="9">
        <v>0.0</v>
      </c>
      <c r="K119" s="9">
        <v>0.0</v>
      </c>
      <c r="L119" s="9" t="s">
        <v>69</v>
      </c>
      <c r="M119" s="9" t="s">
        <v>55</v>
      </c>
      <c r="N119" s="9">
        <v>1994107.0</v>
      </c>
      <c r="O119" s="9">
        <v>1759506.11</v>
      </c>
      <c r="R119" s="9" t="s">
        <v>56</v>
      </c>
      <c r="S119" s="9" t="s">
        <v>57</v>
      </c>
      <c r="T119" s="9" t="s">
        <v>58</v>
      </c>
    </row>
    <row r="120" ht="15.75" customHeight="1">
      <c r="A120" s="9">
        <v>2022748.0</v>
      </c>
      <c r="B120" s="9">
        <v>2.1174335E7</v>
      </c>
      <c r="C120" s="9">
        <v>29803.0</v>
      </c>
      <c r="D120" s="9" t="s">
        <v>52</v>
      </c>
      <c r="E120" s="9" t="s">
        <v>53</v>
      </c>
      <c r="F120" s="9">
        <v>4556.0</v>
      </c>
      <c r="G120" s="9">
        <v>2.8683217E7</v>
      </c>
      <c r="H120" s="9">
        <v>1.0152254607E8</v>
      </c>
      <c r="I120" s="9">
        <v>8.978581185E7</v>
      </c>
      <c r="J120" s="9">
        <v>9835062.32</v>
      </c>
      <c r="K120" s="9">
        <v>1.58E7</v>
      </c>
      <c r="L120" s="9" t="s">
        <v>59</v>
      </c>
      <c r="M120" s="9" t="s">
        <v>65</v>
      </c>
      <c r="N120" s="9">
        <v>278033.33</v>
      </c>
      <c r="O120" s="9">
        <v>278033.33</v>
      </c>
      <c r="R120" s="9" t="s">
        <v>92</v>
      </c>
      <c r="S120" s="9" t="s">
        <v>57</v>
      </c>
      <c r="T120" s="9" t="s">
        <v>93</v>
      </c>
    </row>
    <row r="121" ht="15.75" customHeight="1">
      <c r="A121" s="9">
        <v>2023334.0</v>
      </c>
      <c r="B121" s="9">
        <v>533955.0</v>
      </c>
      <c r="C121" s="9">
        <v>29999.0</v>
      </c>
      <c r="D121" s="9" t="s">
        <v>52</v>
      </c>
      <c r="E121" s="9" t="s">
        <v>53</v>
      </c>
      <c r="F121" s="9">
        <v>15436.0</v>
      </c>
      <c r="G121" s="9">
        <v>420842.15</v>
      </c>
      <c r="H121" s="9">
        <v>420842.15</v>
      </c>
      <c r="I121" s="9">
        <v>644922.89</v>
      </c>
      <c r="J121" s="9">
        <v>0.0</v>
      </c>
      <c r="K121" s="9">
        <v>0.0</v>
      </c>
      <c r="L121" s="9" t="s">
        <v>59</v>
      </c>
      <c r="M121" s="9" t="s">
        <v>55</v>
      </c>
      <c r="N121" s="9">
        <v>600106.9</v>
      </c>
      <c r="O121" s="9">
        <v>540096.21</v>
      </c>
      <c r="P121" s="9">
        <v>600106.9</v>
      </c>
      <c r="Q121" s="9">
        <v>16200.0</v>
      </c>
      <c r="R121" s="9" t="s">
        <v>75</v>
      </c>
      <c r="S121" s="9" t="s">
        <v>57</v>
      </c>
      <c r="T121" s="9" t="s">
        <v>76</v>
      </c>
    </row>
    <row r="122" ht="15.75" customHeight="1">
      <c r="A122" s="9">
        <v>2025091.0</v>
      </c>
      <c r="B122" s="9">
        <v>1103939.0</v>
      </c>
      <c r="C122" s="9">
        <v>30735.0</v>
      </c>
      <c r="D122" s="9" t="s">
        <v>52</v>
      </c>
      <c r="E122" s="9" t="s">
        <v>53</v>
      </c>
      <c r="F122" s="9">
        <v>22023.0</v>
      </c>
      <c r="G122" s="9">
        <v>1103939.0</v>
      </c>
      <c r="H122" s="9">
        <v>1103939.0</v>
      </c>
      <c r="I122" s="9">
        <v>1020192.31</v>
      </c>
      <c r="J122" s="9">
        <v>0.0</v>
      </c>
      <c r="K122" s="9">
        <v>0.0</v>
      </c>
      <c r="L122" s="9" t="s">
        <v>69</v>
      </c>
      <c r="M122" s="9" t="s">
        <v>55</v>
      </c>
      <c r="N122" s="9">
        <v>1098217.95</v>
      </c>
      <c r="O122" s="9">
        <v>988396.16</v>
      </c>
      <c r="R122" s="9" t="s">
        <v>60</v>
      </c>
      <c r="S122" s="9" t="s">
        <v>57</v>
      </c>
      <c r="T122" s="9" t="s">
        <v>61</v>
      </c>
      <c r="V122" s="9">
        <v>990953.18</v>
      </c>
      <c r="W122" s="9">
        <v>0.0</v>
      </c>
      <c r="X122" s="9">
        <v>0.0</v>
      </c>
    </row>
    <row r="123" ht="15.75" customHeight="1">
      <c r="A123" s="9">
        <v>2025709.0</v>
      </c>
      <c r="B123" s="9">
        <v>1295098.0</v>
      </c>
      <c r="C123" s="9">
        <v>29909.0</v>
      </c>
      <c r="D123" s="9" t="s">
        <v>52</v>
      </c>
      <c r="E123" s="9" t="s">
        <v>53</v>
      </c>
      <c r="F123" s="9">
        <v>16837.0</v>
      </c>
      <c r="G123" s="9">
        <v>1295098.0</v>
      </c>
      <c r="H123" s="9">
        <v>1295098.0</v>
      </c>
      <c r="I123" s="9">
        <v>1500.0</v>
      </c>
      <c r="J123" s="9">
        <v>0.0</v>
      </c>
      <c r="K123" s="9">
        <v>0.0</v>
      </c>
      <c r="L123" s="9" t="s">
        <v>59</v>
      </c>
      <c r="M123" s="9" t="s">
        <v>55</v>
      </c>
      <c r="N123" s="9">
        <v>1295098.0</v>
      </c>
      <c r="O123" s="9">
        <v>1295098.0</v>
      </c>
      <c r="R123" s="9" t="s">
        <v>94</v>
      </c>
      <c r="S123" s="9" t="s">
        <v>57</v>
      </c>
      <c r="T123" s="9" t="s">
        <v>95</v>
      </c>
    </row>
    <row r="124" ht="15.75" customHeight="1">
      <c r="A124" s="9">
        <v>2026442.0</v>
      </c>
      <c r="B124" s="9">
        <v>1225038.0</v>
      </c>
      <c r="C124" s="9">
        <v>31180.0</v>
      </c>
      <c r="D124" s="9" t="s">
        <v>52</v>
      </c>
      <c r="E124" s="9" t="s">
        <v>53</v>
      </c>
      <c r="F124" s="9">
        <v>20252.0</v>
      </c>
      <c r="G124" s="9">
        <v>1200760.0</v>
      </c>
      <c r="H124" s="9">
        <v>1200760.0</v>
      </c>
      <c r="I124" s="9">
        <v>0.0</v>
      </c>
      <c r="J124" s="9">
        <v>0.0</v>
      </c>
      <c r="K124" s="9">
        <v>0.0</v>
      </c>
      <c r="L124" s="9" t="s">
        <v>54</v>
      </c>
      <c r="M124" s="9" t="s">
        <v>55</v>
      </c>
      <c r="R124" s="9" t="s">
        <v>60</v>
      </c>
      <c r="S124" s="9" t="s">
        <v>57</v>
      </c>
      <c r="T124" s="9" t="s">
        <v>61</v>
      </c>
      <c r="V124" s="9">
        <v>1248320.79</v>
      </c>
      <c r="W124" s="9">
        <v>0.0</v>
      </c>
      <c r="X124" s="9">
        <v>0.0</v>
      </c>
    </row>
    <row r="125" ht="15.75" customHeight="1">
      <c r="A125" s="9">
        <v>2027831.0</v>
      </c>
      <c r="B125" s="9">
        <v>1959262.0</v>
      </c>
      <c r="C125" s="9">
        <v>31228.0</v>
      </c>
      <c r="D125" s="9" t="s">
        <v>52</v>
      </c>
      <c r="E125" s="9" t="s">
        <v>53</v>
      </c>
      <c r="F125" s="9">
        <v>26804.0</v>
      </c>
      <c r="G125" s="9">
        <v>1959262.0</v>
      </c>
      <c r="H125" s="9">
        <v>1959262.0</v>
      </c>
      <c r="I125" s="9">
        <v>1884497.63</v>
      </c>
      <c r="J125" s="9">
        <v>0.0</v>
      </c>
      <c r="K125" s="9">
        <v>0.0</v>
      </c>
      <c r="L125" s="9" t="s">
        <v>59</v>
      </c>
      <c r="M125" s="9" t="s">
        <v>55</v>
      </c>
      <c r="R125" s="9" t="s">
        <v>94</v>
      </c>
      <c r="S125" s="9" t="s">
        <v>57</v>
      </c>
      <c r="T125" s="9" t="s">
        <v>95</v>
      </c>
    </row>
    <row r="126" ht="15.75" customHeight="1">
      <c r="A126" s="9">
        <v>2029117.0</v>
      </c>
      <c r="B126" s="9">
        <v>2404697.0</v>
      </c>
      <c r="C126" s="9">
        <v>31034.0</v>
      </c>
      <c r="D126" s="9" t="s">
        <v>52</v>
      </c>
      <c r="E126" s="9" t="s">
        <v>53</v>
      </c>
      <c r="F126" s="9">
        <v>30505.0</v>
      </c>
      <c r="G126" s="9">
        <v>2404697.0</v>
      </c>
      <c r="H126" s="9">
        <v>2404697.0</v>
      </c>
      <c r="I126" s="9">
        <v>3318698.75</v>
      </c>
      <c r="J126" s="9">
        <v>0.0</v>
      </c>
      <c r="K126" s="9">
        <v>0.0</v>
      </c>
      <c r="L126" s="9" t="s">
        <v>59</v>
      </c>
      <c r="M126" s="9" t="s">
        <v>55</v>
      </c>
      <c r="R126" s="9" t="s">
        <v>60</v>
      </c>
      <c r="S126" s="9" t="s">
        <v>57</v>
      </c>
      <c r="T126" s="9" t="s">
        <v>61</v>
      </c>
      <c r="V126" s="9">
        <v>3290824.86</v>
      </c>
      <c r="W126" s="9">
        <v>0.0</v>
      </c>
      <c r="X126" s="9">
        <v>0.0</v>
      </c>
    </row>
    <row r="127" ht="15.75" customHeight="1">
      <c r="A127" s="9">
        <v>2029267.0</v>
      </c>
      <c r="B127" s="9">
        <v>1512178.0</v>
      </c>
      <c r="C127" s="9">
        <v>30693.0</v>
      </c>
      <c r="D127" s="9" t="s">
        <v>52</v>
      </c>
      <c r="E127" s="9" t="s">
        <v>53</v>
      </c>
      <c r="F127" s="9">
        <v>20249.0</v>
      </c>
      <c r="G127" s="9">
        <v>1512178.0</v>
      </c>
      <c r="H127" s="9">
        <v>1512178.0</v>
      </c>
      <c r="I127" s="9">
        <v>1574157.56</v>
      </c>
      <c r="J127" s="9">
        <v>0.0</v>
      </c>
      <c r="K127" s="9">
        <v>0.0</v>
      </c>
      <c r="L127" s="9" t="s">
        <v>59</v>
      </c>
      <c r="M127" s="9" t="s">
        <v>55</v>
      </c>
      <c r="N127" s="9">
        <v>1487178.0</v>
      </c>
      <c r="O127" s="9">
        <v>1487178.0</v>
      </c>
      <c r="P127" s="9">
        <v>1487178.0</v>
      </c>
      <c r="Q127" s="9">
        <v>25450.0</v>
      </c>
      <c r="R127" s="9" t="s">
        <v>75</v>
      </c>
      <c r="S127" s="9" t="s">
        <v>57</v>
      </c>
      <c r="T127" s="9" t="s">
        <v>76</v>
      </c>
    </row>
    <row r="128" ht="15.75" customHeight="1">
      <c r="A128" s="9">
        <v>2029936.0</v>
      </c>
      <c r="B128" s="9">
        <v>5101935.0</v>
      </c>
      <c r="C128" s="9">
        <v>30637.0</v>
      </c>
      <c r="D128" s="9" t="s">
        <v>52</v>
      </c>
      <c r="E128" s="9" t="s">
        <v>53</v>
      </c>
      <c r="F128" s="9">
        <v>903.0</v>
      </c>
      <c r="G128" s="9">
        <v>5449353.35</v>
      </c>
      <c r="H128" s="9">
        <v>5449353.35</v>
      </c>
      <c r="I128" s="9">
        <v>5593540.46</v>
      </c>
      <c r="J128" s="9">
        <v>0.0</v>
      </c>
      <c r="K128" s="9">
        <v>0.0</v>
      </c>
      <c r="L128" s="9" t="s">
        <v>69</v>
      </c>
      <c r="M128" s="9" t="s">
        <v>55</v>
      </c>
      <c r="N128" s="9">
        <v>5101935.0</v>
      </c>
      <c r="O128" s="9">
        <v>3858606.0</v>
      </c>
      <c r="R128" s="9" t="s">
        <v>72</v>
      </c>
      <c r="S128" s="9" t="s">
        <v>57</v>
      </c>
      <c r="T128" s="9" t="s">
        <v>73</v>
      </c>
      <c r="V128" s="9">
        <v>4302765.96</v>
      </c>
      <c r="W128" s="9">
        <v>0.0</v>
      </c>
      <c r="X128" s="9">
        <v>0.0</v>
      </c>
    </row>
    <row r="129" ht="15.75" customHeight="1">
      <c r="A129" s="9">
        <v>2030168.0</v>
      </c>
      <c r="B129" s="9">
        <v>891030.0</v>
      </c>
      <c r="C129" s="9">
        <v>30497.0</v>
      </c>
      <c r="D129" s="9" t="s">
        <v>52</v>
      </c>
      <c r="E129" s="9" t="s">
        <v>53</v>
      </c>
      <c r="F129" s="9">
        <v>24507.0</v>
      </c>
      <c r="G129" s="9">
        <v>891030.0</v>
      </c>
      <c r="H129" s="9">
        <v>891030.0</v>
      </c>
      <c r="I129" s="9">
        <v>0.0</v>
      </c>
      <c r="J129" s="9">
        <v>0.0</v>
      </c>
      <c r="K129" s="9">
        <v>0.0</v>
      </c>
      <c r="L129" s="9" t="s">
        <v>54</v>
      </c>
      <c r="M129" s="9" t="s">
        <v>55</v>
      </c>
      <c r="N129" s="9">
        <v>726681.81</v>
      </c>
      <c r="O129" s="9">
        <v>726681.81</v>
      </c>
      <c r="R129" s="9" t="s">
        <v>60</v>
      </c>
      <c r="S129" s="9" t="s">
        <v>57</v>
      </c>
      <c r="T129" s="9" t="s">
        <v>61</v>
      </c>
      <c r="V129" s="9">
        <v>733882.3</v>
      </c>
      <c r="W129" s="9">
        <v>0.0</v>
      </c>
      <c r="X129" s="9">
        <v>0.0</v>
      </c>
    </row>
    <row r="130" ht="15.75" customHeight="1">
      <c r="A130" s="9">
        <v>2030171.0</v>
      </c>
      <c r="B130" s="9">
        <v>4961559.0</v>
      </c>
      <c r="C130" s="9">
        <v>33358.0</v>
      </c>
      <c r="D130" s="9" t="s">
        <v>52</v>
      </c>
      <c r="E130" s="9" t="s">
        <v>53</v>
      </c>
      <c r="F130" s="9">
        <v>28582.0</v>
      </c>
      <c r="G130" s="9">
        <v>6865830.67</v>
      </c>
      <c r="H130" s="9">
        <v>6865830.67</v>
      </c>
      <c r="I130" s="9">
        <v>1506393.08</v>
      </c>
      <c r="J130" s="9">
        <v>0.0</v>
      </c>
      <c r="K130" s="9">
        <v>0.0</v>
      </c>
      <c r="L130" s="9" t="s">
        <v>69</v>
      </c>
      <c r="M130" s="9" t="s">
        <v>62</v>
      </c>
      <c r="N130" s="9">
        <v>949256.95</v>
      </c>
      <c r="O130" s="9">
        <v>949256.95</v>
      </c>
      <c r="P130" s="9">
        <v>47462.85</v>
      </c>
      <c r="Q130" s="9">
        <v>47462.85</v>
      </c>
      <c r="R130" s="9" t="s">
        <v>56</v>
      </c>
      <c r="S130" s="9" t="s">
        <v>57</v>
      </c>
      <c r="T130" s="9" t="s">
        <v>58</v>
      </c>
      <c r="V130" s="9">
        <v>949256.95</v>
      </c>
      <c r="W130" s="9">
        <v>0.0</v>
      </c>
      <c r="X130" s="9">
        <v>45900.0</v>
      </c>
    </row>
    <row r="131" ht="15.75" customHeight="1">
      <c r="A131" s="9">
        <v>2030271.0</v>
      </c>
      <c r="B131" s="9">
        <v>951112.0</v>
      </c>
      <c r="C131" s="9">
        <v>30146.0</v>
      </c>
      <c r="D131" s="9" t="s">
        <v>52</v>
      </c>
      <c r="E131" s="9" t="s">
        <v>53</v>
      </c>
      <c r="F131" s="9">
        <v>30436.0</v>
      </c>
      <c r="G131" s="9">
        <v>1385486.0</v>
      </c>
      <c r="H131" s="9">
        <v>1385486.0</v>
      </c>
      <c r="I131" s="9">
        <v>0.0</v>
      </c>
      <c r="J131" s="9">
        <v>0.0</v>
      </c>
      <c r="K131" s="9">
        <v>0.0</v>
      </c>
      <c r="L131" s="9" t="s">
        <v>54</v>
      </c>
      <c r="M131" s="9" t="s">
        <v>55</v>
      </c>
      <c r="N131" s="9">
        <v>1357784.3</v>
      </c>
      <c r="O131" s="9">
        <v>1459556.34</v>
      </c>
      <c r="P131" s="9">
        <v>7000.0</v>
      </c>
      <c r="Q131" s="9">
        <v>7000.0</v>
      </c>
      <c r="R131" s="9" t="s">
        <v>60</v>
      </c>
      <c r="S131" s="9" t="s">
        <v>57</v>
      </c>
      <c r="T131" s="9" t="s">
        <v>61</v>
      </c>
      <c r="V131" s="9">
        <v>1359472.92</v>
      </c>
      <c r="W131" s="9">
        <v>0.0</v>
      </c>
      <c r="X131" s="9">
        <v>0.0</v>
      </c>
    </row>
    <row r="132" ht="15.75" customHeight="1">
      <c r="A132" s="9">
        <v>2030536.0</v>
      </c>
      <c r="B132" s="9">
        <v>1620704.0</v>
      </c>
      <c r="C132" s="9">
        <v>30635.0</v>
      </c>
      <c r="D132" s="9" t="s">
        <v>52</v>
      </c>
      <c r="E132" s="9" t="s">
        <v>53</v>
      </c>
      <c r="F132" s="9">
        <v>1292.0</v>
      </c>
      <c r="G132" s="9">
        <v>1620704.0</v>
      </c>
      <c r="H132" s="9">
        <v>1620704.0</v>
      </c>
      <c r="I132" s="9">
        <v>1667040.56</v>
      </c>
      <c r="J132" s="9">
        <v>0.0</v>
      </c>
      <c r="K132" s="9">
        <v>0.0</v>
      </c>
      <c r="L132" s="9" t="s">
        <v>69</v>
      </c>
      <c r="M132" s="9" t="s">
        <v>55</v>
      </c>
      <c r="N132" s="9">
        <v>1620704.0</v>
      </c>
      <c r="O132" s="9">
        <v>1430032.93</v>
      </c>
      <c r="R132" s="9" t="s">
        <v>60</v>
      </c>
      <c r="S132" s="9" t="s">
        <v>57</v>
      </c>
      <c r="T132" s="9" t="s">
        <v>61</v>
      </c>
      <c r="V132" s="9">
        <v>1685023.6</v>
      </c>
      <c r="W132" s="9">
        <v>0.0</v>
      </c>
      <c r="X132" s="9">
        <v>0.0</v>
      </c>
    </row>
    <row r="133" ht="15.75" customHeight="1">
      <c r="A133" s="9">
        <v>2030539.0</v>
      </c>
      <c r="B133" s="9">
        <v>1491913.0</v>
      </c>
      <c r="C133" s="9">
        <v>31283.0</v>
      </c>
      <c r="D133" s="9" t="s">
        <v>52</v>
      </c>
      <c r="E133" s="9" t="s">
        <v>53</v>
      </c>
      <c r="F133" s="9">
        <v>12339.0</v>
      </c>
      <c r="G133" s="9">
        <v>1491913.0</v>
      </c>
      <c r="H133" s="9">
        <v>1491913.0</v>
      </c>
      <c r="I133" s="9">
        <v>0.0</v>
      </c>
      <c r="J133" s="9">
        <v>0.0</v>
      </c>
      <c r="K133" s="9">
        <v>0.0</v>
      </c>
      <c r="L133" s="9" t="s">
        <v>54</v>
      </c>
      <c r="M133" s="9" t="s">
        <v>55</v>
      </c>
      <c r="R133" s="9" t="s">
        <v>75</v>
      </c>
      <c r="S133" s="9" t="s">
        <v>57</v>
      </c>
      <c r="T133" s="9" t="s">
        <v>76</v>
      </c>
      <c r="V133" s="9">
        <v>1425901.49</v>
      </c>
      <c r="W133" s="9">
        <v>0.0</v>
      </c>
      <c r="X133" s="9">
        <v>0.0</v>
      </c>
    </row>
    <row r="134" ht="15.75" customHeight="1">
      <c r="A134" s="9">
        <v>2017527.0</v>
      </c>
      <c r="B134" s="9">
        <v>1980965.58</v>
      </c>
      <c r="C134" s="9">
        <v>31030.0</v>
      </c>
      <c r="D134" s="9" t="s">
        <v>52</v>
      </c>
      <c r="E134" s="9" t="s">
        <v>53</v>
      </c>
      <c r="F134" s="9">
        <v>9796.0</v>
      </c>
      <c r="G134" s="9">
        <v>1.158900517E7</v>
      </c>
      <c r="H134" s="9">
        <v>1.158900517E7</v>
      </c>
      <c r="I134" s="9">
        <v>5213318.67</v>
      </c>
      <c r="J134" s="9">
        <v>0.0</v>
      </c>
      <c r="K134" s="9">
        <v>0.0</v>
      </c>
      <c r="L134" s="9" t="s">
        <v>59</v>
      </c>
      <c r="M134" s="9" t="s">
        <v>55</v>
      </c>
      <c r="R134" s="9" t="s">
        <v>60</v>
      </c>
      <c r="S134" s="9" t="s">
        <v>57</v>
      </c>
      <c r="T134" s="9" t="s">
        <v>61</v>
      </c>
      <c r="V134" s="9">
        <v>4549342.48</v>
      </c>
      <c r="W134" s="9">
        <v>0.0</v>
      </c>
      <c r="X134" s="9">
        <v>0.0</v>
      </c>
    </row>
    <row r="135" ht="15.75" customHeight="1">
      <c r="A135" s="9">
        <v>2017927.0</v>
      </c>
      <c r="B135" s="9">
        <v>1012703.0</v>
      </c>
      <c r="C135" s="9">
        <v>30636.0</v>
      </c>
      <c r="D135" s="9" t="s">
        <v>52</v>
      </c>
      <c r="E135" s="9" t="s">
        <v>53</v>
      </c>
      <c r="F135" s="9">
        <v>14428.0</v>
      </c>
      <c r="G135" s="9">
        <v>1012703.0</v>
      </c>
      <c r="H135" s="9">
        <v>1012703.0</v>
      </c>
      <c r="I135" s="9">
        <v>1232656.5</v>
      </c>
      <c r="J135" s="9">
        <v>0.0</v>
      </c>
      <c r="K135" s="9">
        <v>0.0</v>
      </c>
      <c r="L135" s="9" t="s">
        <v>69</v>
      </c>
      <c r="M135" s="9" t="s">
        <v>55</v>
      </c>
      <c r="N135" s="9">
        <v>1181316.57</v>
      </c>
      <c r="O135" s="9">
        <v>1063184.92</v>
      </c>
      <c r="R135" s="9" t="s">
        <v>60</v>
      </c>
      <c r="S135" s="9" t="s">
        <v>57</v>
      </c>
      <c r="T135" s="9" t="s">
        <v>61</v>
      </c>
      <c r="V135" s="9">
        <v>1642578.29</v>
      </c>
      <c r="W135" s="9">
        <v>0.0</v>
      </c>
      <c r="X135" s="9">
        <v>0.0</v>
      </c>
    </row>
    <row r="136" ht="15.75" customHeight="1">
      <c r="A136" s="9">
        <v>2019248.0</v>
      </c>
      <c r="B136" s="9">
        <v>2.1846923E7</v>
      </c>
      <c r="C136" s="9">
        <v>41868.0</v>
      </c>
      <c r="D136" s="9" t="s">
        <v>52</v>
      </c>
      <c r="E136" s="9" t="s">
        <v>53</v>
      </c>
      <c r="F136" s="9">
        <v>9846.0</v>
      </c>
      <c r="G136" s="9">
        <v>3.1992844E7</v>
      </c>
      <c r="H136" s="9">
        <v>3.484784993E7</v>
      </c>
      <c r="I136" s="9">
        <v>3.480170383E7</v>
      </c>
      <c r="J136" s="9">
        <v>0.0</v>
      </c>
      <c r="K136" s="9">
        <v>0.0</v>
      </c>
      <c r="L136" s="9" t="s">
        <v>59</v>
      </c>
      <c r="M136" s="9" t="s">
        <v>62</v>
      </c>
      <c r="N136" s="9">
        <v>2519169.0</v>
      </c>
      <c r="O136" s="9">
        <v>2519169.0</v>
      </c>
      <c r="P136" s="9">
        <v>129966.0</v>
      </c>
      <c r="Q136" s="9">
        <v>129966.0</v>
      </c>
      <c r="R136" s="9" t="s">
        <v>56</v>
      </c>
      <c r="S136" s="9" t="s">
        <v>57</v>
      </c>
      <c r="T136" s="9" t="s">
        <v>58</v>
      </c>
      <c r="V136" s="9">
        <v>0.0</v>
      </c>
      <c r="W136" s="9">
        <v>129966.0</v>
      </c>
      <c r="X136" s="9">
        <v>0.0</v>
      </c>
    </row>
    <row r="137" ht="15.75" customHeight="1">
      <c r="A137" s="9">
        <v>2021505.0</v>
      </c>
      <c r="B137" s="9">
        <v>1340895.0</v>
      </c>
      <c r="C137" s="9">
        <v>30949.0</v>
      </c>
      <c r="D137" s="9" t="s">
        <v>52</v>
      </c>
      <c r="E137" s="9" t="s">
        <v>53</v>
      </c>
      <c r="F137" s="9">
        <v>16273.0</v>
      </c>
      <c r="G137" s="9">
        <v>1340895.0</v>
      </c>
      <c r="H137" s="9">
        <v>1340895.0</v>
      </c>
      <c r="I137" s="9">
        <v>2113149.45</v>
      </c>
      <c r="J137" s="9">
        <v>0.0</v>
      </c>
      <c r="K137" s="9">
        <v>0.0</v>
      </c>
      <c r="L137" s="9" t="s">
        <v>59</v>
      </c>
      <c r="M137" s="9" t="s">
        <v>55</v>
      </c>
      <c r="N137" s="9">
        <v>1748430.19</v>
      </c>
      <c r="O137" s="9">
        <v>1569262.5</v>
      </c>
      <c r="R137" s="9" t="s">
        <v>60</v>
      </c>
      <c r="S137" s="9" t="s">
        <v>57</v>
      </c>
      <c r="T137" s="9" t="s">
        <v>61</v>
      </c>
      <c r="V137" s="9">
        <v>1490649.77</v>
      </c>
      <c r="W137" s="9">
        <v>0.0</v>
      </c>
      <c r="X137" s="9">
        <v>0.0</v>
      </c>
    </row>
    <row r="138" ht="15.75" customHeight="1">
      <c r="A138" s="9">
        <v>2021871.0</v>
      </c>
      <c r="B138" s="9">
        <v>3638196.0</v>
      </c>
      <c r="C138" s="9">
        <v>30742.0</v>
      </c>
      <c r="D138" s="9" t="s">
        <v>52</v>
      </c>
      <c r="E138" s="9" t="s">
        <v>53</v>
      </c>
      <c r="F138" s="9">
        <v>347.0</v>
      </c>
      <c r="G138" s="9">
        <v>3709941.0</v>
      </c>
      <c r="H138" s="9">
        <v>3709941.0</v>
      </c>
      <c r="I138" s="9">
        <v>4014974.31</v>
      </c>
      <c r="J138" s="9">
        <v>0.0</v>
      </c>
      <c r="K138" s="9">
        <v>0.0</v>
      </c>
      <c r="L138" s="9" t="s">
        <v>69</v>
      </c>
      <c r="M138" s="9" t="s">
        <v>55</v>
      </c>
      <c r="N138" s="9">
        <v>3407052.32</v>
      </c>
      <c r="O138" s="9">
        <v>3404797.19</v>
      </c>
      <c r="R138" s="9" t="s">
        <v>94</v>
      </c>
      <c r="S138" s="9" t="s">
        <v>57</v>
      </c>
      <c r="T138" s="9" t="s">
        <v>95</v>
      </c>
      <c r="V138" s="9">
        <v>3961974.34</v>
      </c>
      <c r="W138" s="9">
        <v>0.0</v>
      </c>
      <c r="X138" s="9">
        <v>0.0</v>
      </c>
    </row>
    <row r="139" ht="15.75" customHeight="1">
      <c r="A139" s="9">
        <v>2021873.0</v>
      </c>
      <c r="B139" s="9">
        <v>3894701.0</v>
      </c>
      <c r="C139" s="9">
        <v>31079.0</v>
      </c>
      <c r="D139" s="9" t="s">
        <v>52</v>
      </c>
      <c r="E139" s="9" t="s">
        <v>53</v>
      </c>
      <c r="F139" s="9">
        <v>13637.0</v>
      </c>
      <c r="G139" s="9">
        <v>3894701.0</v>
      </c>
      <c r="H139" s="9">
        <v>3894701.0</v>
      </c>
      <c r="I139" s="9">
        <v>4537023.6</v>
      </c>
      <c r="J139" s="9">
        <v>0.0</v>
      </c>
      <c r="K139" s="9">
        <v>0.0</v>
      </c>
      <c r="L139" s="9" t="s">
        <v>59</v>
      </c>
      <c r="M139" s="9" t="s">
        <v>55</v>
      </c>
      <c r="R139" s="9" t="s">
        <v>60</v>
      </c>
      <c r="S139" s="9" t="s">
        <v>57</v>
      </c>
      <c r="T139" s="9" t="s">
        <v>61</v>
      </c>
      <c r="V139" s="9">
        <v>4536723.6</v>
      </c>
      <c r="W139" s="9">
        <v>0.0</v>
      </c>
      <c r="X139" s="9">
        <v>0.0</v>
      </c>
    </row>
    <row r="140" ht="15.75" customHeight="1">
      <c r="A140" s="9">
        <v>2022692.0</v>
      </c>
      <c r="B140" s="9">
        <v>4888429.0</v>
      </c>
      <c r="C140" s="9">
        <v>30526.0</v>
      </c>
      <c r="D140" s="9" t="s">
        <v>52</v>
      </c>
      <c r="E140" s="9" t="s">
        <v>53</v>
      </c>
      <c r="F140" s="9">
        <v>9849.0</v>
      </c>
      <c r="G140" s="9">
        <v>4719219.08</v>
      </c>
      <c r="H140" s="9">
        <v>4719219.08</v>
      </c>
      <c r="I140" s="9">
        <v>146362.3</v>
      </c>
      <c r="J140" s="9">
        <v>0.0</v>
      </c>
      <c r="K140" s="9">
        <v>0.0</v>
      </c>
      <c r="L140" s="9" t="s">
        <v>59</v>
      </c>
      <c r="M140" s="9" t="s">
        <v>55</v>
      </c>
      <c r="N140" s="9">
        <v>4553980.32</v>
      </c>
      <c r="O140" s="9">
        <v>4098582.29</v>
      </c>
      <c r="P140" s="9">
        <v>150217.05</v>
      </c>
      <c r="Q140" s="9">
        <v>135195.35</v>
      </c>
      <c r="R140" s="9" t="s">
        <v>60</v>
      </c>
      <c r="S140" s="9" t="s">
        <v>57</v>
      </c>
      <c r="T140" s="9" t="s">
        <v>61</v>
      </c>
      <c r="V140" s="9">
        <v>4722639.12</v>
      </c>
      <c r="W140" s="9">
        <v>0.0</v>
      </c>
      <c r="X140" s="9">
        <v>0.0</v>
      </c>
    </row>
    <row r="141" ht="15.75" customHeight="1">
      <c r="A141" s="9">
        <v>2023124.0</v>
      </c>
      <c r="B141" s="9">
        <v>1282967.0</v>
      </c>
      <c r="C141" s="9">
        <v>31000.0</v>
      </c>
      <c r="D141" s="9" t="s">
        <v>52</v>
      </c>
      <c r="E141" s="9" t="s">
        <v>53</v>
      </c>
      <c r="F141" s="9">
        <v>17207.0</v>
      </c>
      <c r="G141" s="9">
        <v>1282967.0</v>
      </c>
      <c r="H141" s="9">
        <v>3073711.34</v>
      </c>
      <c r="I141" s="9">
        <v>816328.68</v>
      </c>
      <c r="J141" s="9">
        <v>98650.0</v>
      </c>
      <c r="K141" s="9">
        <v>1122000.0</v>
      </c>
      <c r="L141" s="9" t="s">
        <v>59</v>
      </c>
      <c r="M141" s="9" t="s">
        <v>55</v>
      </c>
      <c r="N141" s="9">
        <v>1282967.0</v>
      </c>
      <c r="O141" s="9">
        <v>1282967.0</v>
      </c>
      <c r="R141" s="9" t="s">
        <v>96</v>
      </c>
      <c r="S141" s="9" t="s">
        <v>78</v>
      </c>
      <c r="T141" s="9" t="s">
        <v>79</v>
      </c>
      <c r="U141" s="9" t="s">
        <v>97</v>
      </c>
    </row>
    <row r="142" ht="15.75" customHeight="1">
      <c r="A142" s="9">
        <v>2023126.0</v>
      </c>
      <c r="B142" s="9">
        <v>1892408.0</v>
      </c>
      <c r="C142" s="9">
        <v>29907.0</v>
      </c>
      <c r="D142" s="9" t="s">
        <v>52</v>
      </c>
      <c r="E142" s="9" t="s">
        <v>53</v>
      </c>
      <c r="F142" s="9">
        <v>20232.0</v>
      </c>
      <c r="G142" s="9">
        <v>1892408.0</v>
      </c>
      <c r="H142" s="9">
        <v>1892408.0</v>
      </c>
      <c r="I142" s="9">
        <v>0.0</v>
      </c>
      <c r="J142" s="9">
        <v>0.0</v>
      </c>
      <c r="K142" s="9">
        <v>0.0</v>
      </c>
      <c r="L142" s="9" t="s">
        <v>54</v>
      </c>
      <c r="M142" s="9" t="s">
        <v>55</v>
      </c>
      <c r="N142" s="9">
        <v>1892408.0</v>
      </c>
      <c r="O142" s="9">
        <v>1892408.0</v>
      </c>
      <c r="R142" s="9" t="s">
        <v>75</v>
      </c>
      <c r="S142" s="9" t="s">
        <v>57</v>
      </c>
      <c r="T142" s="9" t="s">
        <v>76</v>
      </c>
    </row>
    <row r="143" ht="15.75" customHeight="1">
      <c r="A143" s="9">
        <v>2023392.0</v>
      </c>
      <c r="B143" s="9">
        <v>2115412.0</v>
      </c>
      <c r="C143" s="9">
        <v>30777.0</v>
      </c>
      <c r="D143" s="9" t="s">
        <v>52</v>
      </c>
      <c r="E143" s="9" t="s">
        <v>53</v>
      </c>
      <c r="F143" s="9">
        <v>21982.0</v>
      </c>
      <c r="G143" s="9">
        <v>2115412.0</v>
      </c>
      <c r="H143" s="9">
        <v>2115412.0</v>
      </c>
      <c r="I143" s="9">
        <v>2171602.49</v>
      </c>
      <c r="J143" s="9">
        <v>0.0</v>
      </c>
      <c r="K143" s="9">
        <v>0.0</v>
      </c>
      <c r="L143" s="9" t="s">
        <v>69</v>
      </c>
      <c r="M143" s="9" t="s">
        <v>55</v>
      </c>
      <c r="N143" s="9">
        <v>2232167.56</v>
      </c>
      <c r="O143" s="9">
        <v>2008950.81</v>
      </c>
      <c r="P143" s="9">
        <v>112000.0</v>
      </c>
      <c r="Q143" s="9">
        <v>112000.0</v>
      </c>
      <c r="R143" s="9" t="s">
        <v>60</v>
      </c>
      <c r="S143" s="9" t="s">
        <v>57</v>
      </c>
      <c r="T143" s="9" t="s">
        <v>61</v>
      </c>
      <c r="V143" s="9">
        <v>2015863.16</v>
      </c>
      <c r="W143" s="9">
        <v>0.0</v>
      </c>
      <c r="X143" s="9">
        <v>10390.0</v>
      </c>
    </row>
    <row r="144" ht="15.75" customHeight="1">
      <c r="A144" s="9">
        <v>2025632.0</v>
      </c>
      <c r="B144" s="9">
        <v>1049613.0</v>
      </c>
      <c r="C144" s="9">
        <v>30142.0</v>
      </c>
      <c r="D144" s="9" t="s">
        <v>52</v>
      </c>
      <c r="E144" s="9" t="s">
        <v>53</v>
      </c>
      <c r="F144" s="9">
        <v>14586.0</v>
      </c>
      <c r="G144" s="9">
        <v>1049613.0</v>
      </c>
      <c r="H144" s="9">
        <v>1049613.0</v>
      </c>
      <c r="I144" s="9">
        <v>1261072.23</v>
      </c>
      <c r="J144" s="9">
        <v>0.0</v>
      </c>
      <c r="K144" s="9">
        <v>0.0</v>
      </c>
      <c r="L144" s="9" t="s">
        <v>69</v>
      </c>
      <c r="M144" s="9" t="s">
        <v>55</v>
      </c>
      <c r="N144" s="9">
        <v>1154574.0</v>
      </c>
      <c r="O144" s="9">
        <v>1243572.23</v>
      </c>
      <c r="P144" s="9">
        <v>1154574.0</v>
      </c>
      <c r="Q144" s="9">
        <v>0.0</v>
      </c>
      <c r="R144" s="9" t="s">
        <v>60</v>
      </c>
      <c r="S144" s="9" t="s">
        <v>57</v>
      </c>
      <c r="T144" s="9" t="s">
        <v>61</v>
      </c>
      <c r="V144" s="9">
        <v>1243572.23</v>
      </c>
      <c r="W144" s="9">
        <v>0.0</v>
      </c>
      <c r="X144" s="9">
        <v>0.0</v>
      </c>
    </row>
    <row r="145" ht="15.75" customHeight="1">
      <c r="A145" s="9">
        <v>2025634.0</v>
      </c>
      <c r="B145" s="9">
        <v>584566.0</v>
      </c>
      <c r="C145" s="9">
        <v>29937.0</v>
      </c>
      <c r="D145" s="9" t="s">
        <v>52</v>
      </c>
      <c r="E145" s="9" t="s">
        <v>53</v>
      </c>
      <c r="F145" s="9">
        <v>20422.0</v>
      </c>
      <c r="G145" s="9">
        <v>584566.0</v>
      </c>
      <c r="H145" s="9">
        <v>584566.0</v>
      </c>
      <c r="I145" s="9">
        <v>0.0</v>
      </c>
      <c r="J145" s="9">
        <v>0.0</v>
      </c>
      <c r="K145" s="9">
        <v>0.0</v>
      </c>
      <c r="L145" s="9" t="s">
        <v>54</v>
      </c>
      <c r="M145" s="9" t="s">
        <v>55</v>
      </c>
      <c r="N145" s="9">
        <v>550032.82</v>
      </c>
      <c r="O145" s="9">
        <v>550032.82</v>
      </c>
      <c r="P145" s="9">
        <v>10500.0</v>
      </c>
      <c r="Q145" s="9">
        <v>10500.0</v>
      </c>
      <c r="R145" s="9" t="s">
        <v>56</v>
      </c>
      <c r="S145" s="9" t="s">
        <v>57</v>
      </c>
      <c r="T145" s="9" t="s">
        <v>58</v>
      </c>
      <c r="V145" s="9">
        <v>550032.82</v>
      </c>
      <c r="W145" s="9">
        <v>0.0</v>
      </c>
      <c r="X145" s="9">
        <v>0.0</v>
      </c>
    </row>
    <row r="146" ht="15.75" customHeight="1">
      <c r="A146" s="9">
        <v>2025666.0</v>
      </c>
      <c r="B146" s="9">
        <v>1617068.0</v>
      </c>
      <c r="C146" s="9">
        <v>30727.0</v>
      </c>
      <c r="D146" s="9" t="s">
        <v>52</v>
      </c>
      <c r="E146" s="9" t="s">
        <v>53</v>
      </c>
      <c r="F146" s="9">
        <v>23451.0</v>
      </c>
      <c r="G146" s="9">
        <v>1617068.0</v>
      </c>
      <c r="H146" s="9">
        <v>1617068.0</v>
      </c>
      <c r="I146" s="9">
        <v>1720918.45</v>
      </c>
      <c r="J146" s="9">
        <v>0.0</v>
      </c>
      <c r="K146" s="9">
        <v>0.0</v>
      </c>
      <c r="L146" s="9" t="s">
        <v>69</v>
      </c>
      <c r="M146" s="9" t="s">
        <v>55</v>
      </c>
      <c r="N146" s="9">
        <v>1732104.9</v>
      </c>
      <c r="O146" s="9">
        <v>1732104.9</v>
      </c>
      <c r="P146" s="9">
        <v>0.0</v>
      </c>
      <c r="Q146" s="9">
        <v>36769.79</v>
      </c>
      <c r="R146" s="9" t="s">
        <v>63</v>
      </c>
      <c r="S146" s="9" t="s">
        <v>63</v>
      </c>
    </row>
    <row r="147" ht="15.75" customHeight="1">
      <c r="A147" s="9">
        <v>2025700.0</v>
      </c>
      <c r="B147" s="9">
        <v>843490.0</v>
      </c>
      <c r="C147" s="9">
        <v>29938.0</v>
      </c>
      <c r="D147" s="9" t="s">
        <v>52</v>
      </c>
      <c r="E147" s="9" t="s">
        <v>53</v>
      </c>
      <c r="F147" s="9">
        <v>20166.0</v>
      </c>
      <c r="G147" s="9">
        <v>821249.0</v>
      </c>
      <c r="H147" s="9">
        <v>821249.0</v>
      </c>
      <c r="I147" s="9">
        <v>305741.0</v>
      </c>
      <c r="J147" s="9">
        <v>0.0</v>
      </c>
      <c r="K147" s="9">
        <v>0.0</v>
      </c>
      <c r="L147" s="9" t="s">
        <v>69</v>
      </c>
      <c r="M147" s="9" t="s">
        <v>55</v>
      </c>
      <c r="N147" s="9">
        <v>866249.0</v>
      </c>
      <c r="O147" s="9">
        <v>866249.0</v>
      </c>
      <c r="P147" s="9">
        <v>9000.0</v>
      </c>
      <c r="Q147" s="9">
        <v>9000.0</v>
      </c>
      <c r="R147" s="9" t="s">
        <v>60</v>
      </c>
      <c r="S147" s="9" t="s">
        <v>57</v>
      </c>
      <c r="T147" s="9" t="s">
        <v>61</v>
      </c>
      <c r="V147" s="9">
        <v>843290.4</v>
      </c>
      <c r="W147" s="9">
        <v>0.0</v>
      </c>
      <c r="X147" s="9">
        <v>0.0</v>
      </c>
    </row>
    <row r="148" ht="15.75" customHeight="1">
      <c r="A148" s="9">
        <v>2028057.0</v>
      </c>
      <c r="B148" s="9">
        <v>440986.0</v>
      </c>
      <c r="C148" s="9">
        <v>30500.0</v>
      </c>
      <c r="D148" s="9" t="s">
        <v>52</v>
      </c>
      <c r="E148" s="9" t="s">
        <v>53</v>
      </c>
      <c r="F148" s="9">
        <v>28341.0</v>
      </c>
      <c r="G148" s="9">
        <v>440986.0</v>
      </c>
      <c r="H148" s="9">
        <v>440986.0</v>
      </c>
      <c r="I148" s="9">
        <v>0.0</v>
      </c>
      <c r="J148" s="9">
        <v>0.0</v>
      </c>
      <c r="K148" s="9">
        <v>0.0</v>
      </c>
      <c r="L148" s="9" t="s">
        <v>54</v>
      </c>
      <c r="M148" s="9" t="s">
        <v>55</v>
      </c>
      <c r="N148" s="9">
        <v>600224.26</v>
      </c>
      <c r="O148" s="9">
        <v>540201.84</v>
      </c>
      <c r="R148" s="9" t="s">
        <v>60</v>
      </c>
      <c r="S148" s="9" t="s">
        <v>57</v>
      </c>
      <c r="T148" s="9" t="s">
        <v>61</v>
      </c>
      <c r="V148" s="9">
        <v>544939.46</v>
      </c>
      <c r="W148" s="9">
        <v>30000.0</v>
      </c>
      <c r="X148" s="9">
        <v>0.0</v>
      </c>
    </row>
    <row r="149" ht="15.75" customHeight="1">
      <c r="A149" s="9">
        <v>2028759.0</v>
      </c>
      <c r="B149" s="9">
        <v>1876181.0</v>
      </c>
      <c r="C149" s="9">
        <v>30293.0</v>
      </c>
      <c r="D149" s="9" t="s">
        <v>52</v>
      </c>
      <c r="E149" s="9" t="s">
        <v>53</v>
      </c>
      <c r="F149" s="9">
        <v>28512.0</v>
      </c>
      <c r="G149" s="9">
        <v>0.0</v>
      </c>
      <c r="M149" s="9" t="s">
        <v>55</v>
      </c>
      <c r="N149" s="9">
        <v>2125024.82</v>
      </c>
      <c r="O149" s="9">
        <v>1912522.34</v>
      </c>
      <c r="P149" s="9">
        <v>2125024.82</v>
      </c>
      <c r="Q149" s="9">
        <v>0.0</v>
      </c>
      <c r="R149" s="9" t="s">
        <v>60</v>
      </c>
      <c r="S149" s="9" t="s">
        <v>57</v>
      </c>
      <c r="T149" s="9" t="s">
        <v>61</v>
      </c>
      <c r="V149" s="9">
        <v>1225702.98</v>
      </c>
      <c r="W149" s="9">
        <v>0.0</v>
      </c>
      <c r="X149" s="9">
        <v>0.0</v>
      </c>
    </row>
    <row r="150" ht="15.75" customHeight="1">
      <c r="A150" s="9">
        <v>2029010.0</v>
      </c>
      <c r="B150" s="9">
        <v>1928030.0</v>
      </c>
      <c r="C150" s="9">
        <v>30171.0</v>
      </c>
      <c r="D150" s="9" t="s">
        <v>52</v>
      </c>
      <c r="E150" s="9" t="s">
        <v>53</v>
      </c>
      <c r="F150" s="9">
        <v>9797.0</v>
      </c>
      <c r="G150" s="9">
        <v>1460482.72</v>
      </c>
      <c r="H150" s="9">
        <v>1460482.72</v>
      </c>
      <c r="I150" s="9">
        <v>331200.3</v>
      </c>
      <c r="J150" s="9">
        <v>0.0</v>
      </c>
      <c r="K150" s="9">
        <v>0.0</v>
      </c>
      <c r="L150" s="9" t="s">
        <v>69</v>
      </c>
      <c r="M150" s="9" t="s">
        <v>55</v>
      </c>
      <c r="N150" s="9">
        <v>1478465.0</v>
      </c>
      <c r="O150" s="9">
        <v>1429725.6</v>
      </c>
      <c r="P150" s="9">
        <v>40000.0</v>
      </c>
      <c r="Q150" s="9">
        <v>36000.0</v>
      </c>
      <c r="R150" s="9" t="s">
        <v>60</v>
      </c>
      <c r="S150" s="9" t="s">
        <v>57</v>
      </c>
      <c r="T150" s="9" t="s">
        <v>61</v>
      </c>
      <c r="V150" s="9">
        <v>1429725.6</v>
      </c>
      <c r="W150" s="9">
        <v>30757.12</v>
      </c>
      <c r="X150" s="9">
        <v>0.0</v>
      </c>
    </row>
    <row r="151" ht="15.75" customHeight="1">
      <c r="A151" s="9">
        <v>2029476.0</v>
      </c>
      <c r="B151" s="9">
        <v>1886227.0</v>
      </c>
      <c r="C151" s="9">
        <v>31181.0</v>
      </c>
      <c r="D151" s="9" t="s">
        <v>52</v>
      </c>
      <c r="E151" s="9" t="s">
        <v>53</v>
      </c>
      <c r="F151" s="9">
        <v>30861.0</v>
      </c>
      <c r="G151" s="9">
        <v>1886227.0</v>
      </c>
      <c r="H151" s="9">
        <v>1886227.0</v>
      </c>
      <c r="I151" s="9">
        <v>0.0</v>
      </c>
      <c r="J151" s="9">
        <v>0.0</v>
      </c>
      <c r="K151" s="9">
        <v>0.0</v>
      </c>
      <c r="L151" s="9" t="s">
        <v>54</v>
      </c>
      <c r="M151" s="9" t="s">
        <v>55</v>
      </c>
      <c r="R151" s="9" t="s">
        <v>60</v>
      </c>
      <c r="S151" s="9" t="s">
        <v>57</v>
      </c>
      <c r="T151" s="9" t="s">
        <v>61</v>
      </c>
      <c r="V151" s="9">
        <v>2049968.86</v>
      </c>
      <c r="W151" s="9">
        <v>0.0</v>
      </c>
      <c r="X151" s="9">
        <v>0.0</v>
      </c>
    </row>
    <row r="152" ht="15.75" customHeight="1">
      <c r="A152" s="9">
        <v>2029725.0</v>
      </c>
      <c r="B152" s="9">
        <v>178204.0</v>
      </c>
      <c r="C152" s="9">
        <v>30389.0</v>
      </c>
      <c r="D152" s="9" t="s">
        <v>52</v>
      </c>
      <c r="E152" s="9" t="s">
        <v>53</v>
      </c>
      <c r="F152" s="9">
        <v>34850.0</v>
      </c>
      <c r="G152" s="9">
        <v>178204.0</v>
      </c>
      <c r="H152" s="9">
        <v>178204.0</v>
      </c>
      <c r="I152" s="9">
        <v>190581.23</v>
      </c>
      <c r="J152" s="9">
        <v>0.0</v>
      </c>
      <c r="K152" s="9">
        <v>0.0</v>
      </c>
      <c r="L152" s="9" t="s">
        <v>59</v>
      </c>
      <c r="M152" s="9" t="s">
        <v>55</v>
      </c>
      <c r="N152" s="9">
        <v>269319.7</v>
      </c>
      <c r="O152" s="9">
        <v>189072.15</v>
      </c>
      <c r="R152" s="9" t="s">
        <v>60</v>
      </c>
      <c r="S152" s="9" t="s">
        <v>57</v>
      </c>
      <c r="T152" s="9" t="s">
        <v>61</v>
      </c>
      <c r="V152" s="9">
        <v>178204.51</v>
      </c>
      <c r="W152" s="9">
        <v>0.0</v>
      </c>
      <c r="X152" s="9">
        <v>0.0</v>
      </c>
    </row>
    <row r="153" ht="15.75" customHeight="1">
      <c r="A153" s="9">
        <v>2029729.0</v>
      </c>
      <c r="B153" s="9">
        <v>1135895.0</v>
      </c>
      <c r="C153" s="9">
        <v>30729.0</v>
      </c>
      <c r="D153" s="9" t="s">
        <v>52</v>
      </c>
      <c r="E153" s="9" t="s">
        <v>53</v>
      </c>
      <c r="F153" s="9">
        <v>32008.0</v>
      </c>
      <c r="G153" s="9">
        <v>1135895.0</v>
      </c>
      <c r="H153" s="9">
        <v>1135895.0</v>
      </c>
      <c r="I153" s="9">
        <v>442787.07</v>
      </c>
      <c r="J153" s="9">
        <v>0.0</v>
      </c>
      <c r="K153" s="9">
        <v>0.0</v>
      </c>
      <c r="L153" s="9" t="s">
        <v>69</v>
      </c>
      <c r="M153" s="9" t="s">
        <v>55</v>
      </c>
      <c r="N153" s="9">
        <v>1150180.82</v>
      </c>
      <c r="O153" s="9">
        <v>1035162.73</v>
      </c>
      <c r="R153" s="9" t="s">
        <v>60</v>
      </c>
      <c r="S153" s="9" t="s">
        <v>57</v>
      </c>
      <c r="T153" s="9" t="s">
        <v>61</v>
      </c>
      <c r="V153" s="9">
        <v>1035162.73</v>
      </c>
      <c r="W153" s="9">
        <v>0.0</v>
      </c>
      <c r="X153" s="9">
        <v>0.0</v>
      </c>
    </row>
    <row r="154" ht="15.75" customHeight="1">
      <c r="A154" s="9">
        <v>2029912.0</v>
      </c>
      <c r="B154" s="9">
        <v>3991910.0</v>
      </c>
      <c r="C154" s="9">
        <v>31042.0</v>
      </c>
      <c r="D154" s="9" t="s">
        <v>52</v>
      </c>
      <c r="E154" s="9" t="s">
        <v>53</v>
      </c>
      <c r="F154" s="9">
        <v>30066.0</v>
      </c>
      <c r="G154" s="9">
        <v>3991910.0</v>
      </c>
      <c r="H154" s="9">
        <v>3991910.0</v>
      </c>
      <c r="I154" s="9">
        <v>8430654.82</v>
      </c>
      <c r="J154" s="9">
        <v>0.0</v>
      </c>
      <c r="K154" s="9">
        <v>0.0</v>
      </c>
      <c r="L154" s="9" t="s">
        <v>59</v>
      </c>
      <c r="M154" s="9" t="s">
        <v>55</v>
      </c>
      <c r="R154" s="9" t="s">
        <v>60</v>
      </c>
      <c r="S154" s="9" t="s">
        <v>57</v>
      </c>
      <c r="T154" s="9" t="s">
        <v>61</v>
      </c>
      <c r="V154" s="9">
        <v>8398914.02</v>
      </c>
      <c r="W154" s="9">
        <v>0.0</v>
      </c>
      <c r="X154" s="9">
        <v>0.0</v>
      </c>
    </row>
    <row r="155" ht="15.75" customHeight="1">
      <c r="A155" s="9">
        <v>2030178.0</v>
      </c>
      <c r="B155" s="9">
        <v>1.6976177E7</v>
      </c>
      <c r="C155" s="9">
        <v>31304.0</v>
      </c>
      <c r="D155" s="9" t="s">
        <v>52</v>
      </c>
      <c r="E155" s="9" t="s">
        <v>53</v>
      </c>
      <c r="F155" s="9">
        <v>31917.0</v>
      </c>
      <c r="G155" s="9">
        <v>1.811380103E7</v>
      </c>
      <c r="H155" s="9">
        <v>1.811380103E7</v>
      </c>
      <c r="I155" s="9">
        <v>1.807395962E7</v>
      </c>
      <c r="J155" s="9">
        <v>0.0</v>
      </c>
      <c r="K155" s="9">
        <v>0.0</v>
      </c>
      <c r="L155" s="9" t="s">
        <v>69</v>
      </c>
      <c r="M155" s="9" t="s">
        <v>55</v>
      </c>
      <c r="R155" s="9" t="s">
        <v>60</v>
      </c>
      <c r="S155" s="9" t="s">
        <v>57</v>
      </c>
      <c r="T155" s="9" t="s">
        <v>61</v>
      </c>
      <c r="V155" s="9">
        <v>1.359453022E7</v>
      </c>
      <c r="W155" s="9">
        <v>1142334.84</v>
      </c>
      <c r="X155" s="9">
        <v>0.0</v>
      </c>
    </row>
    <row r="156" ht="15.75" customHeight="1">
      <c r="A156" s="9">
        <v>2038711.0</v>
      </c>
      <c r="B156" s="9">
        <v>3998885.0</v>
      </c>
      <c r="C156" s="9">
        <v>31035.0</v>
      </c>
      <c r="D156" s="9" t="s">
        <v>52</v>
      </c>
      <c r="E156" s="9" t="s">
        <v>53</v>
      </c>
      <c r="F156" s="9">
        <v>36386.0</v>
      </c>
      <c r="G156" s="9">
        <v>3998885.0</v>
      </c>
      <c r="H156" s="9">
        <v>3998885.0</v>
      </c>
      <c r="I156" s="9">
        <v>1.327399693E7</v>
      </c>
      <c r="J156" s="9">
        <v>0.0</v>
      </c>
      <c r="K156" s="9">
        <v>0.0</v>
      </c>
      <c r="L156" s="9" t="s">
        <v>59</v>
      </c>
      <c r="M156" s="9" t="s">
        <v>55</v>
      </c>
      <c r="R156" s="9" t="s">
        <v>60</v>
      </c>
      <c r="S156" s="9" t="s">
        <v>57</v>
      </c>
      <c r="T156" s="9" t="s">
        <v>61</v>
      </c>
      <c r="V156" s="9">
        <v>9740430.67</v>
      </c>
      <c r="W156" s="9">
        <v>0.0</v>
      </c>
      <c r="X156" s="9">
        <v>0.0</v>
      </c>
    </row>
    <row r="157" ht="15.75" customHeight="1">
      <c r="A157" s="9">
        <v>2041034.0</v>
      </c>
      <c r="B157" s="9">
        <v>31199.0</v>
      </c>
      <c r="C157" s="9">
        <v>31199.0</v>
      </c>
      <c r="D157" s="9" t="s">
        <v>52</v>
      </c>
      <c r="E157" s="9" t="s">
        <v>53</v>
      </c>
      <c r="F157" s="9">
        <v>42637.0</v>
      </c>
      <c r="G157" s="9">
        <v>31199.0</v>
      </c>
      <c r="H157" s="9">
        <v>31199.0</v>
      </c>
      <c r="I157" s="9">
        <v>0.0</v>
      </c>
      <c r="J157" s="9">
        <v>0.0</v>
      </c>
      <c r="K157" s="9">
        <v>0.0</v>
      </c>
      <c r="L157" s="9" t="s">
        <v>54</v>
      </c>
      <c r="M157" s="9" t="s">
        <v>55</v>
      </c>
      <c r="R157" s="9" t="s">
        <v>60</v>
      </c>
      <c r="S157" s="9" t="s">
        <v>57</v>
      </c>
      <c r="T157" s="9" t="s">
        <v>61</v>
      </c>
      <c r="V157" s="9">
        <v>31199.0</v>
      </c>
      <c r="W157" s="9">
        <v>0.0</v>
      </c>
      <c r="X157" s="9">
        <v>0.0</v>
      </c>
    </row>
    <row r="158" ht="15.75" customHeight="1">
      <c r="A158" s="9">
        <v>2043338.0</v>
      </c>
      <c r="B158" s="9">
        <v>6429553.0</v>
      </c>
      <c r="C158" s="9">
        <v>30053.0</v>
      </c>
      <c r="D158" s="9" t="s">
        <v>52</v>
      </c>
      <c r="E158" s="9" t="s">
        <v>53</v>
      </c>
      <c r="F158" s="9">
        <v>6046.0</v>
      </c>
      <c r="G158" s="9">
        <v>6957233.81</v>
      </c>
      <c r="H158" s="9">
        <v>6957233.81</v>
      </c>
      <c r="I158" s="9">
        <v>6489600.0</v>
      </c>
      <c r="J158" s="9">
        <v>0.0</v>
      </c>
      <c r="K158" s="9">
        <v>0.0</v>
      </c>
      <c r="L158" s="9" t="s">
        <v>59</v>
      </c>
      <c r="M158" s="9" t="s">
        <v>55</v>
      </c>
      <c r="N158" s="9">
        <v>6492460.01</v>
      </c>
      <c r="O158" s="9">
        <v>0.0</v>
      </c>
      <c r="P158" s="9">
        <v>6492460.01</v>
      </c>
      <c r="Q158" s="9">
        <v>194773.8</v>
      </c>
      <c r="R158" s="9" t="s">
        <v>60</v>
      </c>
      <c r="S158" s="9" t="s">
        <v>57</v>
      </c>
      <c r="T158" s="9" t="s">
        <v>61</v>
      </c>
      <c r="V158" s="9">
        <v>7027596.73</v>
      </c>
      <c r="W158" s="9">
        <v>0.0</v>
      </c>
      <c r="X158" s="9">
        <v>0.0</v>
      </c>
    </row>
    <row r="159" ht="15.75" customHeight="1">
      <c r="A159" s="9">
        <v>2044692.0</v>
      </c>
      <c r="B159" s="9">
        <v>1217375.0</v>
      </c>
      <c r="C159" s="9">
        <v>30757.0</v>
      </c>
      <c r="D159" s="9" t="s">
        <v>52</v>
      </c>
      <c r="E159" s="9" t="s">
        <v>53</v>
      </c>
      <c r="F159" s="9">
        <v>41567.0</v>
      </c>
      <c r="G159" s="9">
        <v>1217375.0</v>
      </c>
      <c r="H159" s="9">
        <v>1217375.0</v>
      </c>
      <c r="I159" s="9">
        <v>1708322.17</v>
      </c>
      <c r="J159" s="9">
        <v>0.0</v>
      </c>
      <c r="K159" s="9">
        <v>0.0</v>
      </c>
      <c r="L159" s="9" t="s">
        <v>69</v>
      </c>
      <c r="M159" s="9" t="s">
        <v>55</v>
      </c>
      <c r="N159" s="9">
        <v>1208375.0</v>
      </c>
      <c r="O159" s="9">
        <v>1.094831191E7</v>
      </c>
      <c r="R159" s="9" t="s">
        <v>60</v>
      </c>
      <c r="S159" s="9" t="s">
        <v>57</v>
      </c>
      <c r="T159" s="9" t="s">
        <v>61</v>
      </c>
      <c r="V159" s="9">
        <v>1493520.65</v>
      </c>
      <c r="W159" s="9">
        <v>0.0</v>
      </c>
      <c r="X159" s="9">
        <v>0.0</v>
      </c>
    </row>
    <row r="160" ht="15.75" customHeight="1">
      <c r="A160" s="9">
        <v>2045228.0</v>
      </c>
      <c r="B160" s="9">
        <v>1443833.0</v>
      </c>
      <c r="C160" s="9">
        <v>30943.0</v>
      </c>
      <c r="D160" s="9" t="s">
        <v>52</v>
      </c>
      <c r="E160" s="9" t="s">
        <v>53</v>
      </c>
      <c r="F160" s="9">
        <v>59219.0</v>
      </c>
      <c r="G160" s="9">
        <v>1443833.0</v>
      </c>
      <c r="H160" s="9">
        <v>1443833.0</v>
      </c>
      <c r="I160" s="9">
        <v>1415266.35</v>
      </c>
      <c r="J160" s="9">
        <v>0.0</v>
      </c>
      <c r="K160" s="9">
        <v>0.0</v>
      </c>
      <c r="L160" s="9" t="s">
        <v>59</v>
      </c>
      <c r="M160" s="9" t="s">
        <v>55</v>
      </c>
      <c r="N160" s="9">
        <v>1293833.66</v>
      </c>
      <c r="O160" s="9">
        <v>1293833.66</v>
      </c>
      <c r="P160" s="9">
        <v>120000.0</v>
      </c>
      <c r="Q160" s="9">
        <v>120000.0</v>
      </c>
      <c r="R160" s="9" t="s">
        <v>94</v>
      </c>
      <c r="S160" s="9" t="s">
        <v>57</v>
      </c>
      <c r="T160" s="9" t="s">
        <v>95</v>
      </c>
    </row>
    <row r="161" ht="15.75" customHeight="1">
      <c r="A161" s="9">
        <v>2045295.0</v>
      </c>
      <c r="B161" s="9">
        <v>1548371.0</v>
      </c>
      <c r="C161" s="9">
        <v>31144.0</v>
      </c>
      <c r="D161" s="9" t="s">
        <v>52</v>
      </c>
      <c r="E161" s="9" t="s">
        <v>53</v>
      </c>
      <c r="F161" s="9">
        <v>40578.0</v>
      </c>
      <c r="G161" s="9">
        <v>2047714.56</v>
      </c>
      <c r="H161" s="9">
        <v>2047714.56</v>
      </c>
      <c r="I161" s="9">
        <v>120000.0</v>
      </c>
      <c r="J161" s="9">
        <v>0.0</v>
      </c>
      <c r="K161" s="9">
        <v>0.0</v>
      </c>
      <c r="L161" s="9" t="s">
        <v>59</v>
      </c>
      <c r="M161" s="9" t="s">
        <v>55</v>
      </c>
      <c r="R161" s="9" t="s">
        <v>94</v>
      </c>
      <c r="S161" s="9" t="s">
        <v>57</v>
      </c>
      <c r="T161" s="9" t="s">
        <v>95</v>
      </c>
    </row>
    <row r="162" ht="15.75" customHeight="1">
      <c r="A162" s="9">
        <v>2046313.0</v>
      </c>
      <c r="B162" s="9">
        <v>1273469.0</v>
      </c>
      <c r="C162" s="9">
        <v>31038.0</v>
      </c>
      <c r="D162" s="9" t="s">
        <v>52</v>
      </c>
      <c r="E162" s="9" t="s">
        <v>53</v>
      </c>
      <c r="F162" s="9">
        <v>50061.0</v>
      </c>
      <c r="G162" s="9">
        <v>287802.79</v>
      </c>
      <c r="H162" s="9">
        <v>287802.79</v>
      </c>
      <c r="I162" s="9">
        <v>1406574.03</v>
      </c>
      <c r="J162" s="9">
        <v>0.0</v>
      </c>
      <c r="K162" s="9">
        <v>0.0</v>
      </c>
      <c r="L162" s="9" t="s">
        <v>59</v>
      </c>
      <c r="M162" s="9" t="s">
        <v>55</v>
      </c>
      <c r="R162" s="9" t="s">
        <v>60</v>
      </c>
      <c r="S162" s="9" t="s">
        <v>57</v>
      </c>
      <c r="T162" s="9" t="s">
        <v>61</v>
      </c>
      <c r="V162" s="9">
        <v>1406574.03</v>
      </c>
      <c r="W162" s="9">
        <v>0.0</v>
      </c>
      <c r="X162" s="9">
        <v>0.0</v>
      </c>
    </row>
    <row r="163" ht="15.75" customHeight="1">
      <c r="A163" s="9">
        <v>2047068.0</v>
      </c>
      <c r="B163" s="9">
        <v>7858382.0</v>
      </c>
      <c r="C163" s="9">
        <v>30533.0</v>
      </c>
      <c r="D163" s="9" t="s">
        <v>52</v>
      </c>
      <c r="E163" s="9" t="s">
        <v>53</v>
      </c>
      <c r="F163" s="9">
        <v>57810.0</v>
      </c>
      <c r="G163" s="9">
        <v>8376105.26</v>
      </c>
      <c r="H163" s="9">
        <v>8376105.26</v>
      </c>
      <c r="I163" s="9">
        <v>7553201.86</v>
      </c>
      <c r="J163" s="9">
        <v>0.0</v>
      </c>
      <c r="K163" s="9">
        <v>0.0</v>
      </c>
      <c r="L163" s="9" t="s">
        <v>59</v>
      </c>
      <c r="M163" s="9" t="s">
        <v>55</v>
      </c>
      <c r="N163" s="9">
        <v>7851582.39</v>
      </c>
      <c r="O163" s="9">
        <v>7066424.16</v>
      </c>
      <c r="P163" s="9">
        <v>327149.27</v>
      </c>
      <c r="Q163" s="9">
        <v>310791.81</v>
      </c>
      <c r="R163" s="9" t="s">
        <v>60</v>
      </c>
      <c r="S163" s="9" t="s">
        <v>57</v>
      </c>
      <c r="T163" s="9" t="s">
        <v>61</v>
      </c>
      <c r="V163" s="9">
        <v>7033681.24</v>
      </c>
      <c r="W163" s="9">
        <v>308226.21</v>
      </c>
      <c r="X163" s="9">
        <v>0.0</v>
      </c>
    </row>
    <row r="164" ht="15.75" customHeight="1">
      <c r="A164" s="9">
        <v>2047182.0</v>
      </c>
      <c r="B164" s="9">
        <v>1620864.0</v>
      </c>
      <c r="C164" s="9">
        <v>29975.0</v>
      </c>
      <c r="D164" s="9" t="s">
        <v>52</v>
      </c>
      <c r="E164" s="9" t="s">
        <v>53</v>
      </c>
      <c r="F164" s="9">
        <v>58843.0</v>
      </c>
      <c r="G164" s="9">
        <v>1693206.45</v>
      </c>
      <c r="H164" s="9">
        <v>1620864.0</v>
      </c>
      <c r="I164" s="9">
        <v>1693206.0</v>
      </c>
      <c r="J164" s="9">
        <v>0.0</v>
      </c>
      <c r="K164" s="9">
        <v>0.0</v>
      </c>
      <c r="L164" s="9" t="s">
        <v>59</v>
      </c>
      <c r="M164" s="9" t="s">
        <v>55</v>
      </c>
      <c r="N164" s="9">
        <v>1612577.57</v>
      </c>
      <c r="O164" s="9">
        <v>1612577.57</v>
      </c>
      <c r="P164" s="9">
        <v>1612577.57</v>
      </c>
      <c r="Q164" s="9">
        <v>80628.88</v>
      </c>
      <c r="R164" s="9" t="s">
        <v>60</v>
      </c>
      <c r="S164" s="9" t="s">
        <v>57</v>
      </c>
      <c r="T164" s="9" t="s">
        <v>61</v>
      </c>
      <c r="V164" s="9">
        <v>1612577.57</v>
      </c>
      <c r="W164" s="9">
        <v>80628.88</v>
      </c>
      <c r="X164" s="9">
        <v>0.0</v>
      </c>
    </row>
    <row r="165" ht="15.75" customHeight="1">
      <c r="A165" s="9">
        <v>2047300.0</v>
      </c>
      <c r="B165" s="9">
        <v>78947.0</v>
      </c>
      <c r="C165" s="9">
        <v>30508.0</v>
      </c>
      <c r="D165" s="9" t="s">
        <v>52</v>
      </c>
      <c r="E165" s="9" t="s">
        <v>53</v>
      </c>
      <c r="F165" s="9">
        <v>43977.0</v>
      </c>
      <c r="G165" s="9">
        <v>78947.0</v>
      </c>
      <c r="H165" s="9">
        <v>78947.0</v>
      </c>
      <c r="I165" s="9">
        <v>78593.37</v>
      </c>
      <c r="J165" s="9">
        <v>3320.0</v>
      </c>
      <c r="K165" s="9">
        <v>3320.0</v>
      </c>
      <c r="L165" s="9" t="s">
        <v>59</v>
      </c>
      <c r="M165" s="9" t="s">
        <v>55</v>
      </c>
      <c r="N165" s="9">
        <v>73543.0</v>
      </c>
      <c r="O165" s="9">
        <v>73543.0</v>
      </c>
      <c r="P165" s="9">
        <v>73543.0</v>
      </c>
      <c r="Q165" s="9">
        <v>0.0</v>
      </c>
      <c r="R165" s="9" t="s">
        <v>56</v>
      </c>
      <c r="S165" s="9" t="s">
        <v>57</v>
      </c>
      <c r="T165" s="9" t="s">
        <v>58</v>
      </c>
      <c r="V165" s="9">
        <v>74073.37</v>
      </c>
      <c r="W165" s="9">
        <v>4873.63</v>
      </c>
      <c r="X165" s="9">
        <v>0.0</v>
      </c>
    </row>
    <row r="166" ht="15.75" customHeight="1">
      <c r="A166" s="9">
        <v>2047368.0</v>
      </c>
      <c r="B166" s="9">
        <v>9948607.0</v>
      </c>
      <c r="C166" s="9">
        <v>30966.0</v>
      </c>
      <c r="D166" s="9" t="s">
        <v>52</v>
      </c>
      <c r="E166" s="9" t="s">
        <v>53</v>
      </c>
      <c r="F166" s="9">
        <v>60058.0</v>
      </c>
      <c r="G166" s="9">
        <v>8602598.04</v>
      </c>
      <c r="H166" s="9">
        <v>8602598.04</v>
      </c>
      <c r="I166" s="9">
        <v>8809547.89</v>
      </c>
      <c r="J166" s="9">
        <v>0.0</v>
      </c>
      <c r="K166" s="9">
        <v>0.0</v>
      </c>
      <c r="L166" s="9" t="s">
        <v>59</v>
      </c>
      <c r="M166" s="9" t="s">
        <v>55</v>
      </c>
      <c r="N166" s="9">
        <v>1.015106569E7</v>
      </c>
      <c r="O166" s="9">
        <v>9290365.48</v>
      </c>
      <c r="P166" s="9">
        <v>275812.02</v>
      </c>
      <c r="Q166" s="9">
        <v>233739.0</v>
      </c>
      <c r="R166" s="9" t="s">
        <v>56</v>
      </c>
      <c r="S166" s="9" t="s">
        <v>57</v>
      </c>
      <c r="T166" s="9" t="s">
        <v>58</v>
      </c>
      <c r="V166" s="9">
        <v>305756.63</v>
      </c>
      <c r="W166" s="9">
        <v>208635.43</v>
      </c>
      <c r="X166" s="9">
        <v>0.0</v>
      </c>
    </row>
    <row r="167" ht="15.75" customHeight="1">
      <c r="A167" s="9">
        <v>2047385.0</v>
      </c>
      <c r="B167" s="9">
        <v>8303960.0</v>
      </c>
      <c r="C167" s="9">
        <v>30933.0</v>
      </c>
      <c r="D167" s="9" t="s">
        <v>52</v>
      </c>
      <c r="E167" s="9" t="s">
        <v>53</v>
      </c>
      <c r="F167" s="9">
        <v>53863.0</v>
      </c>
      <c r="G167" s="9">
        <v>8303960.0</v>
      </c>
      <c r="H167" s="9">
        <v>8303960.0</v>
      </c>
      <c r="I167" s="9">
        <v>8200536.58</v>
      </c>
      <c r="J167" s="9">
        <v>0.0</v>
      </c>
      <c r="K167" s="9">
        <v>0.0</v>
      </c>
      <c r="L167" s="9" t="s">
        <v>59</v>
      </c>
      <c r="M167" s="9" t="s">
        <v>55</v>
      </c>
      <c r="N167" s="9">
        <v>7969122.6</v>
      </c>
      <c r="O167" s="9">
        <v>7966122.6</v>
      </c>
      <c r="P167" s="9">
        <v>7969122.6</v>
      </c>
      <c r="Q167" s="9">
        <v>167418.64</v>
      </c>
      <c r="R167" s="9" t="s">
        <v>60</v>
      </c>
      <c r="S167" s="9" t="s">
        <v>57</v>
      </c>
      <c r="T167" s="9" t="s">
        <v>61</v>
      </c>
      <c r="V167" s="9">
        <v>8344122.6</v>
      </c>
      <c r="W167" s="9">
        <v>167418.54</v>
      </c>
      <c r="X167" s="9">
        <v>0.0</v>
      </c>
    </row>
    <row r="168" ht="15.75" customHeight="1">
      <c r="A168" s="9">
        <v>2047399.0</v>
      </c>
      <c r="B168" s="9">
        <v>1467465.0</v>
      </c>
      <c r="C168" s="9">
        <v>31022.0</v>
      </c>
      <c r="D168" s="9" t="s">
        <v>52</v>
      </c>
      <c r="E168" s="9" t="s">
        <v>53</v>
      </c>
      <c r="F168" s="9">
        <v>48517.0</v>
      </c>
      <c r="G168" s="9">
        <v>1613780.61</v>
      </c>
      <c r="H168" s="9">
        <v>1613780.61</v>
      </c>
      <c r="I168" s="9">
        <v>1474200.07</v>
      </c>
      <c r="J168" s="9">
        <v>0.0</v>
      </c>
      <c r="K168" s="9">
        <v>0.0</v>
      </c>
      <c r="L168" s="9" t="s">
        <v>59</v>
      </c>
      <c r="M168" s="9" t="s">
        <v>55</v>
      </c>
      <c r="R168" s="9" t="s">
        <v>60</v>
      </c>
      <c r="S168" s="9" t="s">
        <v>57</v>
      </c>
      <c r="T168" s="9" t="s">
        <v>61</v>
      </c>
      <c r="V168" s="9">
        <v>1456345.29</v>
      </c>
      <c r="W168" s="9">
        <v>0.0</v>
      </c>
      <c r="X168" s="9">
        <v>0.0</v>
      </c>
    </row>
    <row r="169" ht="15.75" customHeight="1">
      <c r="A169" s="9">
        <v>2047400.0</v>
      </c>
      <c r="B169" s="9">
        <v>1791662.0</v>
      </c>
      <c r="C169" s="9">
        <v>29964.0</v>
      </c>
      <c r="D169" s="9" t="s">
        <v>52</v>
      </c>
      <c r="E169" s="9" t="s">
        <v>53</v>
      </c>
      <c r="F169" s="9">
        <v>47736.0</v>
      </c>
      <c r="G169" s="9">
        <v>1791662.0</v>
      </c>
      <c r="H169" s="9">
        <v>1791662.0</v>
      </c>
      <c r="I169" s="9">
        <v>0.0</v>
      </c>
      <c r="J169" s="9">
        <v>0.0</v>
      </c>
      <c r="K169" s="9">
        <v>0.0</v>
      </c>
      <c r="L169" s="9" t="s">
        <v>54</v>
      </c>
      <c r="M169" s="9" t="s">
        <v>55</v>
      </c>
      <c r="N169" s="9">
        <v>1616340.66</v>
      </c>
      <c r="O169" s="9">
        <v>1454706.6</v>
      </c>
      <c r="P169" s="9">
        <v>1616340.66</v>
      </c>
      <c r="Q169" s="9">
        <v>0.0</v>
      </c>
      <c r="R169" s="9" t="s">
        <v>60</v>
      </c>
      <c r="S169" s="9" t="s">
        <v>57</v>
      </c>
      <c r="T169" s="9" t="s">
        <v>61</v>
      </c>
      <c r="V169" s="9">
        <v>1489929.67</v>
      </c>
      <c r="W169" s="9">
        <v>37010.0</v>
      </c>
      <c r="X169" s="9">
        <v>0.0</v>
      </c>
    </row>
    <row r="170" ht="15.75" customHeight="1">
      <c r="A170" s="9">
        <v>2047467.0</v>
      </c>
      <c r="B170" s="9">
        <v>751329.0</v>
      </c>
      <c r="C170" s="9">
        <v>30991.0</v>
      </c>
      <c r="D170" s="9" t="s">
        <v>52</v>
      </c>
      <c r="E170" s="9" t="s">
        <v>53</v>
      </c>
      <c r="F170" s="9">
        <v>56954.0</v>
      </c>
      <c r="G170" s="9">
        <v>751329.0</v>
      </c>
      <c r="H170" s="9">
        <v>751329.0</v>
      </c>
      <c r="I170" s="9">
        <v>223441.11</v>
      </c>
      <c r="J170" s="9">
        <v>0.0</v>
      </c>
      <c r="K170" s="9">
        <v>0.0</v>
      </c>
      <c r="L170" s="9" t="s">
        <v>69</v>
      </c>
      <c r="M170" s="9" t="s">
        <v>55</v>
      </c>
      <c r="R170" s="9" t="s">
        <v>60</v>
      </c>
      <c r="S170" s="9" t="s">
        <v>57</v>
      </c>
      <c r="T170" s="9" t="s">
        <v>61</v>
      </c>
      <c r="V170" s="9">
        <v>612332.17</v>
      </c>
      <c r="W170" s="9">
        <v>0.0</v>
      </c>
      <c r="X170" s="9">
        <v>0.0</v>
      </c>
    </row>
    <row r="171" ht="15.75" customHeight="1">
      <c r="A171" s="9">
        <v>2047535.0</v>
      </c>
      <c r="B171" s="9">
        <v>928115.0</v>
      </c>
      <c r="C171" s="9">
        <v>29582.0</v>
      </c>
      <c r="D171" s="9" t="s">
        <v>52</v>
      </c>
      <c r="E171" s="9" t="s">
        <v>53</v>
      </c>
      <c r="F171" s="9">
        <v>52090.0</v>
      </c>
      <c r="G171" s="9">
        <v>0.0</v>
      </c>
      <c r="M171" s="9" t="s">
        <v>65</v>
      </c>
      <c r="N171" s="9">
        <v>19000.0</v>
      </c>
      <c r="O171" s="9">
        <v>19000.0</v>
      </c>
      <c r="R171" s="9" t="s">
        <v>92</v>
      </c>
      <c r="S171" s="9" t="s">
        <v>57</v>
      </c>
      <c r="T171" s="9" t="s">
        <v>93</v>
      </c>
    </row>
    <row r="172" ht="15.75" customHeight="1">
      <c r="A172" s="9">
        <v>2047536.0</v>
      </c>
      <c r="B172" s="9">
        <v>223211.0</v>
      </c>
      <c r="C172" s="9">
        <v>30918.0</v>
      </c>
      <c r="D172" s="9" t="s">
        <v>52</v>
      </c>
      <c r="E172" s="9" t="s">
        <v>53</v>
      </c>
      <c r="F172" s="9">
        <v>52855.0</v>
      </c>
      <c r="G172" s="9">
        <v>223211.0</v>
      </c>
      <c r="H172" s="9">
        <v>223211.0</v>
      </c>
      <c r="I172" s="9">
        <v>276388.98</v>
      </c>
      <c r="J172" s="9">
        <v>0.0</v>
      </c>
      <c r="K172" s="9">
        <v>0.0</v>
      </c>
      <c r="L172" s="9" t="s">
        <v>59</v>
      </c>
      <c r="M172" s="9" t="s">
        <v>55</v>
      </c>
      <c r="N172" s="9">
        <v>223211.0</v>
      </c>
      <c r="O172" s="9">
        <v>223211.0</v>
      </c>
      <c r="P172" s="9">
        <v>223211.0</v>
      </c>
      <c r="Q172" s="9">
        <v>0.0</v>
      </c>
      <c r="R172" s="9" t="s">
        <v>60</v>
      </c>
      <c r="S172" s="9" t="s">
        <v>57</v>
      </c>
      <c r="T172" s="9" t="s">
        <v>61</v>
      </c>
      <c r="V172" s="9">
        <v>223111.0</v>
      </c>
      <c r="W172" s="9">
        <v>0.0</v>
      </c>
      <c r="X172" s="9">
        <v>0.0</v>
      </c>
    </row>
    <row r="173" ht="15.75" customHeight="1">
      <c r="A173" s="9">
        <v>2050240.0</v>
      </c>
      <c r="B173" s="9">
        <v>2341682.0</v>
      </c>
      <c r="C173" s="9">
        <v>30672.0</v>
      </c>
      <c r="D173" s="9" t="s">
        <v>52</v>
      </c>
      <c r="E173" s="9" t="s">
        <v>53</v>
      </c>
      <c r="F173" s="9">
        <v>45408.0</v>
      </c>
      <c r="G173" s="9">
        <v>2849442.69</v>
      </c>
      <c r="H173" s="9">
        <v>2849442.69</v>
      </c>
      <c r="I173" s="9">
        <v>2845906.08</v>
      </c>
      <c r="J173" s="9">
        <v>0.0</v>
      </c>
      <c r="K173" s="9">
        <v>0.0</v>
      </c>
      <c r="L173" s="9" t="s">
        <v>69</v>
      </c>
      <c r="M173" s="9" t="s">
        <v>55</v>
      </c>
      <c r="N173" s="9">
        <v>2540303.56</v>
      </c>
      <c r="O173" s="9">
        <v>2368079.59</v>
      </c>
      <c r="P173" s="9">
        <v>91496.06</v>
      </c>
      <c r="Q173" s="9">
        <v>91496.06</v>
      </c>
      <c r="R173" s="9" t="s">
        <v>60</v>
      </c>
      <c r="S173" s="9" t="s">
        <v>57</v>
      </c>
      <c r="T173" s="9" t="s">
        <v>61</v>
      </c>
      <c r="V173" s="9">
        <v>2601205.47</v>
      </c>
      <c r="W173" s="9">
        <v>91496.06</v>
      </c>
      <c r="X173" s="9">
        <v>0.0</v>
      </c>
    </row>
    <row r="174" ht="15.75" customHeight="1">
      <c r="A174" s="9">
        <v>2050275.0</v>
      </c>
      <c r="B174" s="9">
        <v>231747.0</v>
      </c>
      <c r="C174" s="9">
        <v>30923.0</v>
      </c>
      <c r="D174" s="9" t="s">
        <v>52</v>
      </c>
      <c r="E174" s="9" t="s">
        <v>53</v>
      </c>
      <c r="F174" s="9">
        <v>53763.0</v>
      </c>
      <c r="G174" s="9">
        <v>231747.0</v>
      </c>
      <c r="H174" s="9">
        <v>231747.0</v>
      </c>
      <c r="I174" s="9">
        <v>308172.82</v>
      </c>
      <c r="J174" s="9">
        <v>0.0</v>
      </c>
      <c r="K174" s="9">
        <v>0.0</v>
      </c>
      <c r="L174" s="9" t="s">
        <v>59</v>
      </c>
      <c r="M174" s="9" t="s">
        <v>55</v>
      </c>
      <c r="N174" s="9">
        <v>231747.0</v>
      </c>
      <c r="O174" s="9">
        <v>231747.0</v>
      </c>
      <c r="R174" s="9" t="s">
        <v>60</v>
      </c>
      <c r="S174" s="9" t="s">
        <v>57</v>
      </c>
      <c r="T174" s="9" t="s">
        <v>61</v>
      </c>
      <c r="V174" s="9">
        <v>231747.0</v>
      </c>
      <c r="W174" s="9">
        <v>0.0</v>
      </c>
      <c r="X174" s="9">
        <v>0.0</v>
      </c>
    </row>
    <row r="175" ht="15.75" customHeight="1">
      <c r="A175" s="9">
        <v>2050325.0</v>
      </c>
      <c r="B175" s="9">
        <v>1010460.0</v>
      </c>
      <c r="C175" s="9">
        <v>30659.0</v>
      </c>
      <c r="D175" s="9" t="s">
        <v>52</v>
      </c>
      <c r="E175" s="9" t="s">
        <v>53</v>
      </c>
      <c r="F175" s="9">
        <v>48325.0</v>
      </c>
      <c r="G175" s="9">
        <v>1310136.36</v>
      </c>
      <c r="H175" s="9">
        <v>1310136.36</v>
      </c>
      <c r="I175" s="9">
        <v>1616480.53</v>
      </c>
      <c r="J175" s="9">
        <v>0.0</v>
      </c>
      <c r="K175" s="9">
        <v>0.0</v>
      </c>
      <c r="L175" s="9" t="s">
        <v>69</v>
      </c>
      <c r="M175" s="9" t="s">
        <v>55</v>
      </c>
      <c r="N175" s="9">
        <v>1181655.6</v>
      </c>
      <c r="O175" s="9">
        <v>1091015.32</v>
      </c>
      <c r="P175" s="9">
        <v>28814.97</v>
      </c>
      <c r="Q175" s="9">
        <v>26635.68</v>
      </c>
      <c r="R175" s="9" t="s">
        <v>72</v>
      </c>
      <c r="S175" s="9" t="s">
        <v>57</v>
      </c>
      <c r="T175" s="9" t="s">
        <v>73</v>
      </c>
      <c r="V175" s="9">
        <v>1310135.54</v>
      </c>
      <c r="W175" s="9">
        <v>0.0</v>
      </c>
      <c r="X175" s="9">
        <v>0.0</v>
      </c>
    </row>
    <row r="176" ht="15.75" customHeight="1">
      <c r="A176" s="9">
        <v>2050376.0</v>
      </c>
      <c r="B176" s="9">
        <v>528073.0</v>
      </c>
      <c r="C176" s="9">
        <v>31214.0</v>
      </c>
      <c r="D176" s="9" t="s">
        <v>52</v>
      </c>
      <c r="E176" s="9" t="s">
        <v>53</v>
      </c>
      <c r="F176" s="9">
        <v>48810.0</v>
      </c>
      <c r="G176" s="9">
        <v>528073.0</v>
      </c>
      <c r="H176" s="9">
        <v>528073.0</v>
      </c>
      <c r="I176" s="9">
        <v>500462.45</v>
      </c>
      <c r="J176" s="9">
        <v>0.0</v>
      </c>
      <c r="K176" s="9">
        <v>0.0</v>
      </c>
      <c r="L176" s="9" t="s">
        <v>69</v>
      </c>
      <c r="M176" s="9" t="s">
        <v>55</v>
      </c>
      <c r="R176" s="9" t="s">
        <v>72</v>
      </c>
      <c r="S176" s="9" t="s">
        <v>57</v>
      </c>
      <c r="T176" s="9" t="s">
        <v>73</v>
      </c>
      <c r="V176" s="9">
        <v>500462.45</v>
      </c>
      <c r="W176" s="9">
        <v>0.0</v>
      </c>
      <c r="X176" s="9">
        <v>0.0</v>
      </c>
    </row>
    <row r="177" ht="15.75" customHeight="1">
      <c r="A177" s="9">
        <v>2051912.0</v>
      </c>
      <c r="B177" s="9">
        <v>2.0450575E7</v>
      </c>
      <c r="C177" s="9">
        <v>32909.0</v>
      </c>
      <c r="D177" s="9" t="s">
        <v>52</v>
      </c>
      <c r="E177" s="9" t="s">
        <v>53</v>
      </c>
      <c r="F177" s="9">
        <v>55829.0</v>
      </c>
      <c r="G177" s="9">
        <v>2.412098259E7</v>
      </c>
      <c r="H177" s="9">
        <v>2.412098259E7</v>
      </c>
      <c r="I177" s="9">
        <v>2.233936771E7</v>
      </c>
      <c r="J177" s="9">
        <v>0.0</v>
      </c>
      <c r="K177" s="9">
        <v>0.0</v>
      </c>
      <c r="L177" s="9" t="s">
        <v>59</v>
      </c>
      <c r="M177" s="9" t="s">
        <v>62</v>
      </c>
      <c r="N177" s="9">
        <v>1.149098374E7</v>
      </c>
      <c r="O177" s="9">
        <v>1.149098374E7</v>
      </c>
      <c r="P177" s="9">
        <v>459639.35</v>
      </c>
      <c r="Q177" s="9">
        <v>459639.35</v>
      </c>
      <c r="R177" s="9" t="s">
        <v>72</v>
      </c>
      <c r="S177" s="9" t="s">
        <v>57</v>
      </c>
      <c r="T177" s="9" t="s">
        <v>73</v>
      </c>
      <c r="V177" s="9">
        <v>1.11884003E7</v>
      </c>
      <c r="W177" s="9">
        <v>416088.52</v>
      </c>
      <c r="X177" s="9">
        <v>0.0</v>
      </c>
    </row>
    <row r="178" ht="15.75" customHeight="1">
      <c r="A178" s="9">
        <v>2038696.0</v>
      </c>
      <c r="B178" s="9">
        <v>5972862.0</v>
      </c>
      <c r="C178" s="9">
        <v>30404.0</v>
      </c>
      <c r="D178" s="9" t="s">
        <v>52</v>
      </c>
      <c r="E178" s="9" t="s">
        <v>53</v>
      </c>
      <c r="F178" s="9">
        <v>10797.0</v>
      </c>
      <c r="G178" s="9">
        <v>5972862.0</v>
      </c>
      <c r="H178" s="9">
        <v>5972862.0</v>
      </c>
      <c r="I178" s="9">
        <v>0.0</v>
      </c>
      <c r="J178" s="9">
        <v>0.0</v>
      </c>
      <c r="K178" s="9">
        <v>0.0</v>
      </c>
      <c r="L178" s="9" t="s">
        <v>54</v>
      </c>
      <c r="M178" s="9" t="s">
        <v>55</v>
      </c>
      <c r="N178" s="9">
        <v>5733877.27</v>
      </c>
      <c r="O178" s="9">
        <v>5732972.94</v>
      </c>
      <c r="P178" s="9">
        <v>141015.05</v>
      </c>
      <c r="Q178" s="9">
        <v>126913.55</v>
      </c>
      <c r="R178" s="9" t="s">
        <v>60</v>
      </c>
      <c r="S178" s="9" t="s">
        <v>57</v>
      </c>
      <c r="T178" s="9" t="s">
        <v>61</v>
      </c>
      <c r="V178" s="9">
        <v>5751284.38</v>
      </c>
      <c r="W178" s="9">
        <v>0.0</v>
      </c>
      <c r="X178" s="9">
        <v>0.0</v>
      </c>
    </row>
    <row r="179" ht="15.75" customHeight="1">
      <c r="A179" s="9">
        <v>2039657.0</v>
      </c>
      <c r="B179" s="9">
        <v>26133.0</v>
      </c>
      <c r="C179" s="9">
        <v>30222.0</v>
      </c>
      <c r="D179" s="9" t="s">
        <v>52</v>
      </c>
      <c r="E179" s="9" t="s">
        <v>53</v>
      </c>
      <c r="F179" s="9">
        <v>38831.0</v>
      </c>
      <c r="G179" s="9">
        <v>26133.0</v>
      </c>
      <c r="H179" s="9">
        <v>26133.0</v>
      </c>
      <c r="I179" s="9">
        <v>0.0</v>
      </c>
      <c r="J179" s="9">
        <v>0.0</v>
      </c>
      <c r="K179" s="9">
        <v>0.0</v>
      </c>
      <c r="L179" s="9" t="s">
        <v>54</v>
      </c>
      <c r="M179" s="9" t="s">
        <v>55</v>
      </c>
      <c r="N179" s="9">
        <v>25941.31</v>
      </c>
      <c r="O179" s="9">
        <v>25941.31</v>
      </c>
      <c r="R179" s="9" t="s">
        <v>60</v>
      </c>
      <c r="S179" s="9" t="s">
        <v>57</v>
      </c>
      <c r="T179" s="9" t="s">
        <v>61</v>
      </c>
      <c r="V179" s="9">
        <v>26896.33</v>
      </c>
      <c r="W179" s="9">
        <v>0.0</v>
      </c>
      <c r="X179" s="9">
        <v>0.0</v>
      </c>
    </row>
    <row r="180" ht="15.75" customHeight="1">
      <c r="A180" s="9">
        <v>2039868.0</v>
      </c>
      <c r="B180" s="9">
        <v>1789553.0</v>
      </c>
      <c r="C180" s="9">
        <v>30595.0</v>
      </c>
      <c r="D180" s="9" t="s">
        <v>52</v>
      </c>
      <c r="E180" s="9" t="s">
        <v>53</v>
      </c>
      <c r="F180" s="9">
        <v>39004.0</v>
      </c>
      <c r="G180" s="9">
        <v>1789553.0</v>
      </c>
      <c r="H180" s="9">
        <v>1789553.0</v>
      </c>
      <c r="I180" s="9">
        <v>2010372.16</v>
      </c>
      <c r="J180" s="9">
        <v>0.0</v>
      </c>
      <c r="K180" s="9">
        <v>0.0</v>
      </c>
      <c r="L180" s="9" t="s">
        <v>59</v>
      </c>
      <c r="M180" s="9" t="s">
        <v>55</v>
      </c>
      <c r="N180" s="9">
        <v>1791403.0</v>
      </c>
      <c r="O180" s="9">
        <v>1612262.7</v>
      </c>
      <c r="P180" s="9">
        <v>20137.5</v>
      </c>
      <c r="Q180" s="9">
        <v>18123.75</v>
      </c>
      <c r="R180" s="9" t="s">
        <v>60</v>
      </c>
      <c r="S180" s="9" t="s">
        <v>57</v>
      </c>
      <c r="T180" s="9" t="s">
        <v>61</v>
      </c>
      <c r="V180" s="9">
        <v>1612262.7</v>
      </c>
      <c r="W180" s="9">
        <v>21190.97</v>
      </c>
      <c r="X180" s="9">
        <v>0.0</v>
      </c>
    </row>
    <row r="181" ht="15.75" customHeight="1">
      <c r="A181" s="9">
        <v>2040559.0</v>
      </c>
      <c r="B181" s="9">
        <v>943415.0</v>
      </c>
      <c r="C181" s="9">
        <v>30699.0</v>
      </c>
      <c r="D181" s="9" t="s">
        <v>52</v>
      </c>
      <c r="E181" s="9" t="s">
        <v>53</v>
      </c>
      <c r="F181" s="9">
        <v>5750.0</v>
      </c>
      <c r="G181" s="9">
        <v>943415.0</v>
      </c>
      <c r="H181" s="9">
        <v>943415.0</v>
      </c>
      <c r="I181" s="9">
        <v>474122.52</v>
      </c>
      <c r="J181" s="9">
        <v>0.0</v>
      </c>
      <c r="K181" s="9">
        <v>0.0</v>
      </c>
      <c r="L181" s="9" t="s">
        <v>59</v>
      </c>
      <c r="M181" s="9" t="s">
        <v>55</v>
      </c>
      <c r="N181" s="9">
        <v>313672.0</v>
      </c>
      <c r="O181" s="9">
        <v>336077.38</v>
      </c>
      <c r="P181" s="9">
        <v>32715.81</v>
      </c>
      <c r="Q181" s="9">
        <v>32715.81</v>
      </c>
      <c r="R181" s="9" t="s">
        <v>60</v>
      </c>
      <c r="S181" s="9" t="s">
        <v>57</v>
      </c>
      <c r="T181" s="9" t="s">
        <v>61</v>
      </c>
      <c r="V181" s="9">
        <v>427156.15</v>
      </c>
      <c r="W181" s="9">
        <v>0.0</v>
      </c>
      <c r="X181" s="9">
        <v>0.0</v>
      </c>
    </row>
    <row r="182" ht="15.75" customHeight="1">
      <c r="A182" s="9">
        <v>2040738.0</v>
      </c>
      <c r="B182" s="9">
        <v>404132.0</v>
      </c>
      <c r="C182" s="9">
        <v>29672.0</v>
      </c>
      <c r="D182" s="9" t="s">
        <v>52</v>
      </c>
      <c r="E182" s="9" t="s">
        <v>53</v>
      </c>
      <c r="F182" s="9">
        <v>40783.0</v>
      </c>
      <c r="G182" s="9">
        <v>404132.0</v>
      </c>
      <c r="H182" s="9">
        <v>404132.0</v>
      </c>
      <c r="I182" s="9">
        <v>0.0</v>
      </c>
      <c r="J182" s="9">
        <v>0.0</v>
      </c>
      <c r="K182" s="9">
        <v>0.0</v>
      </c>
      <c r="L182" s="9" t="s">
        <v>54</v>
      </c>
      <c r="M182" s="9" t="s">
        <v>65</v>
      </c>
      <c r="N182" s="9">
        <v>480917.08</v>
      </c>
      <c r="O182" s="9">
        <v>480917.08</v>
      </c>
      <c r="R182" s="9" t="s">
        <v>63</v>
      </c>
      <c r="S182" s="9" t="s">
        <v>63</v>
      </c>
    </row>
    <row r="183" ht="15.75" customHeight="1">
      <c r="A183" s="9">
        <v>2041036.0</v>
      </c>
      <c r="B183" s="9">
        <v>86663.0</v>
      </c>
      <c r="C183" s="9">
        <v>31201.0</v>
      </c>
      <c r="D183" s="9" t="s">
        <v>52</v>
      </c>
      <c r="E183" s="9" t="s">
        <v>53</v>
      </c>
      <c r="F183" s="9">
        <v>43782.0</v>
      </c>
      <c r="G183" s="9">
        <v>86663.0</v>
      </c>
      <c r="H183" s="9">
        <v>86663.0</v>
      </c>
      <c r="I183" s="9">
        <v>0.0</v>
      </c>
      <c r="J183" s="9">
        <v>0.0</v>
      </c>
      <c r="K183" s="9">
        <v>0.0</v>
      </c>
      <c r="L183" s="9" t="s">
        <v>54</v>
      </c>
      <c r="M183" s="9" t="s">
        <v>55</v>
      </c>
      <c r="R183" s="9" t="s">
        <v>60</v>
      </c>
      <c r="S183" s="9" t="s">
        <v>57</v>
      </c>
      <c r="T183" s="9" t="s">
        <v>61</v>
      </c>
      <c r="V183" s="9">
        <v>86663.0</v>
      </c>
      <c r="W183" s="9">
        <v>0.0</v>
      </c>
      <c r="X183" s="9">
        <v>0.0</v>
      </c>
    </row>
    <row r="184" ht="15.75" customHeight="1">
      <c r="A184" s="9">
        <v>2041038.0</v>
      </c>
      <c r="B184" s="9">
        <v>137683.0</v>
      </c>
      <c r="C184" s="9">
        <v>31197.0</v>
      </c>
      <c r="D184" s="9" t="s">
        <v>52</v>
      </c>
      <c r="E184" s="9" t="s">
        <v>53</v>
      </c>
      <c r="F184" s="9">
        <v>45097.0</v>
      </c>
      <c r="G184" s="9">
        <v>137683.0</v>
      </c>
      <c r="H184" s="9">
        <v>137683.0</v>
      </c>
      <c r="I184" s="9">
        <v>0.0</v>
      </c>
      <c r="J184" s="9">
        <v>0.0</v>
      </c>
      <c r="K184" s="9">
        <v>0.0</v>
      </c>
      <c r="L184" s="9" t="s">
        <v>54</v>
      </c>
      <c r="M184" s="9" t="s">
        <v>55</v>
      </c>
      <c r="R184" s="9" t="s">
        <v>56</v>
      </c>
      <c r="S184" s="9" t="s">
        <v>57</v>
      </c>
      <c r="T184" s="9" t="s">
        <v>58</v>
      </c>
      <c r="V184" s="9">
        <v>123057.58</v>
      </c>
      <c r="W184" s="9">
        <v>0.0</v>
      </c>
      <c r="X184" s="9">
        <v>0.0</v>
      </c>
    </row>
    <row r="185" ht="15.75" customHeight="1">
      <c r="A185" s="9">
        <v>2041729.0</v>
      </c>
      <c r="B185" s="9">
        <v>437677.0</v>
      </c>
      <c r="C185" s="9">
        <v>31327.0</v>
      </c>
      <c r="D185" s="9" t="s">
        <v>52</v>
      </c>
      <c r="E185" s="9" t="s">
        <v>53</v>
      </c>
      <c r="F185" s="9">
        <v>42713.0</v>
      </c>
      <c r="G185" s="9">
        <v>437677.0</v>
      </c>
      <c r="H185" s="9">
        <v>437677.0</v>
      </c>
      <c r="I185" s="9">
        <v>489669.44</v>
      </c>
      <c r="J185" s="9">
        <v>0.0</v>
      </c>
      <c r="K185" s="9">
        <v>0.0</v>
      </c>
      <c r="L185" s="9" t="s">
        <v>69</v>
      </c>
      <c r="M185" s="9" t="s">
        <v>55</v>
      </c>
      <c r="R185" s="9" t="s">
        <v>60</v>
      </c>
      <c r="S185" s="9" t="s">
        <v>57</v>
      </c>
      <c r="T185" s="9" t="s">
        <v>61</v>
      </c>
      <c r="V185" s="9">
        <v>475537.44</v>
      </c>
      <c r="W185" s="9">
        <v>0.0</v>
      </c>
      <c r="X185" s="9">
        <v>0.0</v>
      </c>
    </row>
    <row r="186" ht="15.75" customHeight="1">
      <c r="A186" s="9">
        <v>2044612.0</v>
      </c>
      <c r="B186" s="9">
        <v>1215075.0</v>
      </c>
      <c r="C186" s="9">
        <v>30656.0</v>
      </c>
      <c r="D186" s="9" t="s">
        <v>52</v>
      </c>
      <c r="E186" s="9" t="s">
        <v>53</v>
      </c>
      <c r="F186" s="9">
        <v>45344.0</v>
      </c>
      <c r="G186" s="9">
        <v>1954057.0</v>
      </c>
      <c r="H186" s="9">
        <v>1954057.0</v>
      </c>
      <c r="I186" s="9">
        <v>1676976.7</v>
      </c>
      <c r="J186" s="9">
        <v>0.0</v>
      </c>
      <c r="K186" s="9">
        <v>0.0</v>
      </c>
      <c r="L186" s="9" t="s">
        <v>69</v>
      </c>
      <c r="M186" s="9" t="s">
        <v>55</v>
      </c>
      <c r="N186" s="9">
        <v>1186596.0</v>
      </c>
      <c r="O186" s="9">
        <v>897425.77</v>
      </c>
      <c r="P186" s="9">
        <v>33889.17</v>
      </c>
      <c r="Q186" s="9">
        <v>31300.0</v>
      </c>
      <c r="R186" s="9" t="s">
        <v>60</v>
      </c>
      <c r="S186" s="9" t="s">
        <v>57</v>
      </c>
      <c r="T186" s="9" t="s">
        <v>61</v>
      </c>
      <c r="V186" s="9">
        <v>1594622.26</v>
      </c>
      <c r="W186" s="9">
        <v>31300.0</v>
      </c>
      <c r="X186" s="9">
        <v>0.0</v>
      </c>
    </row>
    <row r="187" ht="15.75" customHeight="1">
      <c r="A187" s="9">
        <v>2045541.0</v>
      </c>
      <c r="B187" s="9">
        <v>8427626.0</v>
      </c>
      <c r="C187" s="9">
        <v>30674.0</v>
      </c>
      <c r="D187" s="9" t="s">
        <v>52</v>
      </c>
      <c r="E187" s="9" t="s">
        <v>53</v>
      </c>
      <c r="F187" s="9">
        <v>8501.0</v>
      </c>
      <c r="G187" s="9">
        <v>8739741.01</v>
      </c>
      <c r="H187" s="9">
        <v>8739741.01</v>
      </c>
      <c r="I187" s="9">
        <v>7916073.77</v>
      </c>
      <c r="J187" s="9">
        <v>0.0</v>
      </c>
      <c r="K187" s="9">
        <v>0.0</v>
      </c>
      <c r="L187" s="9" t="s">
        <v>69</v>
      </c>
      <c r="M187" s="9" t="s">
        <v>55</v>
      </c>
      <c r="N187" s="9">
        <v>8121891.0</v>
      </c>
      <c r="O187" s="9">
        <v>7499759.54</v>
      </c>
      <c r="R187" s="9" t="s">
        <v>60</v>
      </c>
      <c r="S187" s="9" t="s">
        <v>57</v>
      </c>
      <c r="T187" s="9" t="s">
        <v>61</v>
      </c>
      <c r="V187" s="9">
        <v>7859364.39</v>
      </c>
      <c r="W187" s="9">
        <v>0.0</v>
      </c>
      <c r="X187" s="9">
        <v>0.0</v>
      </c>
    </row>
    <row r="188" ht="15.75" customHeight="1">
      <c r="A188" s="9">
        <v>2045775.0</v>
      </c>
      <c r="B188" s="9">
        <v>2848332.0</v>
      </c>
      <c r="C188" s="9">
        <v>30258.0</v>
      </c>
      <c r="D188" s="9" t="s">
        <v>52</v>
      </c>
      <c r="E188" s="9" t="s">
        <v>53</v>
      </c>
      <c r="F188" s="9">
        <v>48431.0</v>
      </c>
      <c r="G188" s="9">
        <v>2764733.53</v>
      </c>
      <c r="H188" s="9">
        <v>2764733.53</v>
      </c>
      <c r="I188" s="9">
        <v>2764262.28</v>
      </c>
      <c r="J188" s="9">
        <v>0.0</v>
      </c>
      <c r="K188" s="9">
        <v>0.0</v>
      </c>
      <c r="L188" s="9" t="s">
        <v>69</v>
      </c>
      <c r="M188" s="9" t="s">
        <v>55</v>
      </c>
      <c r="N188" s="9">
        <v>2663233.28</v>
      </c>
      <c r="O188" s="9">
        <v>2663233.28</v>
      </c>
      <c r="P188" s="9">
        <v>94040.72</v>
      </c>
      <c r="Q188" s="9">
        <v>93570.0</v>
      </c>
      <c r="R188" s="9" t="s">
        <v>60</v>
      </c>
      <c r="S188" s="9" t="s">
        <v>57</v>
      </c>
      <c r="T188" s="9" t="s">
        <v>61</v>
      </c>
      <c r="V188" s="9">
        <v>2764262.28</v>
      </c>
      <c r="W188" s="9">
        <v>93570.0</v>
      </c>
      <c r="X188" s="9">
        <v>0.0</v>
      </c>
    </row>
    <row r="189" ht="15.75" customHeight="1">
      <c r="A189" s="9">
        <v>2047111.0</v>
      </c>
      <c r="B189" s="9">
        <v>58053.0</v>
      </c>
      <c r="C189" s="9">
        <v>30925.0</v>
      </c>
      <c r="D189" s="9" t="s">
        <v>52</v>
      </c>
      <c r="E189" s="9" t="s">
        <v>53</v>
      </c>
      <c r="F189" s="9">
        <v>48460.0</v>
      </c>
      <c r="G189" s="9">
        <v>58053.0</v>
      </c>
      <c r="H189" s="9">
        <v>58053.0</v>
      </c>
      <c r="I189" s="9">
        <v>60584.66</v>
      </c>
      <c r="J189" s="9">
        <v>0.0</v>
      </c>
      <c r="K189" s="9">
        <v>0.0</v>
      </c>
      <c r="L189" s="9" t="s">
        <v>69</v>
      </c>
      <c r="M189" s="9" t="s">
        <v>55</v>
      </c>
      <c r="N189" s="9">
        <v>56553.0</v>
      </c>
      <c r="O189" s="9">
        <v>59380.65</v>
      </c>
      <c r="R189" s="9" t="s">
        <v>60</v>
      </c>
      <c r="S189" s="9" t="s">
        <v>57</v>
      </c>
      <c r="T189" s="9" t="s">
        <v>61</v>
      </c>
      <c r="V189" s="9">
        <v>59277.91</v>
      </c>
      <c r="W189" s="9">
        <v>0.0</v>
      </c>
      <c r="X189" s="9">
        <v>0.0</v>
      </c>
    </row>
    <row r="190" ht="15.75" customHeight="1">
      <c r="A190" s="9">
        <v>2047181.0</v>
      </c>
      <c r="B190" s="9">
        <v>1301564.0</v>
      </c>
      <c r="C190" s="9">
        <v>30928.0</v>
      </c>
      <c r="D190" s="9" t="s">
        <v>52</v>
      </c>
      <c r="E190" s="9" t="s">
        <v>53</v>
      </c>
      <c r="F190" s="9">
        <v>48523.0</v>
      </c>
      <c r="G190" s="9">
        <v>1301564.0</v>
      </c>
      <c r="H190" s="9">
        <v>1301564.0</v>
      </c>
      <c r="I190" s="9">
        <v>1233450.05</v>
      </c>
      <c r="J190" s="9">
        <v>0.0</v>
      </c>
      <c r="K190" s="9">
        <v>0.0</v>
      </c>
      <c r="L190" s="9" t="s">
        <v>69</v>
      </c>
      <c r="M190" s="9" t="s">
        <v>55</v>
      </c>
      <c r="N190" s="9">
        <v>1264140.0</v>
      </c>
      <c r="O190" s="9">
        <v>1264140.0</v>
      </c>
      <c r="P190" s="9">
        <v>13400.0</v>
      </c>
      <c r="Q190" s="9">
        <v>13400.0</v>
      </c>
      <c r="R190" s="9" t="s">
        <v>56</v>
      </c>
      <c r="S190" s="9" t="s">
        <v>57</v>
      </c>
      <c r="T190" s="9" t="s">
        <v>58</v>
      </c>
      <c r="V190" s="9">
        <v>1173685.2</v>
      </c>
      <c r="W190" s="9">
        <v>0.0</v>
      </c>
      <c r="X190" s="9">
        <v>0.0</v>
      </c>
    </row>
    <row r="191" ht="15.75" customHeight="1">
      <c r="A191" s="9">
        <v>2047386.0</v>
      </c>
      <c r="B191" s="9">
        <v>4368082.0</v>
      </c>
      <c r="C191" s="9">
        <v>31091.0</v>
      </c>
      <c r="D191" s="9" t="s">
        <v>52</v>
      </c>
      <c r="E191" s="9" t="s">
        <v>53</v>
      </c>
      <c r="F191" s="9">
        <v>53976.0</v>
      </c>
      <c r="G191" s="9">
        <v>4785746.09</v>
      </c>
      <c r="H191" s="9">
        <v>4785746.09</v>
      </c>
      <c r="I191" s="9">
        <v>2553045.44</v>
      </c>
      <c r="J191" s="9">
        <v>0.0</v>
      </c>
      <c r="K191" s="9">
        <v>0.0</v>
      </c>
      <c r="L191" s="9" t="s">
        <v>69</v>
      </c>
      <c r="M191" s="9" t="s">
        <v>55</v>
      </c>
      <c r="R191" s="9" t="s">
        <v>60</v>
      </c>
      <c r="S191" s="9" t="s">
        <v>57</v>
      </c>
      <c r="T191" s="9" t="s">
        <v>61</v>
      </c>
      <c r="V191" s="9">
        <v>4786169.58</v>
      </c>
      <c r="W191" s="9">
        <v>0.0</v>
      </c>
      <c r="X191" s="9">
        <v>0.0</v>
      </c>
    </row>
    <row r="192" ht="15.75" customHeight="1">
      <c r="A192" s="9">
        <v>2047490.0</v>
      </c>
      <c r="B192" s="9">
        <v>3939201.0</v>
      </c>
      <c r="C192" s="9">
        <v>30297.0</v>
      </c>
      <c r="D192" s="9" t="s">
        <v>52</v>
      </c>
      <c r="E192" s="9" t="s">
        <v>53</v>
      </c>
      <c r="F192" s="9">
        <v>48629.0</v>
      </c>
      <c r="G192" s="9">
        <v>4973565.13</v>
      </c>
      <c r="H192" s="9">
        <v>4973565.13</v>
      </c>
      <c r="I192" s="9">
        <v>4787400.26</v>
      </c>
      <c r="J192" s="9">
        <v>0.0</v>
      </c>
      <c r="K192" s="9">
        <v>0.0</v>
      </c>
      <c r="L192" s="9" t="s">
        <v>59</v>
      </c>
      <c r="M192" s="9" t="s">
        <v>55</v>
      </c>
      <c r="N192" s="9">
        <v>3939201.0</v>
      </c>
      <c r="O192" s="9">
        <v>3934537.54</v>
      </c>
      <c r="P192" s="9">
        <v>3939201.0</v>
      </c>
      <c r="Q192" s="9">
        <v>179000.0</v>
      </c>
      <c r="R192" s="9" t="s">
        <v>56</v>
      </c>
      <c r="S192" s="9" t="s">
        <v>57</v>
      </c>
      <c r="T192" s="9" t="s">
        <v>58</v>
      </c>
    </row>
    <row r="193" ht="15.75" customHeight="1">
      <c r="A193" s="9">
        <v>2048658.0</v>
      </c>
      <c r="B193" s="9">
        <v>2.2593102E7</v>
      </c>
      <c r="C193" s="9">
        <v>30012.0</v>
      </c>
      <c r="D193" s="9" t="s">
        <v>52</v>
      </c>
      <c r="E193" s="9" t="s">
        <v>53</v>
      </c>
      <c r="F193" s="9">
        <v>61095.0</v>
      </c>
      <c r="G193" s="9">
        <v>2.9978509E7</v>
      </c>
      <c r="H193" s="9">
        <v>2.9978509E7</v>
      </c>
      <c r="I193" s="9">
        <v>2.994054739E7</v>
      </c>
      <c r="J193" s="9">
        <v>0.0</v>
      </c>
      <c r="K193" s="9">
        <v>0.0</v>
      </c>
      <c r="L193" s="9" t="s">
        <v>69</v>
      </c>
      <c r="M193" s="9" t="s">
        <v>55</v>
      </c>
      <c r="N193" s="9">
        <v>1.74275607E7</v>
      </c>
      <c r="O193" s="9">
        <v>1.825536983E7</v>
      </c>
      <c r="P193" s="9">
        <v>523220.56</v>
      </c>
      <c r="Q193" s="9">
        <v>523220.56</v>
      </c>
      <c r="R193" s="9" t="s">
        <v>60</v>
      </c>
      <c r="S193" s="9" t="s">
        <v>57</v>
      </c>
      <c r="T193" s="9" t="s">
        <v>61</v>
      </c>
      <c r="V193" s="9">
        <v>1.761586442E7</v>
      </c>
      <c r="W193" s="9">
        <v>0.0</v>
      </c>
      <c r="X193" s="9">
        <v>0.0</v>
      </c>
    </row>
    <row r="194" ht="15.75" customHeight="1">
      <c r="A194" s="9">
        <v>2050287.0</v>
      </c>
      <c r="B194" s="9">
        <v>622642.0</v>
      </c>
      <c r="C194" s="9">
        <v>30397.0</v>
      </c>
      <c r="D194" s="9" t="s">
        <v>52</v>
      </c>
      <c r="E194" s="9" t="s">
        <v>53</v>
      </c>
      <c r="F194" s="9">
        <v>39059.0</v>
      </c>
      <c r="G194" s="9">
        <v>622642.0</v>
      </c>
      <c r="H194" s="9">
        <v>27200.0</v>
      </c>
      <c r="I194" s="9">
        <v>27200.0</v>
      </c>
      <c r="J194" s="9">
        <v>0.0</v>
      </c>
      <c r="K194" s="9">
        <v>0.0</v>
      </c>
      <c r="L194" s="9" t="s">
        <v>69</v>
      </c>
      <c r="M194" s="9" t="s">
        <v>55</v>
      </c>
      <c r="N194" s="9">
        <v>612880.0</v>
      </c>
      <c r="O194" s="9">
        <v>551592.01</v>
      </c>
      <c r="R194" s="9" t="s">
        <v>60</v>
      </c>
      <c r="S194" s="9" t="s">
        <v>57</v>
      </c>
      <c r="T194" s="9" t="s">
        <v>61</v>
      </c>
    </row>
    <row r="195" ht="15.75" customHeight="1">
      <c r="A195" s="9">
        <v>2050353.0</v>
      </c>
      <c r="B195" s="9">
        <v>1025419.0</v>
      </c>
      <c r="C195" s="9">
        <v>31135.0</v>
      </c>
      <c r="D195" s="9" t="s">
        <v>52</v>
      </c>
      <c r="E195" s="9" t="s">
        <v>53</v>
      </c>
      <c r="F195" s="9">
        <v>42332.0</v>
      </c>
      <c r="G195" s="9">
        <v>1025419.0</v>
      </c>
      <c r="H195" s="9">
        <v>1025419.0</v>
      </c>
      <c r="I195" s="9">
        <v>312046.55</v>
      </c>
      <c r="J195" s="9">
        <v>0.0</v>
      </c>
      <c r="K195" s="9">
        <v>0.0</v>
      </c>
      <c r="L195" s="9" t="s">
        <v>59</v>
      </c>
      <c r="M195" s="9" t="s">
        <v>55</v>
      </c>
      <c r="R195" s="9" t="s">
        <v>60</v>
      </c>
      <c r="S195" s="9" t="s">
        <v>57</v>
      </c>
      <c r="T195" s="9" t="s">
        <v>61</v>
      </c>
      <c r="V195" s="9">
        <v>985790.0</v>
      </c>
      <c r="W195" s="9">
        <v>0.0</v>
      </c>
      <c r="X195" s="9">
        <v>0.0</v>
      </c>
    </row>
    <row r="196" ht="15.75" customHeight="1">
      <c r="A196" s="9">
        <v>2050355.0</v>
      </c>
      <c r="B196" s="9">
        <v>3176598.0</v>
      </c>
      <c r="C196" s="9">
        <v>30713.0</v>
      </c>
      <c r="D196" s="9" t="s">
        <v>52</v>
      </c>
      <c r="E196" s="9" t="s">
        <v>53</v>
      </c>
      <c r="F196" s="9">
        <v>54058.0</v>
      </c>
      <c r="G196" s="9">
        <v>3235792.31</v>
      </c>
      <c r="H196" s="9">
        <v>3235792.31</v>
      </c>
      <c r="I196" s="9">
        <v>3145909.18</v>
      </c>
      <c r="J196" s="9">
        <v>0.0</v>
      </c>
      <c r="K196" s="9">
        <v>0.0</v>
      </c>
      <c r="L196" s="9" t="s">
        <v>69</v>
      </c>
      <c r="M196" s="9" t="s">
        <v>55</v>
      </c>
      <c r="N196" s="9">
        <v>2996103.99</v>
      </c>
      <c r="O196" s="9">
        <v>2996103.99</v>
      </c>
      <c r="P196" s="9">
        <v>149805.2</v>
      </c>
      <c r="Q196" s="9">
        <v>149805.2</v>
      </c>
      <c r="R196" s="9" t="s">
        <v>60</v>
      </c>
      <c r="S196" s="9" t="s">
        <v>57</v>
      </c>
      <c r="T196" s="9" t="s">
        <v>61</v>
      </c>
      <c r="V196" s="9">
        <v>2996103.98</v>
      </c>
      <c r="W196" s="9">
        <v>149805.2</v>
      </c>
      <c r="X196" s="9">
        <v>0.0</v>
      </c>
    </row>
    <row r="197" ht="15.75" customHeight="1">
      <c r="A197" s="9">
        <v>2051091.0</v>
      </c>
      <c r="B197" s="9">
        <v>1261394.0</v>
      </c>
      <c r="C197" s="9">
        <v>30770.0</v>
      </c>
      <c r="D197" s="9" t="s">
        <v>52</v>
      </c>
      <c r="E197" s="9" t="s">
        <v>53</v>
      </c>
      <c r="F197" s="9">
        <v>38130.0</v>
      </c>
      <c r="G197" s="9">
        <v>1541124.44</v>
      </c>
      <c r="H197" s="9">
        <v>1541124.44</v>
      </c>
      <c r="I197" s="9">
        <v>1059107.7</v>
      </c>
      <c r="J197" s="9">
        <v>0.0</v>
      </c>
      <c r="K197" s="9">
        <v>0.0</v>
      </c>
      <c r="L197" s="9" t="s">
        <v>69</v>
      </c>
      <c r="M197" s="9" t="s">
        <v>55</v>
      </c>
      <c r="N197" s="9">
        <v>1112641.85</v>
      </c>
      <c r="O197" s="9">
        <v>1157147.52</v>
      </c>
      <c r="R197" s="9" t="s">
        <v>60</v>
      </c>
      <c r="S197" s="9" t="s">
        <v>57</v>
      </c>
      <c r="T197" s="9" t="s">
        <v>61</v>
      </c>
      <c r="V197" s="9">
        <v>1195564.49</v>
      </c>
      <c r="W197" s="9">
        <v>0.0</v>
      </c>
      <c r="X197" s="9">
        <v>290982.9</v>
      </c>
    </row>
    <row r="198" ht="15.75" customHeight="1">
      <c r="A198" s="9">
        <v>2051096.0</v>
      </c>
      <c r="B198" s="9">
        <v>413576.0</v>
      </c>
      <c r="C198" s="9">
        <v>30603.0</v>
      </c>
      <c r="D198" s="9" t="s">
        <v>52</v>
      </c>
      <c r="E198" s="9" t="s">
        <v>53</v>
      </c>
      <c r="F198" s="9">
        <v>42364.0</v>
      </c>
      <c r="G198" s="9">
        <v>1938502.0</v>
      </c>
      <c r="H198" s="9">
        <v>1938502.0</v>
      </c>
      <c r="I198" s="9">
        <v>2045368.58</v>
      </c>
      <c r="J198" s="9">
        <v>0.0</v>
      </c>
      <c r="K198" s="9">
        <v>0.0</v>
      </c>
      <c r="L198" s="9" t="s">
        <v>59</v>
      </c>
      <c r="M198" s="9" t="s">
        <v>55</v>
      </c>
      <c r="N198" s="9">
        <v>1.0</v>
      </c>
      <c r="O198" s="9">
        <v>1.0</v>
      </c>
      <c r="R198" s="9" t="s">
        <v>60</v>
      </c>
      <c r="S198" s="9" t="s">
        <v>57</v>
      </c>
      <c r="T198" s="9" t="s">
        <v>61</v>
      </c>
    </row>
    <row r="199" ht="15.75" customHeight="1">
      <c r="A199" s="9">
        <v>2052370.0</v>
      </c>
      <c r="B199" s="9">
        <v>1421977.0</v>
      </c>
      <c r="C199" s="9">
        <v>30658.0</v>
      </c>
      <c r="D199" s="9" t="s">
        <v>52</v>
      </c>
      <c r="E199" s="9" t="s">
        <v>53</v>
      </c>
      <c r="F199" s="9">
        <v>48113.0</v>
      </c>
      <c r="G199" s="9">
        <v>1421977.0</v>
      </c>
      <c r="H199" s="9">
        <v>1421977.0</v>
      </c>
      <c r="I199" s="9">
        <v>1574372.03</v>
      </c>
      <c r="J199" s="9">
        <v>0.0</v>
      </c>
      <c r="K199" s="9">
        <v>0.0</v>
      </c>
      <c r="L199" s="9" t="s">
        <v>59</v>
      </c>
      <c r="M199" s="9" t="s">
        <v>55</v>
      </c>
      <c r="N199" s="9">
        <v>1418711.23</v>
      </c>
      <c r="O199" s="9">
        <v>1310420.0</v>
      </c>
      <c r="P199" s="9">
        <v>57671.18</v>
      </c>
      <c r="Q199" s="9">
        <v>53309.49</v>
      </c>
      <c r="R199" s="9" t="s">
        <v>60</v>
      </c>
      <c r="S199" s="9" t="s">
        <v>57</v>
      </c>
      <c r="T199" s="9" t="s">
        <v>61</v>
      </c>
      <c r="V199" s="9">
        <v>1574372.03</v>
      </c>
      <c r="W199" s="9">
        <v>0.0</v>
      </c>
      <c r="X199" s="9">
        <v>0.0</v>
      </c>
    </row>
    <row r="200" ht="15.75" customHeight="1">
      <c r="A200" s="9">
        <v>2017726.0</v>
      </c>
      <c r="B200" s="9">
        <v>2385597.2</v>
      </c>
      <c r="C200" s="9">
        <v>30392.0</v>
      </c>
      <c r="D200" s="9" t="s">
        <v>52</v>
      </c>
      <c r="E200" s="9" t="s">
        <v>53</v>
      </c>
      <c r="F200" s="9">
        <v>5949.0</v>
      </c>
      <c r="G200" s="9">
        <v>2992465.47</v>
      </c>
      <c r="H200" s="9">
        <v>4220237.0</v>
      </c>
      <c r="I200" s="9">
        <v>4220235.07</v>
      </c>
      <c r="J200" s="9">
        <v>0.0</v>
      </c>
      <c r="K200" s="9">
        <v>0.0</v>
      </c>
      <c r="L200" s="9" t="s">
        <v>59</v>
      </c>
      <c r="M200" s="9" t="s">
        <v>55</v>
      </c>
      <c r="N200" s="9">
        <v>2244362.27</v>
      </c>
      <c r="O200" s="9">
        <v>2019926.05</v>
      </c>
      <c r="P200" s="9">
        <v>2244362.27</v>
      </c>
      <c r="Q200" s="9">
        <v>40280.31</v>
      </c>
      <c r="R200" s="9" t="s">
        <v>60</v>
      </c>
      <c r="S200" s="9" t="s">
        <v>57</v>
      </c>
      <c r="T200" s="9" t="s">
        <v>61</v>
      </c>
      <c r="V200" s="9">
        <v>2122875.43</v>
      </c>
      <c r="W200" s="9">
        <v>40248.76</v>
      </c>
      <c r="X200" s="9">
        <v>0.0</v>
      </c>
    </row>
    <row r="201" ht="15.75" customHeight="1">
      <c r="A201" s="9">
        <v>2018394.0</v>
      </c>
      <c r="B201" s="9">
        <v>1364783.0</v>
      </c>
      <c r="C201" s="9">
        <v>30393.0</v>
      </c>
      <c r="D201" s="9" t="s">
        <v>52</v>
      </c>
      <c r="E201" s="9" t="s">
        <v>53</v>
      </c>
      <c r="F201" s="9">
        <v>11245.0</v>
      </c>
      <c r="G201" s="9">
        <v>1364783.0</v>
      </c>
      <c r="H201" s="9">
        <v>1364783.0</v>
      </c>
      <c r="I201" s="9">
        <v>1025283.71</v>
      </c>
      <c r="J201" s="9">
        <v>0.0</v>
      </c>
      <c r="K201" s="9">
        <v>0.0</v>
      </c>
      <c r="L201" s="9" t="s">
        <v>69</v>
      </c>
      <c r="M201" s="9" t="s">
        <v>55</v>
      </c>
      <c r="N201" s="9">
        <v>1045104.37</v>
      </c>
      <c r="O201" s="9">
        <v>940593.94</v>
      </c>
      <c r="P201" s="9">
        <v>1045104.37</v>
      </c>
      <c r="Q201" s="9">
        <v>27267.66</v>
      </c>
      <c r="R201" s="9" t="s">
        <v>60</v>
      </c>
      <c r="S201" s="9" t="s">
        <v>57</v>
      </c>
      <c r="T201" s="9" t="s">
        <v>61</v>
      </c>
      <c r="V201" s="9">
        <v>890138.31</v>
      </c>
      <c r="W201" s="9">
        <v>0.0</v>
      </c>
      <c r="X201" s="9">
        <v>0.0</v>
      </c>
    </row>
    <row r="202" ht="15.75" customHeight="1">
      <c r="A202" s="9">
        <v>2018596.0</v>
      </c>
      <c r="B202" s="9">
        <v>2163811.0</v>
      </c>
      <c r="C202" s="9">
        <v>31111.0</v>
      </c>
      <c r="D202" s="9" t="s">
        <v>52</v>
      </c>
      <c r="E202" s="9" t="s">
        <v>53</v>
      </c>
      <c r="F202" s="9">
        <v>8311.0</v>
      </c>
      <c r="G202" s="9">
        <v>2163811.0</v>
      </c>
      <c r="H202" s="9">
        <v>2163811.0</v>
      </c>
      <c r="I202" s="9">
        <v>81288.9</v>
      </c>
      <c r="J202" s="9">
        <v>0.0</v>
      </c>
      <c r="K202" s="9">
        <v>0.0</v>
      </c>
      <c r="L202" s="9" t="s">
        <v>59</v>
      </c>
      <c r="M202" s="9" t="s">
        <v>55</v>
      </c>
      <c r="R202" s="9" t="s">
        <v>60</v>
      </c>
      <c r="S202" s="9" t="s">
        <v>57</v>
      </c>
      <c r="T202" s="9" t="s">
        <v>61</v>
      </c>
      <c r="V202" s="9">
        <v>2474997.23</v>
      </c>
      <c r="W202" s="9">
        <v>0.0</v>
      </c>
      <c r="X202" s="9">
        <v>0.0</v>
      </c>
    </row>
    <row r="203" ht="15.75" customHeight="1">
      <c r="A203" s="9">
        <v>2018598.0</v>
      </c>
      <c r="B203" s="9">
        <v>2.5166637E7</v>
      </c>
      <c r="C203" s="9">
        <v>30327.0</v>
      </c>
      <c r="D203" s="9" t="s">
        <v>52</v>
      </c>
      <c r="E203" s="9" t="s">
        <v>53</v>
      </c>
      <c r="F203" s="9">
        <v>6019.0</v>
      </c>
      <c r="G203" s="9">
        <v>2.388259762E7</v>
      </c>
      <c r="H203" s="9">
        <v>2.388259762E7</v>
      </c>
      <c r="I203" s="9">
        <v>2.367373802E7</v>
      </c>
      <c r="J203" s="9">
        <v>0.0</v>
      </c>
      <c r="K203" s="9">
        <v>0.0</v>
      </c>
      <c r="L203" s="9" t="s">
        <v>59</v>
      </c>
      <c r="M203" s="9" t="s">
        <v>55</v>
      </c>
      <c r="N203" s="9">
        <v>2.212686699E7</v>
      </c>
      <c r="O203" s="9">
        <v>2.212093166E7</v>
      </c>
      <c r="P203" s="9">
        <v>2.212686699E7</v>
      </c>
      <c r="Q203" s="9">
        <v>94680.0</v>
      </c>
      <c r="R203" s="9" t="s">
        <v>60</v>
      </c>
      <c r="S203" s="9" t="s">
        <v>57</v>
      </c>
      <c r="T203" s="9" t="s">
        <v>61</v>
      </c>
      <c r="V203" s="9">
        <v>2.22261324E7</v>
      </c>
      <c r="W203" s="9">
        <v>0.0</v>
      </c>
      <c r="X203" s="9">
        <v>0.0</v>
      </c>
    </row>
    <row r="204" ht="15.75" customHeight="1">
      <c r="A204" s="9">
        <v>2018645.0</v>
      </c>
      <c r="B204" s="9">
        <v>7030396.0</v>
      </c>
      <c r="C204" s="9">
        <v>30739.0</v>
      </c>
      <c r="D204" s="9" t="s">
        <v>52</v>
      </c>
      <c r="E204" s="9" t="s">
        <v>53</v>
      </c>
      <c r="F204" s="9">
        <v>749.0</v>
      </c>
      <c r="G204" s="9">
        <v>7030396.0</v>
      </c>
      <c r="H204" s="9">
        <v>7030396.0</v>
      </c>
      <c r="I204" s="9">
        <v>8481329.99</v>
      </c>
      <c r="J204" s="9">
        <v>0.0</v>
      </c>
      <c r="K204" s="9">
        <v>0.0</v>
      </c>
      <c r="L204" s="9" t="s">
        <v>59</v>
      </c>
      <c r="M204" s="9" t="s">
        <v>55</v>
      </c>
      <c r="N204" s="9">
        <v>6684103.05</v>
      </c>
      <c r="O204" s="9">
        <v>6950894.13</v>
      </c>
      <c r="P204" s="9">
        <v>514498.88</v>
      </c>
      <c r="Q204" s="9">
        <v>463049.0</v>
      </c>
      <c r="R204" s="9" t="s">
        <v>75</v>
      </c>
      <c r="S204" s="9" t="s">
        <v>57</v>
      </c>
      <c r="T204" s="9" t="s">
        <v>76</v>
      </c>
      <c r="V204" s="9">
        <v>0.0</v>
      </c>
      <c r="W204" s="9">
        <v>537487.53</v>
      </c>
      <c r="X204" s="9">
        <v>0.0</v>
      </c>
    </row>
    <row r="205" ht="15.75" customHeight="1">
      <c r="A205" s="9">
        <v>2019432.0</v>
      </c>
      <c r="B205" s="9">
        <v>1571237.0</v>
      </c>
      <c r="C205" s="9">
        <v>31025.0</v>
      </c>
      <c r="D205" s="9" t="s">
        <v>52</v>
      </c>
      <c r="E205" s="9" t="s">
        <v>53</v>
      </c>
      <c r="F205" s="9">
        <v>12867.0</v>
      </c>
      <c r="G205" s="9">
        <v>1571237.0</v>
      </c>
      <c r="H205" s="9">
        <v>1571237.0</v>
      </c>
      <c r="I205" s="9">
        <v>0.0</v>
      </c>
      <c r="J205" s="9">
        <v>0.0</v>
      </c>
      <c r="K205" s="9">
        <v>0.0</v>
      </c>
      <c r="L205" s="9" t="s">
        <v>54</v>
      </c>
      <c r="M205" s="9" t="s">
        <v>55</v>
      </c>
      <c r="R205" s="9" t="s">
        <v>60</v>
      </c>
      <c r="S205" s="9" t="s">
        <v>57</v>
      </c>
      <c r="T205" s="9" t="s">
        <v>61</v>
      </c>
      <c r="V205" s="9">
        <v>1709361.0</v>
      </c>
      <c r="W205" s="9">
        <v>31500.0</v>
      </c>
      <c r="X205" s="9">
        <v>0.0</v>
      </c>
    </row>
    <row r="206" ht="15.75" customHeight="1">
      <c r="A206" s="9">
        <v>2022108.0</v>
      </c>
      <c r="B206" s="9">
        <v>614271.0</v>
      </c>
      <c r="C206" s="9">
        <v>31131.0</v>
      </c>
      <c r="D206" s="9" t="s">
        <v>52</v>
      </c>
      <c r="E206" s="9" t="s">
        <v>53</v>
      </c>
      <c r="F206" s="9">
        <v>15245.0</v>
      </c>
      <c r="G206" s="9">
        <v>614271.0</v>
      </c>
      <c r="H206" s="9">
        <v>614271.0</v>
      </c>
      <c r="I206" s="9">
        <v>0.0</v>
      </c>
      <c r="J206" s="9">
        <v>0.0</v>
      </c>
      <c r="K206" s="9">
        <v>0.0</v>
      </c>
      <c r="L206" s="9" t="s">
        <v>54</v>
      </c>
      <c r="M206" s="9" t="s">
        <v>55</v>
      </c>
      <c r="R206" s="9" t="s">
        <v>56</v>
      </c>
      <c r="S206" s="9" t="s">
        <v>57</v>
      </c>
      <c r="T206" s="9" t="s">
        <v>58</v>
      </c>
      <c r="V206" s="9">
        <v>586461.03</v>
      </c>
      <c r="W206" s="9">
        <v>0.0</v>
      </c>
      <c r="X206" s="9">
        <v>0.0</v>
      </c>
    </row>
    <row r="207" ht="15.75" customHeight="1">
      <c r="A207" s="9">
        <v>2022172.0</v>
      </c>
      <c r="B207" s="9">
        <v>1583819.0</v>
      </c>
      <c r="C207" s="9">
        <v>30868.0</v>
      </c>
      <c r="D207" s="9" t="s">
        <v>52</v>
      </c>
      <c r="E207" s="9" t="s">
        <v>53</v>
      </c>
      <c r="F207" s="9">
        <v>9326.0</v>
      </c>
      <c r="G207" s="9">
        <v>1346015.94</v>
      </c>
      <c r="H207" s="9">
        <v>1346015.94</v>
      </c>
      <c r="I207" s="9">
        <v>1346015.94</v>
      </c>
      <c r="J207" s="9">
        <v>0.0</v>
      </c>
      <c r="K207" s="9">
        <v>0.0</v>
      </c>
      <c r="L207" s="9" t="s">
        <v>69</v>
      </c>
      <c r="M207" s="9" t="s">
        <v>55</v>
      </c>
      <c r="N207" s="9">
        <v>961828.84</v>
      </c>
      <c r="O207" s="9">
        <v>727433.58</v>
      </c>
      <c r="P207" s="9">
        <v>28854.9</v>
      </c>
      <c r="Q207" s="9">
        <v>25000.0</v>
      </c>
      <c r="R207" s="9" t="s">
        <v>60</v>
      </c>
      <c r="S207" s="9" t="s">
        <v>57</v>
      </c>
      <c r="T207" s="9" t="s">
        <v>61</v>
      </c>
      <c r="V207" s="9">
        <v>797263.72</v>
      </c>
      <c r="W207" s="9">
        <v>0.0</v>
      </c>
      <c r="X207" s="9">
        <v>0.0</v>
      </c>
    </row>
    <row r="208" ht="15.75" customHeight="1">
      <c r="A208" s="9">
        <v>2023125.0</v>
      </c>
      <c r="B208" s="9">
        <v>1331813.0</v>
      </c>
      <c r="C208" s="9">
        <v>29911.0</v>
      </c>
      <c r="D208" s="9" t="s">
        <v>52</v>
      </c>
      <c r="E208" s="9" t="s">
        <v>53</v>
      </c>
      <c r="F208" s="9">
        <v>20426.0</v>
      </c>
      <c r="G208" s="9">
        <v>1331813.0</v>
      </c>
      <c r="H208" s="9">
        <v>1331813.0</v>
      </c>
      <c r="I208" s="9">
        <v>6450.0</v>
      </c>
      <c r="J208" s="9">
        <v>0.0</v>
      </c>
      <c r="K208" s="9">
        <v>0.0</v>
      </c>
      <c r="L208" s="9" t="s">
        <v>59</v>
      </c>
      <c r="M208" s="9" t="s">
        <v>55</v>
      </c>
      <c r="N208" s="9">
        <v>1331813.0</v>
      </c>
      <c r="O208" s="9">
        <v>1331813.0</v>
      </c>
      <c r="R208" s="9" t="s">
        <v>94</v>
      </c>
      <c r="S208" s="9" t="s">
        <v>57</v>
      </c>
      <c r="T208" s="9" t="s">
        <v>95</v>
      </c>
    </row>
    <row r="209" ht="15.75" customHeight="1">
      <c r="A209" s="9">
        <v>2023242.0</v>
      </c>
      <c r="B209" s="9">
        <v>45251.0</v>
      </c>
      <c r="C209" s="9">
        <v>31138.0</v>
      </c>
      <c r="D209" s="9" t="s">
        <v>52</v>
      </c>
      <c r="E209" s="9" t="s">
        <v>53</v>
      </c>
      <c r="F209" s="9">
        <v>19155.0</v>
      </c>
      <c r="G209" s="9">
        <v>45251.0</v>
      </c>
      <c r="H209" s="9">
        <v>45251.0</v>
      </c>
      <c r="I209" s="9">
        <v>42678.31</v>
      </c>
      <c r="J209" s="9">
        <v>0.0</v>
      </c>
      <c r="K209" s="9">
        <v>0.0</v>
      </c>
      <c r="L209" s="9" t="s">
        <v>69</v>
      </c>
      <c r="M209" s="9" t="s">
        <v>55</v>
      </c>
      <c r="R209" s="9" t="s">
        <v>60</v>
      </c>
      <c r="S209" s="9" t="s">
        <v>57</v>
      </c>
      <c r="T209" s="9" t="s">
        <v>61</v>
      </c>
      <c r="V209" s="9">
        <v>42678.31</v>
      </c>
      <c r="W209" s="9">
        <v>0.0</v>
      </c>
      <c r="X209" s="9">
        <v>0.0</v>
      </c>
    </row>
    <row r="210" ht="15.75" customHeight="1">
      <c r="A210" s="9">
        <v>2023378.0</v>
      </c>
      <c r="B210" s="9">
        <v>8635065.0</v>
      </c>
      <c r="C210" s="9">
        <v>29798.0</v>
      </c>
      <c r="D210" s="9" t="s">
        <v>52</v>
      </c>
      <c r="E210" s="9" t="s">
        <v>53</v>
      </c>
      <c r="F210" s="9">
        <v>15742.0</v>
      </c>
      <c r="G210" s="9">
        <v>1.035869118E7</v>
      </c>
      <c r="H210" s="9">
        <v>1.035869118E7</v>
      </c>
      <c r="I210" s="9">
        <v>380494.7</v>
      </c>
      <c r="J210" s="9">
        <v>0.0</v>
      </c>
      <c r="K210" s="9">
        <v>0.0</v>
      </c>
      <c r="L210" s="9" t="s">
        <v>69</v>
      </c>
      <c r="M210" s="9" t="s">
        <v>65</v>
      </c>
      <c r="N210" s="9">
        <v>250000.0</v>
      </c>
      <c r="O210" s="9">
        <v>250000.0</v>
      </c>
      <c r="R210" s="9" t="s">
        <v>60</v>
      </c>
      <c r="S210" s="9" t="s">
        <v>57</v>
      </c>
      <c r="T210" s="9" t="s">
        <v>61</v>
      </c>
      <c r="V210" s="9">
        <v>250000.0</v>
      </c>
      <c r="W210" s="9">
        <v>0.0</v>
      </c>
    </row>
    <row r="211" ht="15.75" customHeight="1">
      <c r="A211" s="9">
        <v>2024163.0</v>
      </c>
      <c r="B211" s="9">
        <v>2.1490206E7</v>
      </c>
      <c r="C211" s="9">
        <v>30963.0</v>
      </c>
      <c r="D211" s="9" t="s">
        <v>52</v>
      </c>
      <c r="E211" s="9" t="s">
        <v>53</v>
      </c>
      <c r="F211" s="9">
        <v>20915.0</v>
      </c>
      <c r="G211" s="9">
        <v>2.348615811E7</v>
      </c>
      <c r="H211" s="9">
        <v>2.348615811E7</v>
      </c>
      <c r="I211" s="9">
        <v>2.348615811E7</v>
      </c>
      <c r="J211" s="9">
        <v>0.0</v>
      </c>
      <c r="K211" s="9">
        <v>0.0</v>
      </c>
      <c r="L211" s="9" t="s">
        <v>69</v>
      </c>
      <c r="M211" s="9" t="s">
        <v>55</v>
      </c>
      <c r="N211" s="9">
        <v>2.525158481E7</v>
      </c>
      <c r="O211" s="9">
        <v>1.989032984E7</v>
      </c>
      <c r="P211" s="9">
        <v>731582.37</v>
      </c>
      <c r="Q211" s="9">
        <v>607585.36</v>
      </c>
      <c r="R211" s="9" t="s">
        <v>60</v>
      </c>
      <c r="S211" s="9" t="s">
        <v>57</v>
      </c>
      <c r="T211" s="9" t="s">
        <v>61</v>
      </c>
      <c r="V211" s="9">
        <v>2.159631441E7</v>
      </c>
      <c r="W211" s="9">
        <v>763722.79</v>
      </c>
      <c r="X211" s="9">
        <v>0.0</v>
      </c>
    </row>
    <row r="212" ht="15.75" customHeight="1">
      <c r="A212" s="9">
        <v>2024929.0</v>
      </c>
      <c r="B212" s="9">
        <v>600863.0</v>
      </c>
      <c r="C212" s="9">
        <v>31291.0</v>
      </c>
      <c r="D212" s="9" t="s">
        <v>52</v>
      </c>
      <c r="E212" s="9" t="s">
        <v>53</v>
      </c>
      <c r="F212" s="9">
        <v>14786.0</v>
      </c>
      <c r="G212" s="9">
        <v>1055605.0</v>
      </c>
      <c r="H212" s="9">
        <v>1055605.0</v>
      </c>
      <c r="I212" s="9">
        <v>638285.18</v>
      </c>
      <c r="J212" s="9">
        <v>0.0</v>
      </c>
      <c r="K212" s="9">
        <v>0.0</v>
      </c>
      <c r="L212" s="9" t="s">
        <v>69</v>
      </c>
      <c r="M212" s="9" t="s">
        <v>55</v>
      </c>
      <c r="R212" s="9" t="s">
        <v>60</v>
      </c>
      <c r="S212" s="9" t="s">
        <v>57</v>
      </c>
      <c r="T212" s="9" t="s">
        <v>61</v>
      </c>
      <c r="V212" s="9">
        <v>544548.42</v>
      </c>
      <c r="W212" s="9">
        <v>0.0</v>
      </c>
      <c r="X212" s="9">
        <v>81257.6</v>
      </c>
    </row>
    <row r="213" ht="15.75" customHeight="1">
      <c r="A213" s="9">
        <v>2025665.0</v>
      </c>
      <c r="B213" s="9">
        <v>1997962.0</v>
      </c>
      <c r="C213" s="9">
        <v>30721.0</v>
      </c>
      <c r="D213" s="9" t="s">
        <v>52</v>
      </c>
      <c r="E213" s="9" t="s">
        <v>53</v>
      </c>
      <c r="F213" s="9">
        <v>20333.0</v>
      </c>
      <c r="G213" s="9">
        <v>1997962.0</v>
      </c>
      <c r="H213" s="9">
        <v>1997962.0</v>
      </c>
      <c r="I213" s="9">
        <v>2392767.65</v>
      </c>
      <c r="J213" s="9">
        <v>0.0</v>
      </c>
      <c r="K213" s="9">
        <v>0.0</v>
      </c>
      <c r="L213" s="9" t="s">
        <v>69</v>
      </c>
      <c r="M213" s="9" t="s">
        <v>55</v>
      </c>
      <c r="N213" s="9">
        <v>2157848.04</v>
      </c>
      <c r="O213" s="9">
        <v>2306223.0</v>
      </c>
      <c r="P213" s="9">
        <v>42806.96</v>
      </c>
      <c r="Q213" s="9">
        <v>38526.27</v>
      </c>
      <c r="R213" s="9" t="s">
        <v>60</v>
      </c>
      <c r="S213" s="9" t="s">
        <v>57</v>
      </c>
      <c r="T213" s="9" t="s">
        <v>61</v>
      </c>
      <c r="V213" s="9">
        <v>2345816.7</v>
      </c>
      <c r="W213" s="9">
        <v>0.0</v>
      </c>
      <c r="X213" s="9">
        <v>0.0</v>
      </c>
    </row>
    <row r="214" ht="15.75" customHeight="1">
      <c r="A214" s="9">
        <v>2026250.0</v>
      </c>
      <c r="B214" s="9">
        <v>3627729.0</v>
      </c>
      <c r="C214" s="9">
        <v>30241.0</v>
      </c>
      <c r="D214" s="9" t="s">
        <v>52</v>
      </c>
      <c r="E214" s="9" t="s">
        <v>53</v>
      </c>
      <c r="F214" s="9">
        <v>18115.0</v>
      </c>
      <c r="G214" s="9">
        <v>3627729.0</v>
      </c>
      <c r="H214" s="9">
        <v>3627729.0</v>
      </c>
      <c r="I214" s="9">
        <v>3767438.09</v>
      </c>
      <c r="J214" s="9">
        <v>0.0</v>
      </c>
      <c r="K214" s="9">
        <v>0.0</v>
      </c>
      <c r="L214" s="9" t="s">
        <v>59</v>
      </c>
      <c r="M214" s="9" t="s">
        <v>55</v>
      </c>
      <c r="N214" s="9">
        <v>2712238.44</v>
      </c>
      <c r="O214" s="9">
        <v>2712238.44</v>
      </c>
      <c r="P214" s="9">
        <v>2712238.44</v>
      </c>
      <c r="Q214" s="9">
        <v>57945.56</v>
      </c>
      <c r="R214" s="9" t="s">
        <v>60</v>
      </c>
      <c r="S214" s="9" t="s">
        <v>57</v>
      </c>
      <c r="T214" s="9" t="s">
        <v>61</v>
      </c>
      <c r="V214" s="9">
        <v>2881833.07</v>
      </c>
      <c r="W214" s="9">
        <v>0.0</v>
      </c>
      <c r="X214" s="9">
        <v>0.0</v>
      </c>
    </row>
    <row r="215" ht="15.75" customHeight="1">
      <c r="A215" s="9">
        <v>2027988.0</v>
      </c>
      <c r="B215" s="9">
        <v>766013.0</v>
      </c>
      <c r="C215" s="9">
        <v>30494.0</v>
      </c>
      <c r="D215" s="9" t="s">
        <v>52</v>
      </c>
      <c r="E215" s="9" t="s">
        <v>53</v>
      </c>
      <c r="F215" s="9">
        <v>17704.0</v>
      </c>
      <c r="G215" s="9">
        <v>910533.52</v>
      </c>
      <c r="H215" s="9">
        <v>910533.52</v>
      </c>
      <c r="I215" s="9">
        <v>0.0</v>
      </c>
      <c r="J215" s="9">
        <v>0.0</v>
      </c>
      <c r="K215" s="9">
        <v>0.0</v>
      </c>
      <c r="L215" s="9" t="s">
        <v>54</v>
      </c>
      <c r="M215" s="9" t="s">
        <v>55</v>
      </c>
      <c r="N215" s="9">
        <v>872974.41</v>
      </c>
      <c r="O215" s="9">
        <v>872974.41</v>
      </c>
      <c r="R215" s="9" t="s">
        <v>60</v>
      </c>
      <c r="S215" s="9" t="s">
        <v>57</v>
      </c>
      <c r="T215" s="9" t="s">
        <v>61</v>
      </c>
      <c r="V215" s="9">
        <v>872974.41</v>
      </c>
      <c r="W215" s="9">
        <v>0.0</v>
      </c>
      <c r="X215" s="9">
        <v>0.0</v>
      </c>
    </row>
    <row r="216" ht="15.75" customHeight="1">
      <c r="A216" s="9">
        <v>2028907.0</v>
      </c>
      <c r="B216" s="9">
        <v>4124887.0</v>
      </c>
      <c r="C216" s="9">
        <v>30002.0</v>
      </c>
      <c r="D216" s="9" t="s">
        <v>52</v>
      </c>
      <c r="E216" s="9" t="s">
        <v>53</v>
      </c>
      <c r="F216" s="9">
        <v>23374.0</v>
      </c>
      <c r="G216" s="9">
        <v>165913.57</v>
      </c>
      <c r="H216" s="9">
        <v>165913.57</v>
      </c>
      <c r="I216" s="9">
        <v>4898472.61</v>
      </c>
      <c r="J216" s="9">
        <v>0.0</v>
      </c>
      <c r="K216" s="9">
        <v>0.0</v>
      </c>
      <c r="L216" s="9" t="s">
        <v>59</v>
      </c>
      <c r="M216" s="9" t="s">
        <v>55</v>
      </c>
      <c r="N216" s="9">
        <v>456278.0</v>
      </c>
      <c r="O216" s="9">
        <v>447737.81</v>
      </c>
      <c r="R216" s="9" t="s">
        <v>75</v>
      </c>
      <c r="S216" s="9" t="s">
        <v>57</v>
      </c>
      <c r="T216" s="9" t="s">
        <v>76</v>
      </c>
    </row>
    <row r="217" ht="15.75" customHeight="1">
      <c r="A217" s="9">
        <v>2028926.0</v>
      </c>
      <c r="B217" s="9">
        <v>2849630.0</v>
      </c>
      <c r="C217" s="9">
        <v>29996.0</v>
      </c>
      <c r="D217" s="9" t="s">
        <v>52</v>
      </c>
      <c r="E217" s="9" t="s">
        <v>53</v>
      </c>
      <c r="F217" s="9">
        <v>26117.0</v>
      </c>
      <c r="G217" s="9">
        <v>2707135.18</v>
      </c>
      <c r="H217" s="9">
        <v>2707135.18</v>
      </c>
      <c r="I217" s="9">
        <v>1777659.55</v>
      </c>
      <c r="J217" s="9">
        <v>0.0</v>
      </c>
      <c r="K217" s="9">
        <v>0.0</v>
      </c>
      <c r="L217" s="9" t="s">
        <v>59</v>
      </c>
      <c r="M217" s="9" t="s">
        <v>55</v>
      </c>
      <c r="P217" s="9">
        <v>409635.0</v>
      </c>
      <c r="Q217" s="9">
        <v>0.0</v>
      </c>
      <c r="R217" s="9" t="s">
        <v>75</v>
      </c>
      <c r="S217" s="9" t="s">
        <v>57</v>
      </c>
      <c r="T217" s="9" t="s">
        <v>76</v>
      </c>
    </row>
    <row r="218" ht="15.75" customHeight="1">
      <c r="A218" s="9">
        <v>2029477.0</v>
      </c>
      <c r="B218" s="9">
        <v>1804246.0</v>
      </c>
      <c r="C218" s="9">
        <v>31184.0</v>
      </c>
      <c r="D218" s="9" t="s">
        <v>52</v>
      </c>
      <c r="E218" s="9" t="s">
        <v>53</v>
      </c>
      <c r="F218" s="9">
        <v>31674.0</v>
      </c>
      <c r="G218" s="9">
        <v>1804246.0</v>
      </c>
      <c r="H218" s="9">
        <v>1804246.0</v>
      </c>
      <c r="I218" s="9">
        <v>0.0</v>
      </c>
      <c r="J218" s="9">
        <v>0.0</v>
      </c>
      <c r="K218" s="9">
        <v>0.0</v>
      </c>
      <c r="L218" s="9" t="s">
        <v>54</v>
      </c>
      <c r="M218" s="9" t="s">
        <v>55</v>
      </c>
      <c r="R218" s="9" t="s">
        <v>60</v>
      </c>
      <c r="S218" s="9" t="s">
        <v>57</v>
      </c>
      <c r="T218" s="9" t="s">
        <v>61</v>
      </c>
      <c r="V218" s="9">
        <v>1552784.46</v>
      </c>
      <c r="W218" s="9">
        <v>0.0</v>
      </c>
      <c r="X218" s="9">
        <v>0.0</v>
      </c>
    </row>
    <row r="219" ht="15.75" customHeight="1">
      <c r="A219" s="9">
        <v>2029692.0</v>
      </c>
      <c r="B219" s="9">
        <v>1999266.0</v>
      </c>
      <c r="C219" s="9">
        <v>30581.0</v>
      </c>
      <c r="D219" s="9" t="s">
        <v>52</v>
      </c>
      <c r="E219" s="9" t="s">
        <v>53</v>
      </c>
      <c r="F219" s="9">
        <v>34142.0</v>
      </c>
      <c r="G219" s="9">
        <v>2028575.15</v>
      </c>
      <c r="H219" s="9">
        <v>2055282.21</v>
      </c>
      <c r="I219" s="9">
        <v>2055282.21</v>
      </c>
      <c r="J219" s="9">
        <v>0.0</v>
      </c>
      <c r="K219" s="9">
        <v>0.0</v>
      </c>
      <c r="L219" s="9" t="s">
        <v>69</v>
      </c>
      <c r="M219" s="9" t="s">
        <v>55</v>
      </c>
      <c r="N219" s="9">
        <v>1830958.0</v>
      </c>
      <c r="O219" s="9">
        <v>1647862.2</v>
      </c>
      <c r="P219" s="9">
        <v>65915.0</v>
      </c>
      <c r="Q219" s="9">
        <v>59323.5</v>
      </c>
      <c r="R219" s="9" t="s">
        <v>60</v>
      </c>
      <c r="S219" s="9" t="s">
        <v>57</v>
      </c>
      <c r="T219" s="9" t="s">
        <v>61</v>
      </c>
      <c r="V219" s="9">
        <v>1767874.9</v>
      </c>
      <c r="W219" s="9">
        <v>0.0</v>
      </c>
      <c r="X219" s="9">
        <v>0.0</v>
      </c>
    </row>
    <row r="220" ht="15.75" customHeight="1">
      <c r="A220" s="9">
        <v>2029728.0</v>
      </c>
      <c r="B220" s="9">
        <v>611386.0</v>
      </c>
      <c r="C220" s="9">
        <v>30745.0</v>
      </c>
      <c r="D220" s="9" t="s">
        <v>52</v>
      </c>
      <c r="E220" s="9" t="s">
        <v>53</v>
      </c>
      <c r="F220" s="9">
        <v>30494.0</v>
      </c>
      <c r="G220" s="9">
        <v>611386.0</v>
      </c>
      <c r="H220" s="9">
        <v>611386.0</v>
      </c>
      <c r="I220" s="9">
        <v>796981.12</v>
      </c>
      <c r="J220" s="9">
        <v>0.0</v>
      </c>
      <c r="K220" s="9">
        <v>0.0</v>
      </c>
      <c r="L220" s="9" t="s">
        <v>69</v>
      </c>
      <c r="M220" s="9" t="s">
        <v>55</v>
      </c>
      <c r="N220" s="9">
        <v>757461.13</v>
      </c>
      <c r="O220" s="9">
        <v>655329.56</v>
      </c>
      <c r="R220" s="9" t="s">
        <v>60</v>
      </c>
      <c r="S220" s="9" t="s">
        <v>57</v>
      </c>
      <c r="T220" s="9" t="s">
        <v>61</v>
      </c>
      <c r="V220" s="9">
        <v>757461.13</v>
      </c>
      <c r="W220" s="9">
        <v>0.0</v>
      </c>
      <c r="X220" s="9">
        <v>0.0</v>
      </c>
    </row>
    <row r="221" ht="15.75" customHeight="1">
      <c r="A221" s="9">
        <v>2030177.0</v>
      </c>
      <c r="B221" s="9">
        <v>1920477.0</v>
      </c>
      <c r="C221" s="9">
        <v>31241.0</v>
      </c>
      <c r="D221" s="9" t="s">
        <v>52</v>
      </c>
      <c r="E221" s="9" t="s">
        <v>53</v>
      </c>
      <c r="F221" s="9">
        <v>24608.0</v>
      </c>
      <c r="G221" s="9">
        <v>1920477.0</v>
      </c>
      <c r="H221" s="9">
        <v>1920477.0</v>
      </c>
      <c r="I221" s="9">
        <v>0.0</v>
      </c>
      <c r="J221" s="9">
        <v>0.0</v>
      </c>
      <c r="K221" s="9">
        <v>0.0</v>
      </c>
      <c r="L221" s="9" t="s">
        <v>54</v>
      </c>
      <c r="M221" s="9" t="s">
        <v>55</v>
      </c>
      <c r="R221" s="9" t="s">
        <v>75</v>
      </c>
      <c r="S221" s="9" t="s">
        <v>57</v>
      </c>
      <c r="T221" s="9" t="s">
        <v>76</v>
      </c>
    </row>
    <row r="222" ht="15.75" customHeight="1">
      <c r="A222" s="9">
        <v>2030553.0</v>
      </c>
      <c r="B222" s="9">
        <v>1972133.0</v>
      </c>
      <c r="C222" s="9">
        <v>30719.0</v>
      </c>
      <c r="D222" s="9" t="s">
        <v>52</v>
      </c>
      <c r="E222" s="9" t="s">
        <v>53</v>
      </c>
      <c r="F222" s="9">
        <v>24848.0</v>
      </c>
      <c r="G222" s="9">
        <v>1972133.0</v>
      </c>
      <c r="H222" s="9">
        <v>1972133.0</v>
      </c>
      <c r="I222" s="9">
        <v>1722421.66</v>
      </c>
      <c r="J222" s="9">
        <v>0.0</v>
      </c>
      <c r="K222" s="9">
        <v>0.0</v>
      </c>
      <c r="L222" s="9" t="s">
        <v>59</v>
      </c>
      <c r="M222" s="9" t="s">
        <v>55</v>
      </c>
      <c r="N222" s="9">
        <v>1587485.4</v>
      </c>
      <c r="O222" s="9">
        <v>1722421.66</v>
      </c>
      <c r="R222" s="9" t="s">
        <v>60</v>
      </c>
      <c r="S222" s="9" t="s">
        <v>57</v>
      </c>
      <c r="T222" s="9" t="s">
        <v>61</v>
      </c>
      <c r="V222" s="9">
        <v>1885713.01</v>
      </c>
      <c r="W222" s="9">
        <v>0.0</v>
      </c>
      <c r="X222" s="9">
        <v>0.0</v>
      </c>
    </row>
    <row r="223" ht="15.75" customHeight="1">
      <c r="A223" s="9">
        <v>2030554.0</v>
      </c>
      <c r="B223" s="9">
        <v>1311321.0</v>
      </c>
      <c r="C223" s="9">
        <v>30731.0</v>
      </c>
      <c r="D223" s="9" t="s">
        <v>52</v>
      </c>
      <c r="E223" s="9" t="s">
        <v>53</v>
      </c>
      <c r="F223" s="9">
        <v>26148.0</v>
      </c>
      <c r="G223" s="9">
        <v>1311321.0</v>
      </c>
      <c r="H223" s="9">
        <v>1311321.0</v>
      </c>
      <c r="I223" s="9">
        <v>0.0</v>
      </c>
      <c r="J223" s="9">
        <v>0.0</v>
      </c>
      <c r="K223" s="9">
        <v>0.0</v>
      </c>
      <c r="L223" s="9" t="s">
        <v>54</v>
      </c>
      <c r="M223" s="9" t="s">
        <v>55</v>
      </c>
      <c r="N223" s="9">
        <v>1001494.48</v>
      </c>
      <c r="O223" s="9">
        <v>1096664.02</v>
      </c>
      <c r="R223" s="9" t="s">
        <v>56</v>
      </c>
      <c r="S223" s="9" t="s">
        <v>57</v>
      </c>
      <c r="T223" s="9" t="s">
        <v>58</v>
      </c>
      <c r="V223" s="9">
        <v>881815.48</v>
      </c>
      <c r="W223" s="9">
        <v>0.0</v>
      </c>
      <c r="X223" s="9">
        <v>0.0</v>
      </c>
    </row>
    <row r="224" ht="15.75" customHeight="1">
      <c r="A224" s="9">
        <v>2030571.0</v>
      </c>
      <c r="B224" s="9">
        <v>1320639.0</v>
      </c>
      <c r="C224" s="9">
        <v>31183.0</v>
      </c>
      <c r="D224" s="9" t="s">
        <v>52</v>
      </c>
      <c r="E224" s="9" t="s">
        <v>53</v>
      </c>
      <c r="F224" s="9">
        <v>20244.0</v>
      </c>
      <c r="G224" s="9">
        <v>1320639.0</v>
      </c>
      <c r="H224" s="9">
        <v>1320639.0</v>
      </c>
      <c r="I224" s="9">
        <v>0.0</v>
      </c>
      <c r="J224" s="9">
        <v>0.0</v>
      </c>
      <c r="K224" s="9">
        <v>0.0</v>
      </c>
      <c r="L224" s="9" t="s">
        <v>54</v>
      </c>
      <c r="M224" s="9" t="s">
        <v>55</v>
      </c>
      <c r="R224" s="9" t="s">
        <v>60</v>
      </c>
      <c r="S224" s="9" t="s">
        <v>57</v>
      </c>
      <c r="T224" s="9" t="s">
        <v>61</v>
      </c>
      <c r="V224" s="9">
        <v>1300718.58</v>
      </c>
      <c r="W224" s="9">
        <v>0.0</v>
      </c>
      <c r="X224" s="9">
        <v>0.0</v>
      </c>
    </row>
    <row r="225" ht="15.75" customHeight="1">
      <c r="A225" s="9">
        <v>2030589.0</v>
      </c>
      <c r="B225" s="9">
        <v>152599.54</v>
      </c>
      <c r="C225" s="9">
        <v>30695.0</v>
      </c>
      <c r="D225" s="9" t="s">
        <v>52</v>
      </c>
      <c r="E225" s="9" t="s">
        <v>53</v>
      </c>
      <c r="F225" s="9">
        <v>7033.0</v>
      </c>
      <c r="G225" s="9">
        <v>167568.0</v>
      </c>
      <c r="H225" s="9">
        <v>167568.0</v>
      </c>
      <c r="I225" s="9">
        <v>149970.1</v>
      </c>
      <c r="J225" s="9">
        <v>0.0</v>
      </c>
      <c r="K225" s="9">
        <v>0.0</v>
      </c>
      <c r="L225" s="9" t="s">
        <v>59</v>
      </c>
      <c r="M225" s="9" t="s">
        <v>55</v>
      </c>
      <c r="N225" s="9">
        <v>152600.0</v>
      </c>
      <c r="O225" s="9">
        <v>152600.0</v>
      </c>
      <c r="R225" s="9" t="s">
        <v>60</v>
      </c>
      <c r="S225" s="9" t="s">
        <v>57</v>
      </c>
      <c r="T225" s="9" t="s">
        <v>61</v>
      </c>
      <c r="V225" s="9">
        <v>141645.45</v>
      </c>
      <c r="W225" s="9">
        <v>13200.0</v>
      </c>
      <c r="X225" s="9">
        <v>0.0</v>
      </c>
    </row>
    <row r="226" ht="15.75" customHeight="1">
      <c r="A226" s="9">
        <v>2030603.0</v>
      </c>
      <c r="B226" s="9">
        <v>1986172.0</v>
      </c>
      <c r="C226" s="9">
        <v>31130.0</v>
      </c>
      <c r="D226" s="9" t="s">
        <v>52</v>
      </c>
      <c r="E226" s="9" t="s">
        <v>53</v>
      </c>
      <c r="F226" s="9">
        <v>35383.0</v>
      </c>
      <c r="G226" s="9">
        <v>1986172.0</v>
      </c>
      <c r="H226" s="9">
        <v>1986172.0</v>
      </c>
      <c r="I226" s="9">
        <v>0.0</v>
      </c>
      <c r="J226" s="9">
        <v>0.0</v>
      </c>
      <c r="K226" s="9">
        <v>0.0</v>
      </c>
      <c r="L226" s="9" t="s">
        <v>54</v>
      </c>
      <c r="M226" s="9" t="s">
        <v>55</v>
      </c>
      <c r="R226" s="9" t="s">
        <v>72</v>
      </c>
      <c r="S226" s="9" t="s">
        <v>57</v>
      </c>
      <c r="T226" s="9" t="s">
        <v>73</v>
      </c>
      <c r="V226" s="9">
        <v>1952188.28</v>
      </c>
      <c r="W226" s="9">
        <v>0.0</v>
      </c>
      <c r="X226" s="9">
        <v>0.0</v>
      </c>
    </row>
    <row r="227" ht="15.75" customHeight="1">
      <c r="A227" s="9">
        <v>2030722.0</v>
      </c>
      <c r="B227" s="9">
        <v>2063761.0</v>
      </c>
      <c r="C227" s="9">
        <v>48090.0</v>
      </c>
      <c r="D227" s="9" t="s">
        <v>52</v>
      </c>
      <c r="E227" s="9" t="s">
        <v>53</v>
      </c>
      <c r="F227" s="9">
        <v>13060.0</v>
      </c>
      <c r="G227" s="9">
        <v>2063761.0</v>
      </c>
      <c r="H227" s="9">
        <v>9311932.17</v>
      </c>
      <c r="I227" s="9">
        <v>2764563.0</v>
      </c>
      <c r="J227" s="9">
        <v>2128657.0</v>
      </c>
      <c r="K227" s="9">
        <v>7016990.0</v>
      </c>
      <c r="L227" s="9" t="s">
        <v>59</v>
      </c>
      <c r="M227" s="9" t="s">
        <v>62</v>
      </c>
      <c r="N227" s="9">
        <v>6633171.51</v>
      </c>
      <c r="O227" s="9">
        <v>6434976.34</v>
      </c>
      <c r="P227" s="9">
        <v>297583.33</v>
      </c>
      <c r="Q227" s="9">
        <v>282704.17</v>
      </c>
      <c r="R227" s="9" t="s">
        <v>98</v>
      </c>
      <c r="S227" s="9" t="s">
        <v>82</v>
      </c>
      <c r="T227" s="9" t="s">
        <v>99</v>
      </c>
    </row>
    <row r="228" ht="15.75" customHeight="1">
      <c r="A228" s="9">
        <v>2030739.0</v>
      </c>
      <c r="B228" s="9">
        <v>1947908.0</v>
      </c>
      <c r="C228" s="9">
        <v>30394.0</v>
      </c>
      <c r="D228" s="9" t="s">
        <v>52</v>
      </c>
      <c r="E228" s="9" t="s">
        <v>53</v>
      </c>
      <c r="F228" s="9">
        <v>8735.0</v>
      </c>
      <c r="G228" s="9">
        <v>3147848.0</v>
      </c>
      <c r="H228" s="9">
        <v>2524573.58</v>
      </c>
      <c r="I228" s="9">
        <v>2506125.02</v>
      </c>
      <c r="J228" s="9">
        <v>0.0</v>
      </c>
      <c r="K228" s="9">
        <v>0.0</v>
      </c>
      <c r="L228" s="9" t="s">
        <v>59</v>
      </c>
      <c r="M228" s="9" t="s">
        <v>55</v>
      </c>
      <c r="N228" s="9">
        <v>2436928.48</v>
      </c>
      <c r="O228" s="9">
        <v>2193235.64</v>
      </c>
      <c r="P228" s="9">
        <v>65914.1</v>
      </c>
      <c r="Q228" s="9">
        <v>59322.69</v>
      </c>
      <c r="R228" s="9" t="s">
        <v>94</v>
      </c>
      <c r="S228" s="9" t="s">
        <v>57</v>
      </c>
      <c r="T228" s="9" t="s">
        <v>95</v>
      </c>
    </row>
    <row r="229" ht="15.75" customHeight="1">
      <c r="A229" s="9">
        <v>2030740.0</v>
      </c>
      <c r="B229" s="9">
        <v>5022304.0</v>
      </c>
      <c r="C229" s="9">
        <v>30652.0</v>
      </c>
      <c r="D229" s="9" t="s">
        <v>52</v>
      </c>
      <c r="E229" s="9" t="s">
        <v>53</v>
      </c>
      <c r="F229" s="9">
        <v>32316.0</v>
      </c>
      <c r="G229" s="9">
        <v>5022304.0</v>
      </c>
      <c r="H229" s="9">
        <v>4617463.01</v>
      </c>
      <c r="I229" s="9">
        <v>2009054.8</v>
      </c>
      <c r="J229" s="9">
        <v>0.0</v>
      </c>
      <c r="K229" s="9">
        <v>0.0</v>
      </c>
      <c r="L229" s="9" t="s">
        <v>59</v>
      </c>
      <c r="M229" s="9" t="s">
        <v>55</v>
      </c>
      <c r="N229" s="9">
        <v>4804009.28</v>
      </c>
      <c r="O229" s="9">
        <v>4440680.83</v>
      </c>
      <c r="P229" s="9">
        <v>194494.3</v>
      </c>
      <c r="Q229" s="9">
        <v>179784.64</v>
      </c>
      <c r="R229" s="9" t="s">
        <v>60</v>
      </c>
      <c r="S229" s="9" t="s">
        <v>57</v>
      </c>
      <c r="T229" s="9" t="s">
        <v>61</v>
      </c>
      <c r="V229" s="9">
        <v>5092268.89</v>
      </c>
      <c r="W229" s="9">
        <v>160871.33</v>
      </c>
      <c r="X229" s="9">
        <v>0.0</v>
      </c>
    </row>
    <row r="230" ht="15.75" customHeight="1">
      <c r="A230" s="9">
        <v>2030753.0</v>
      </c>
      <c r="B230" s="9">
        <v>4982879.0</v>
      </c>
      <c r="C230" s="9">
        <v>30741.0</v>
      </c>
      <c r="D230" s="9" t="s">
        <v>52</v>
      </c>
      <c r="E230" s="9" t="s">
        <v>53</v>
      </c>
      <c r="F230" s="9">
        <v>15725.0</v>
      </c>
      <c r="G230" s="9">
        <v>4982879.0</v>
      </c>
      <c r="H230" s="9">
        <v>4982879.0</v>
      </c>
      <c r="I230" s="9">
        <v>4891439.35</v>
      </c>
      <c r="J230" s="9">
        <v>0.0</v>
      </c>
      <c r="K230" s="9">
        <v>0.0</v>
      </c>
      <c r="L230" s="9" t="s">
        <v>69</v>
      </c>
      <c r="M230" s="9" t="s">
        <v>55</v>
      </c>
      <c r="N230" s="9">
        <v>4962507.0</v>
      </c>
      <c r="O230" s="9">
        <v>4752523.9</v>
      </c>
      <c r="P230" s="9">
        <v>222254.0</v>
      </c>
      <c r="Q230" s="9">
        <v>222254.0</v>
      </c>
      <c r="R230" s="9" t="s">
        <v>60</v>
      </c>
      <c r="S230" s="9" t="s">
        <v>57</v>
      </c>
      <c r="T230" s="9" t="s">
        <v>61</v>
      </c>
      <c r="V230" s="9">
        <v>4654610.52</v>
      </c>
      <c r="W230" s="9">
        <v>0.0</v>
      </c>
      <c r="X230" s="9">
        <v>0.0</v>
      </c>
    </row>
    <row r="231" ht="15.75" customHeight="1">
      <c r="A231" s="9">
        <v>2030754.0</v>
      </c>
      <c r="B231" s="9">
        <v>3787219.0</v>
      </c>
      <c r="C231" s="9">
        <v>30753.0</v>
      </c>
      <c r="D231" s="9" t="s">
        <v>52</v>
      </c>
      <c r="E231" s="9" t="s">
        <v>53</v>
      </c>
      <c r="F231" s="9">
        <v>854.0</v>
      </c>
      <c r="G231" s="9">
        <v>3787219.0</v>
      </c>
      <c r="H231" s="9">
        <v>3787219.0</v>
      </c>
      <c r="I231" s="9">
        <v>4016290.99</v>
      </c>
      <c r="J231" s="9">
        <v>0.0</v>
      </c>
      <c r="K231" s="9">
        <v>0.0</v>
      </c>
      <c r="L231" s="9" t="s">
        <v>69</v>
      </c>
      <c r="M231" s="9" t="s">
        <v>55</v>
      </c>
      <c r="N231" s="9">
        <v>336518.0</v>
      </c>
      <c r="O231" s="9">
        <v>3594980.78</v>
      </c>
      <c r="P231" s="9">
        <v>104504.0</v>
      </c>
      <c r="Q231" s="9">
        <v>114954.4</v>
      </c>
      <c r="R231" s="9" t="s">
        <v>60</v>
      </c>
      <c r="S231" s="9" t="s">
        <v>57</v>
      </c>
      <c r="T231" s="9" t="s">
        <v>61</v>
      </c>
      <c r="V231" s="9">
        <v>4654610.52</v>
      </c>
      <c r="W231" s="9">
        <v>232742.7</v>
      </c>
      <c r="X231" s="9">
        <v>0.0</v>
      </c>
    </row>
    <row r="232" ht="15.75" customHeight="1">
      <c r="A232" s="9">
        <v>2030771.0</v>
      </c>
      <c r="B232" s="9">
        <v>99308.0</v>
      </c>
      <c r="C232" s="9">
        <v>31314.0</v>
      </c>
      <c r="D232" s="9" t="s">
        <v>52</v>
      </c>
      <c r="E232" s="9" t="s">
        <v>53</v>
      </c>
      <c r="F232" s="9">
        <v>19974.0</v>
      </c>
      <c r="G232" s="9">
        <v>166388.0</v>
      </c>
      <c r="H232" s="9">
        <v>166388.0</v>
      </c>
      <c r="I232" s="9">
        <v>0.0</v>
      </c>
      <c r="J232" s="9">
        <v>0.0</v>
      </c>
      <c r="K232" s="9">
        <v>0.0</v>
      </c>
      <c r="L232" s="9" t="s">
        <v>69</v>
      </c>
      <c r="M232" s="9" t="s">
        <v>55</v>
      </c>
      <c r="R232" s="9" t="s">
        <v>60</v>
      </c>
      <c r="S232" s="9" t="s">
        <v>57</v>
      </c>
      <c r="T232" s="9" t="s">
        <v>61</v>
      </c>
      <c r="V232" s="9">
        <v>157564.1</v>
      </c>
      <c r="W232" s="9">
        <v>0.0</v>
      </c>
      <c r="X232" s="9">
        <v>0.0</v>
      </c>
    </row>
    <row r="233" ht="15.75" customHeight="1">
      <c r="A233" s="9">
        <v>2031490.0</v>
      </c>
      <c r="B233" s="9">
        <v>122469.0</v>
      </c>
      <c r="C233" s="9">
        <v>31188.0</v>
      </c>
      <c r="D233" s="9" t="s">
        <v>52</v>
      </c>
      <c r="E233" s="9" t="s">
        <v>53</v>
      </c>
      <c r="F233" s="9">
        <v>27277.0</v>
      </c>
      <c r="G233" s="9">
        <v>122469.0</v>
      </c>
      <c r="H233" s="9">
        <v>122469.0</v>
      </c>
      <c r="I233" s="9">
        <v>7000.0</v>
      </c>
      <c r="J233" s="9">
        <v>0.0</v>
      </c>
      <c r="K233" s="9">
        <v>0.0</v>
      </c>
      <c r="L233" s="9" t="s">
        <v>59</v>
      </c>
      <c r="M233" s="9" t="s">
        <v>55</v>
      </c>
      <c r="R233" s="9" t="s">
        <v>60</v>
      </c>
      <c r="S233" s="9" t="s">
        <v>57</v>
      </c>
      <c r="T233" s="9" t="s">
        <v>61</v>
      </c>
      <c r="V233" s="9">
        <v>168872.14</v>
      </c>
      <c r="W233" s="9">
        <v>0.0</v>
      </c>
      <c r="X233" s="9">
        <v>0.0</v>
      </c>
    </row>
    <row r="234" ht="15.75" customHeight="1">
      <c r="A234" s="9">
        <v>2031689.0</v>
      </c>
      <c r="B234" s="9">
        <v>7903583.0</v>
      </c>
      <c r="C234" s="9">
        <v>39375.0</v>
      </c>
      <c r="D234" s="9" t="s">
        <v>52</v>
      </c>
      <c r="E234" s="9" t="s">
        <v>53</v>
      </c>
      <c r="F234" s="9">
        <v>29120.0</v>
      </c>
      <c r="G234" s="9">
        <v>1.002806163E7</v>
      </c>
      <c r="H234" s="9">
        <v>8210404.13</v>
      </c>
      <c r="I234" s="9">
        <v>8205451.57</v>
      </c>
      <c r="J234" s="9">
        <v>0.0</v>
      </c>
      <c r="K234" s="9">
        <v>0.0</v>
      </c>
      <c r="L234" s="9" t="s">
        <v>69</v>
      </c>
      <c r="M234" s="9" t="s">
        <v>74</v>
      </c>
      <c r="N234" s="9">
        <v>241591.82</v>
      </c>
      <c r="O234" s="9">
        <v>241591.82</v>
      </c>
      <c r="R234" s="9" t="s">
        <v>85</v>
      </c>
      <c r="S234" s="9" t="s">
        <v>67</v>
      </c>
      <c r="T234" s="9" t="s">
        <v>86</v>
      </c>
    </row>
    <row r="235" ht="15.75" customHeight="1">
      <c r="A235" s="9">
        <v>2031690.0</v>
      </c>
      <c r="B235" s="9">
        <v>1.1257528E7</v>
      </c>
      <c r="C235" s="9">
        <v>30756.0</v>
      </c>
      <c r="D235" s="9" t="s">
        <v>52</v>
      </c>
      <c r="E235" s="9" t="s">
        <v>53</v>
      </c>
      <c r="F235" s="9">
        <v>333.0</v>
      </c>
      <c r="G235" s="9">
        <v>1.1257528E7</v>
      </c>
      <c r="H235" s="9">
        <v>1.280221967E7</v>
      </c>
      <c r="I235" s="9">
        <v>1.275002067E7</v>
      </c>
      <c r="J235" s="9">
        <v>0.0</v>
      </c>
      <c r="K235" s="9">
        <v>0.0</v>
      </c>
      <c r="L235" s="9" t="s">
        <v>59</v>
      </c>
      <c r="M235" s="9" t="s">
        <v>55</v>
      </c>
      <c r="N235" s="9">
        <v>1.0213679E7</v>
      </c>
      <c r="O235" s="9">
        <v>1617080.0</v>
      </c>
      <c r="P235" s="9">
        <v>274925.7</v>
      </c>
      <c r="Q235" s="9">
        <v>247433.13</v>
      </c>
      <c r="R235" s="9" t="s">
        <v>60</v>
      </c>
      <c r="S235" s="9" t="s">
        <v>57</v>
      </c>
      <c r="T235" s="9" t="s">
        <v>61</v>
      </c>
      <c r="V235" s="9">
        <v>1.092623154E7</v>
      </c>
      <c r="W235" s="9">
        <v>0.0</v>
      </c>
      <c r="X235" s="9">
        <v>0.0</v>
      </c>
    </row>
    <row r="236" ht="15.75" customHeight="1">
      <c r="A236" s="9">
        <v>2031825.0</v>
      </c>
      <c r="B236" s="9">
        <v>1006528.0</v>
      </c>
      <c r="C236" s="9">
        <v>31311.0</v>
      </c>
      <c r="D236" s="9" t="s">
        <v>52</v>
      </c>
      <c r="E236" s="9" t="s">
        <v>53</v>
      </c>
      <c r="F236" s="9">
        <v>34982.0</v>
      </c>
      <c r="G236" s="9">
        <v>1006528.0</v>
      </c>
      <c r="H236" s="9">
        <v>1006528.0</v>
      </c>
      <c r="I236" s="9">
        <v>0.0</v>
      </c>
      <c r="J236" s="9">
        <v>0.0</v>
      </c>
      <c r="K236" s="9">
        <v>0.0</v>
      </c>
      <c r="L236" s="9" t="s">
        <v>69</v>
      </c>
      <c r="M236" s="9" t="s">
        <v>55</v>
      </c>
      <c r="R236" s="9" t="s">
        <v>56</v>
      </c>
      <c r="S236" s="9" t="s">
        <v>57</v>
      </c>
      <c r="T236" s="9" t="s">
        <v>58</v>
      </c>
      <c r="V236" s="9">
        <v>813902.81</v>
      </c>
      <c r="W236" s="9">
        <v>0.0</v>
      </c>
      <c r="X236" s="9">
        <v>0.0</v>
      </c>
    </row>
    <row r="237" ht="15.75" customHeight="1">
      <c r="A237" s="9">
        <v>2033997.0</v>
      </c>
      <c r="B237" s="9">
        <v>241691.0</v>
      </c>
      <c r="C237" s="9">
        <v>30217.0</v>
      </c>
      <c r="D237" s="9" t="s">
        <v>52</v>
      </c>
      <c r="E237" s="9" t="s">
        <v>53</v>
      </c>
      <c r="F237" s="9">
        <v>35009.0</v>
      </c>
      <c r="G237" s="9">
        <v>241691.0</v>
      </c>
      <c r="H237" s="9">
        <v>241691.0</v>
      </c>
      <c r="I237" s="9">
        <v>241618.98</v>
      </c>
      <c r="J237" s="9">
        <v>0.0</v>
      </c>
      <c r="K237" s="9">
        <v>0.0</v>
      </c>
      <c r="L237" s="9" t="s">
        <v>69</v>
      </c>
      <c r="M237" s="9" t="s">
        <v>55</v>
      </c>
      <c r="N237" s="9">
        <v>241691.0</v>
      </c>
      <c r="O237" s="9">
        <v>241619.0</v>
      </c>
      <c r="R237" s="9" t="s">
        <v>60</v>
      </c>
      <c r="S237" s="9" t="s">
        <v>57</v>
      </c>
      <c r="T237" s="9" t="s">
        <v>61</v>
      </c>
      <c r="V237" s="9">
        <v>241619.0</v>
      </c>
      <c r="W237" s="9">
        <v>0.0</v>
      </c>
      <c r="X237" s="9">
        <v>0.0</v>
      </c>
    </row>
    <row r="238" ht="15.75" customHeight="1">
      <c r="A238" s="9">
        <v>2036188.0</v>
      </c>
      <c r="B238" s="9">
        <v>326039.0</v>
      </c>
      <c r="C238" s="9">
        <v>30746.0</v>
      </c>
      <c r="D238" s="9" t="s">
        <v>52</v>
      </c>
      <c r="E238" s="9" t="s">
        <v>53</v>
      </c>
      <c r="F238" s="9">
        <v>34179.0</v>
      </c>
      <c r="G238" s="9">
        <v>326039.0</v>
      </c>
      <c r="H238" s="9">
        <v>326039.0</v>
      </c>
      <c r="I238" s="9">
        <v>361175.45</v>
      </c>
      <c r="J238" s="9">
        <v>0.0</v>
      </c>
      <c r="K238" s="9">
        <v>0.0</v>
      </c>
      <c r="L238" s="9" t="s">
        <v>69</v>
      </c>
      <c r="M238" s="9" t="s">
        <v>55</v>
      </c>
      <c r="N238" s="9">
        <v>319729.0</v>
      </c>
      <c r="O238" s="9">
        <v>351697.09</v>
      </c>
      <c r="R238" s="9" t="s">
        <v>60</v>
      </c>
      <c r="S238" s="9" t="s">
        <v>57</v>
      </c>
      <c r="T238" s="9" t="s">
        <v>61</v>
      </c>
      <c r="V238" s="9">
        <v>351775.45</v>
      </c>
      <c r="W238" s="9">
        <v>0.0</v>
      </c>
      <c r="X238" s="9">
        <v>0.0</v>
      </c>
    </row>
    <row r="239" ht="15.75" customHeight="1">
      <c r="A239" s="9">
        <v>2036255.0</v>
      </c>
      <c r="B239" s="9">
        <v>718269.0</v>
      </c>
      <c r="C239" s="9">
        <v>29963.0</v>
      </c>
      <c r="D239" s="9" t="s">
        <v>52</v>
      </c>
      <c r="E239" s="9" t="s">
        <v>53</v>
      </c>
      <c r="F239" s="9">
        <v>30414.0</v>
      </c>
      <c r="G239" s="9">
        <v>718269.0</v>
      </c>
      <c r="H239" s="9">
        <v>718269.0</v>
      </c>
      <c r="I239" s="9">
        <v>125263.0</v>
      </c>
      <c r="J239" s="9">
        <v>0.0</v>
      </c>
      <c r="K239" s="9">
        <v>0.0</v>
      </c>
      <c r="L239" s="9" t="s">
        <v>69</v>
      </c>
      <c r="M239" s="9" t="s">
        <v>55</v>
      </c>
      <c r="N239" s="9">
        <v>789990.59</v>
      </c>
      <c r="O239" s="9">
        <v>710991.54</v>
      </c>
      <c r="P239" s="9">
        <v>20573.93</v>
      </c>
      <c r="Q239" s="9">
        <v>0.0</v>
      </c>
      <c r="R239" s="9" t="s">
        <v>60</v>
      </c>
      <c r="S239" s="9" t="s">
        <v>57</v>
      </c>
      <c r="T239" s="9" t="s">
        <v>61</v>
      </c>
      <c r="V239" s="9">
        <v>815680.61</v>
      </c>
      <c r="W239" s="9">
        <v>0.0</v>
      </c>
      <c r="X239" s="9">
        <v>0.0</v>
      </c>
    </row>
    <row r="240" ht="15.75" customHeight="1">
      <c r="A240" s="9">
        <v>2037156.0</v>
      </c>
      <c r="B240" s="9">
        <v>68962.0</v>
      </c>
      <c r="C240" s="9">
        <v>29939.0</v>
      </c>
      <c r="D240" s="9" t="s">
        <v>52</v>
      </c>
      <c r="E240" s="9" t="s">
        <v>53</v>
      </c>
      <c r="F240" s="9">
        <v>36430.0</v>
      </c>
      <c r="G240" s="9">
        <v>68962.0</v>
      </c>
      <c r="H240" s="9">
        <v>68962.0</v>
      </c>
      <c r="I240" s="9">
        <v>68961.99</v>
      </c>
      <c r="J240" s="9">
        <v>0.0</v>
      </c>
      <c r="K240" s="9">
        <v>0.0</v>
      </c>
      <c r="L240" s="9" t="s">
        <v>69</v>
      </c>
      <c r="M240" s="9" t="s">
        <v>55</v>
      </c>
      <c r="N240" s="9">
        <v>68962.0</v>
      </c>
      <c r="O240" s="9">
        <v>68962.0</v>
      </c>
      <c r="R240" s="9" t="s">
        <v>60</v>
      </c>
      <c r="S240" s="9" t="s">
        <v>57</v>
      </c>
      <c r="T240" s="9" t="s">
        <v>61</v>
      </c>
      <c r="V240" s="9">
        <v>68961.99</v>
      </c>
      <c r="W240" s="9">
        <v>0.0</v>
      </c>
      <c r="X240" s="9">
        <v>0.0</v>
      </c>
    </row>
    <row r="241" ht="15.75" customHeight="1">
      <c r="A241" s="9">
        <v>2037338.0</v>
      </c>
      <c r="B241" s="9">
        <v>3.5635064E7</v>
      </c>
      <c r="C241" s="9">
        <v>30421.0</v>
      </c>
      <c r="D241" s="9" t="s">
        <v>52</v>
      </c>
      <c r="E241" s="9" t="s">
        <v>53</v>
      </c>
      <c r="F241" s="9">
        <v>37287.0</v>
      </c>
      <c r="G241" s="9">
        <v>4.35251168E7</v>
      </c>
      <c r="H241" s="9">
        <v>4.35251168E7</v>
      </c>
      <c r="I241" s="9">
        <v>4.013048986E7</v>
      </c>
      <c r="J241" s="9">
        <v>0.0</v>
      </c>
      <c r="K241" s="9">
        <v>0.0</v>
      </c>
      <c r="L241" s="9" t="s">
        <v>59</v>
      </c>
      <c r="M241" s="9" t="s">
        <v>55</v>
      </c>
      <c r="N241" s="9">
        <v>3.40937208E7</v>
      </c>
      <c r="O241" s="9">
        <v>3.362067092E7</v>
      </c>
      <c r="P241" s="9">
        <v>1110433.2</v>
      </c>
      <c r="Q241" s="9">
        <v>1110000.0</v>
      </c>
      <c r="R241" s="9" t="s">
        <v>72</v>
      </c>
      <c r="S241" s="9" t="s">
        <v>57</v>
      </c>
      <c r="T241" s="9" t="s">
        <v>73</v>
      </c>
      <c r="V241" s="9">
        <v>4.062587506E7</v>
      </c>
      <c r="W241" s="9">
        <v>1429243.0</v>
      </c>
      <c r="X241" s="9">
        <v>0.0</v>
      </c>
    </row>
    <row r="242" ht="15.75" customHeight="1">
      <c r="A242" s="9">
        <v>2038460.0</v>
      </c>
      <c r="B242" s="9">
        <v>1275265.0</v>
      </c>
      <c r="C242" s="9">
        <v>29861.0</v>
      </c>
      <c r="D242" s="9" t="s">
        <v>52</v>
      </c>
      <c r="E242" s="9" t="s">
        <v>53</v>
      </c>
      <c r="F242" s="9">
        <v>32595.0</v>
      </c>
      <c r="G242" s="9">
        <v>1275265.0</v>
      </c>
      <c r="H242" s="9">
        <v>1275265.0</v>
      </c>
      <c r="I242" s="9">
        <v>0.0</v>
      </c>
      <c r="J242" s="9">
        <v>0.0</v>
      </c>
      <c r="K242" s="9">
        <v>0.0</v>
      </c>
      <c r="L242" s="9" t="s">
        <v>54</v>
      </c>
      <c r="M242" s="9" t="s">
        <v>55</v>
      </c>
      <c r="N242" s="9">
        <v>531391.01</v>
      </c>
      <c r="O242" s="9">
        <v>531391.01</v>
      </c>
      <c r="P242" s="9">
        <v>18000.0</v>
      </c>
      <c r="Q242" s="9">
        <v>18000.0</v>
      </c>
      <c r="R242" s="9" t="s">
        <v>56</v>
      </c>
      <c r="S242" s="9" t="s">
        <v>57</v>
      </c>
      <c r="T242" s="9" t="s">
        <v>58</v>
      </c>
      <c r="V242" s="9">
        <v>531391.01</v>
      </c>
      <c r="W242" s="9">
        <v>0.0</v>
      </c>
      <c r="X242" s="9">
        <v>0.0</v>
      </c>
    </row>
    <row r="243" ht="15.75" customHeight="1">
      <c r="A243" s="9">
        <v>2038577.0</v>
      </c>
      <c r="B243" s="9">
        <v>219274.0</v>
      </c>
      <c r="C243" s="9">
        <v>31141.0</v>
      </c>
      <c r="D243" s="9" t="s">
        <v>52</v>
      </c>
      <c r="E243" s="9" t="s">
        <v>53</v>
      </c>
      <c r="F243" s="9">
        <v>23984.0</v>
      </c>
      <c r="G243" s="9">
        <v>219274.0</v>
      </c>
      <c r="H243" s="9">
        <v>219274.0</v>
      </c>
      <c r="I243" s="9">
        <v>201004.36</v>
      </c>
      <c r="J243" s="9">
        <v>0.0</v>
      </c>
      <c r="K243" s="9">
        <v>0.0</v>
      </c>
      <c r="L243" s="9" t="s">
        <v>59</v>
      </c>
      <c r="M243" s="9" t="s">
        <v>55</v>
      </c>
      <c r="R243" s="9" t="s">
        <v>60</v>
      </c>
      <c r="S243" s="9" t="s">
        <v>57</v>
      </c>
      <c r="T243" s="9" t="s">
        <v>61</v>
      </c>
      <c r="V243" s="9">
        <v>199889.08</v>
      </c>
      <c r="W243" s="9">
        <v>0.0</v>
      </c>
      <c r="X243" s="9">
        <v>0.0</v>
      </c>
    </row>
    <row r="244" ht="15.75" customHeight="1">
      <c r="A244" s="9">
        <v>2030566.0</v>
      </c>
      <c r="B244" s="9">
        <v>1462447.0</v>
      </c>
      <c r="C244" s="9">
        <v>30730.0</v>
      </c>
      <c r="D244" s="9" t="s">
        <v>52</v>
      </c>
      <c r="E244" s="9" t="s">
        <v>53</v>
      </c>
      <c r="F244" s="9">
        <v>35372.0</v>
      </c>
      <c r="G244" s="9">
        <v>2280188.0</v>
      </c>
      <c r="H244" s="9">
        <v>2280188.0</v>
      </c>
      <c r="I244" s="9">
        <v>1323174.28</v>
      </c>
      <c r="J244" s="9">
        <v>0.0</v>
      </c>
      <c r="K244" s="9">
        <v>0.0</v>
      </c>
      <c r="L244" s="9" t="s">
        <v>59</v>
      </c>
      <c r="M244" s="9" t="s">
        <v>55</v>
      </c>
      <c r="N244" s="9">
        <v>1382651.54</v>
      </c>
      <c r="O244" s="9">
        <v>1244386.39</v>
      </c>
      <c r="R244" s="9" t="s">
        <v>56</v>
      </c>
      <c r="S244" s="9" t="s">
        <v>57</v>
      </c>
      <c r="T244" s="9" t="s">
        <v>58</v>
      </c>
      <c r="V244" s="9">
        <v>1345976.25</v>
      </c>
      <c r="W244" s="9">
        <v>0.0</v>
      </c>
      <c r="X244" s="9">
        <v>0.0</v>
      </c>
    </row>
    <row r="245" ht="15.75" customHeight="1">
      <c r="A245" s="9">
        <v>2030577.0</v>
      </c>
      <c r="B245" s="9">
        <v>1270988.0</v>
      </c>
      <c r="C245" s="9">
        <v>31178.0</v>
      </c>
      <c r="D245" s="9" t="s">
        <v>52</v>
      </c>
      <c r="E245" s="9" t="s">
        <v>53</v>
      </c>
      <c r="F245" s="9">
        <v>28947.0</v>
      </c>
      <c r="G245" s="9">
        <v>2307512.0</v>
      </c>
      <c r="H245" s="9">
        <v>2307512.0</v>
      </c>
      <c r="I245" s="9">
        <v>382284.58</v>
      </c>
      <c r="J245" s="9">
        <v>0.0</v>
      </c>
      <c r="K245" s="9">
        <v>0.0</v>
      </c>
      <c r="L245" s="9" t="s">
        <v>54</v>
      </c>
      <c r="M245" s="9" t="s">
        <v>55</v>
      </c>
      <c r="R245" s="9" t="s">
        <v>60</v>
      </c>
      <c r="S245" s="9" t="s">
        <v>57</v>
      </c>
      <c r="T245" s="9" t="s">
        <v>61</v>
      </c>
      <c r="V245" s="9">
        <v>1780944.83</v>
      </c>
      <c r="W245" s="9">
        <v>0.0</v>
      </c>
      <c r="X245" s="9">
        <v>0.0</v>
      </c>
    </row>
    <row r="246" ht="15.75" customHeight="1">
      <c r="A246" s="9">
        <v>2030584.0</v>
      </c>
      <c r="B246" s="9">
        <v>1712257.0</v>
      </c>
      <c r="C246" s="9">
        <v>30318.0</v>
      </c>
      <c r="D246" s="9" t="s">
        <v>52</v>
      </c>
      <c r="E246" s="9" t="s">
        <v>53</v>
      </c>
      <c r="F246" s="9">
        <v>35671.0</v>
      </c>
      <c r="G246" s="9">
        <v>1555748.0</v>
      </c>
      <c r="H246" s="9">
        <v>1555748.0</v>
      </c>
      <c r="I246" s="9">
        <v>1400170.7</v>
      </c>
      <c r="J246" s="9">
        <v>0.0</v>
      </c>
      <c r="K246" s="9">
        <v>0.0</v>
      </c>
      <c r="L246" s="9" t="s">
        <v>69</v>
      </c>
      <c r="M246" s="9" t="s">
        <v>55</v>
      </c>
      <c r="N246" s="9">
        <v>1481665.22</v>
      </c>
      <c r="O246" s="9">
        <v>1333498.7</v>
      </c>
      <c r="P246" s="9">
        <v>74083.26</v>
      </c>
      <c r="Q246" s="9">
        <v>66674.94</v>
      </c>
      <c r="R246" s="9" t="s">
        <v>60</v>
      </c>
      <c r="S246" s="9" t="s">
        <v>57</v>
      </c>
      <c r="T246" s="9" t="s">
        <v>61</v>
      </c>
      <c r="V246" s="9">
        <v>1333498.7</v>
      </c>
      <c r="W246" s="9">
        <v>66674.94</v>
      </c>
      <c r="X246" s="9">
        <v>0.0</v>
      </c>
    </row>
    <row r="247" ht="15.75" customHeight="1">
      <c r="A247" s="9">
        <v>2030709.0</v>
      </c>
      <c r="B247" s="9">
        <v>471740.0</v>
      </c>
      <c r="C247" s="9">
        <v>30148.0</v>
      </c>
      <c r="D247" s="9" t="s">
        <v>52</v>
      </c>
      <c r="E247" s="9" t="s">
        <v>53</v>
      </c>
      <c r="F247" s="9">
        <v>30444.0</v>
      </c>
      <c r="G247" s="9">
        <v>471740.0</v>
      </c>
      <c r="H247" s="9">
        <v>471740.0</v>
      </c>
      <c r="I247" s="9">
        <v>0.0</v>
      </c>
      <c r="J247" s="9">
        <v>0.0</v>
      </c>
      <c r="K247" s="9">
        <v>0.0</v>
      </c>
      <c r="L247" s="9" t="s">
        <v>54</v>
      </c>
      <c r="M247" s="9" t="s">
        <v>55</v>
      </c>
      <c r="N247" s="9">
        <v>278971.27</v>
      </c>
      <c r="O247" s="9">
        <v>252806.56</v>
      </c>
      <c r="R247" s="9" t="s">
        <v>60</v>
      </c>
      <c r="S247" s="9" t="s">
        <v>57</v>
      </c>
      <c r="T247" s="9" t="s">
        <v>61</v>
      </c>
      <c r="V247" s="9">
        <v>270321.57</v>
      </c>
      <c r="W247" s="9">
        <v>0.0</v>
      </c>
      <c r="X247" s="9">
        <v>0.0</v>
      </c>
    </row>
    <row r="248" ht="15.75" customHeight="1">
      <c r="A248" s="9">
        <v>2030716.0</v>
      </c>
      <c r="B248" s="9">
        <v>395017.0</v>
      </c>
      <c r="C248" s="9">
        <v>31085.0</v>
      </c>
      <c r="D248" s="9" t="s">
        <v>52</v>
      </c>
      <c r="E248" s="9" t="s">
        <v>53</v>
      </c>
      <c r="F248" s="9">
        <v>34905.0</v>
      </c>
      <c r="G248" s="9">
        <v>1036404.0</v>
      </c>
      <c r="H248" s="9">
        <v>1036404.0</v>
      </c>
      <c r="I248" s="9">
        <v>0.0</v>
      </c>
      <c r="J248" s="9">
        <v>0.0</v>
      </c>
      <c r="K248" s="9">
        <v>0.0</v>
      </c>
      <c r="L248" s="9" t="s">
        <v>54</v>
      </c>
      <c r="M248" s="9" t="s">
        <v>55</v>
      </c>
      <c r="R248" s="9" t="s">
        <v>75</v>
      </c>
      <c r="S248" s="9" t="s">
        <v>57</v>
      </c>
      <c r="T248" s="9" t="s">
        <v>76</v>
      </c>
    </row>
    <row r="249" ht="15.75" customHeight="1">
      <c r="A249" s="9">
        <v>2030727.0</v>
      </c>
      <c r="B249" s="9">
        <v>756973.0</v>
      </c>
      <c r="C249" s="9">
        <v>30320.0</v>
      </c>
      <c r="D249" s="9" t="s">
        <v>52</v>
      </c>
      <c r="E249" s="9" t="s">
        <v>53</v>
      </c>
      <c r="F249" s="9">
        <v>11334.0</v>
      </c>
      <c r="G249" s="9">
        <v>756973.0</v>
      </c>
      <c r="H249" s="9">
        <v>756973.0</v>
      </c>
      <c r="I249" s="9">
        <v>775928.13</v>
      </c>
      <c r="J249" s="9">
        <v>0.0</v>
      </c>
      <c r="K249" s="9">
        <v>0.0</v>
      </c>
      <c r="L249" s="9" t="s">
        <v>69</v>
      </c>
      <c r="M249" s="9" t="s">
        <v>55</v>
      </c>
      <c r="N249" s="9">
        <v>813342.02</v>
      </c>
      <c r="O249" s="9">
        <v>732007.82</v>
      </c>
      <c r="R249" s="9" t="s">
        <v>60</v>
      </c>
      <c r="S249" s="9" t="s">
        <v>57</v>
      </c>
      <c r="T249" s="9" t="s">
        <v>61</v>
      </c>
      <c r="V249" s="9">
        <v>782291.62</v>
      </c>
      <c r="W249" s="9">
        <v>0.0</v>
      </c>
      <c r="X249" s="9">
        <v>0.0</v>
      </c>
    </row>
    <row r="250" ht="15.75" customHeight="1">
      <c r="A250" s="9">
        <v>2030752.0</v>
      </c>
      <c r="B250" s="9">
        <v>5448656.0</v>
      </c>
      <c r="C250" s="9">
        <v>30743.0</v>
      </c>
      <c r="D250" s="9" t="s">
        <v>52</v>
      </c>
      <c r="E250" s="9" t="s">
        <v>53</v>
      </c>
      <c r="F250" s="9">
        <v>1879.0</v>
      </c>
      <c r="G250" s="9">
        <v>5448656.0</v>
      </c>
      <c r="H250" s="9">
        <v>5448656.0</v>
      </c>
      <c r="I250" s="9">
        <v>6842143.25</v>
      </c>
      <c r="J250" s="9">
        <v>0.0</v>
      </c>
      <c r="K250" s="9">
        <v>0.0</v>
      </c>
      <c r="L250" s="9" t="s">
        <v>59</v>
      </c>
      <c r="M250" s="9" t="s">
        <v>55</v>
      </c>
      <c r="N250" s="9">
        <v>4962507.0</v>
      </c>
      <c r="O250" s="9">
        <v>5122783.83</v>
      </c>
      <c r="P250" s="9">
        <v>178085.14</v>
      </c>
      <c r="Q250" s="9">
        <v>160276.63</v>
      </c>
      <c r="R250" s="9" t="s">
        <v>60</v>
      </c>
      <c r="S250" s="9" t="s">
        <v>57</v>
      </c>
      <c r="T250" s="9" t="s">
        <v>61</v>
      </c>
      <c r="V250" s="9">
        <v>5688285.64</v>
      </c>
      <c r="W250" s="9">
        <v>0.0</v>
      </c>
      <c r="X250" s="9">
        <v>0.0</v>
      </c>
    </row>
    <row r="251" ht="15.75" customHeight="1">
      <c r="A251" s="9">
        <v>2030766.0</v>
      </c>
      <c r="B251" s="9">
        <v>47084.0</v>
      </c>
      <c r="C251" s="9">
        <v>31320.0</v>
      </c>
      <c r="D251" s="9" t="s">
        <v>52</v>
      </c>
      <c r="E251" s="9" t="s">
        <v>53</v>
      </c>
      <c r="F251" s="9">
        <v>23558.0</v>
      </c>
      <c r="G251" s="9">
        <v>80186.97</v>
      </c>
      <c r="H251" s="9">
        <v>80186.97</v>
      </c>
      <c r="I251" s="9">
        <v>85582.27</v>
      </c>
      <c r="J251" s="9">
        <v>0.0</v>
      </c>
      <c r="K251" s="9">
        <v>0.0</v>
      </c>
      <c r="L251" s="9" t="s">
        <v>69</v>
      </c>
      <c r="M251" s="9" t="s">
        <v>55</v>
      </c>
      <c r="R251" s="9" t="s">
        <v>60</v>
      </c>
      <c r="S251" s="9" t="s">
        <v>57</v>
      </c>
      <c r="T251" s="9" t="s">
        <v>61</v>
      </c>
      <c r="V251" s="9">
        <v>82619.97</v>
      </c>
      <c r="W251" s="9">
        <v>0.0</v>
      </c>
      <c r="X251" s="9">
        <v>0.0</v>
      </c>
    </row>
    <row r="252" ht="15.75" customHeight="1">
      <c r="A252" s="9">
        <v>2030784.0</v>
      </c>
      <c r="B252" s="9">
        <v>3.0056819E7</v>
      </c>
      <c r="C252" s="9">
        <v>30353.0</v>
      </c>
      <c r="D252" s="9" t="s">
        <v>52</v>
      </c>
      <c r="E252" s="9" t="s">
        <v>53</v>
      </c>
      <c r="F252" s="9">
        <v>16404.0</v>
      </c>
      <c r="G252" s="9">
        <v>3.274949941E7</v>
      </c>
      <c r="H252" s="9">
        <v>3.274949941E7</v>
      </c>
      <c r="I252" s="9">
        <v>3.424297789E7</v>
      </c>
      <c r="J252" s="9">
        <v>0.0</v>
      </c>
      <c r="K252" s="9">
        <v>0.0</v>
      </c>
      <c r="L252" s="9" t="s">
        <v>69</v>
      </c>
      <c r="M252" s="9" t="s">
        <v>55</v>
      </c>
      <c r="N252" s="9">
        <v>3.094095857E7</v>
      </c>
      <c r="O252" s="9">
        <v>3.357094005E7</v>
      </c>
      <c r="P252" s="9">
        <v>3.094095857E7</v>
      </c>
      <c r="Q252" s="9">
        <v>780000.0</v>
      </c>
      <c r="R252" s="9" t="s">
        <v>60</v>
      </c>
      <c r="S252" s="9" t="s">
        <v>57</v>
      </c>
      <c r="T252" s="9" t="s">
        <v>61</v>
      </c>
      <c r="V252" s="9">
        <v>3.168925097E7</v>
      </c>
      <c r="W252" s="9">
        <v>770034.42</v>
      </c>
      <c r="X252" s="9">
        <v>0.0</v>
      </c>
    </row>
    <row r="253" ht="15.75" customHeight="1">
      <c r="A253" s="9">
        <v>2031102.0</v>
      </c>
      <c r="B253" s="9">
        <v>1.3567766E7</v>
      </c>
      <c r="C253" s="9">
        <v>30750.0</v>
      </c>
      <c r="D253" s="9" t="s">
        <v>52</v>
      </c>
      <c r="E253" s="9" t="s">
        <v>53</v>
      </c>
      <c r="F253" s="9">
        <v>714.0</v>
      </c>
      <c r="G253" s="9">
        <v>1.558524516E7</v>
      </c>
      <c r="H253" s="9">
        <v>1.572450977E7</v>
      </c>
      <c r="I253" s="9">
        <v>1.882949259E7</v>
      </c>
      <c r="J253" s="9">
        <v>0.0</v>
      </c>
      <c r="K253" s="9">
        <v>42800.0</v>
      </c>
      <c r="L253" s="9" t="s">
        <v>59</v>
      </c>
      <c r="M253" s="9" t="s">
        <v>55</v>
      </c>
      <c r="N253" s="9">
        <v>1.2901087E7</v>
      </c>
      <c r="O253" s="9">
        <v>1.393254463E7</v>
      </c>
      <c r="P253" s="9">
        <v>555163.56</v>
      </c>
      <c r="Q253" s="9">
        <v>499647.21</v>
      </c>
      <c r="R253" s="9" t="s">
        <v>75</v>
      </c>
      <c r="S253" s="9" t="s">
        <v>57</v>
      </c>
      <c r="T253" s="9" t="s">
        <v>76</v>
      </c>
      <c r="V253" s="9">
        <v>0.0</v>
      </c>
      <c r="W253" s="9">
        <v>534919.11</v>
      </c>
      <c r="X253" s="9">
        <v>0.0</v>
      </c>
    </row>
    <row r="254" ht="15.75" customHeight="1">
      <c r="A254" s="9">
        <v>2033985.0</v>
      </c>
      <c r="B254" s="9">
        <v>3480437.0</v>
      </c>
      <c r="C254" s="9">
        <v>30004.0</v>
      </c>
      <c r="D254" s="9" t="s">
        <v>52</v>
      </c>
      <c r="E254" s="9" t="s">
        <v>53</v>
      </c>
      <c r="F254" s="9">
        <v>33654.0</v>
      </c>
      <c r="G254" s="9">
        <v>3480437.0</v>
      </c>
      <c r="H254" s="9">
        <v>3480437.0</v>
      </c>
      <c r="I254" s="9">
        <v>3242713.03</v>
      </c>
      <c r="J254" s="9">
        <v>0.0</v>
      </c>
      <c r="K254" s="9">
        <v>0.0</v>
      </c>
      <c r="L254" s="9" t="s">
        <v>59</v>
      </c>
      <c r="M254" s="9" t="s">
        <v>55</v>
      </c>
      <c r="N254" s="9">
        <v>3440791.73</v>
      </c>
      <c r="O254" s="9">
        <v>3096712.56</v>
      </c>
      <c r="P254" s="9">
        <v>20950.0</v>
      </c>
      <c r="Q254" s="9">
        <v>18855.0</v>
      </c>
      <c r="R254" s="9" t="s">
        <v>60</v>
      </c>
      <c r="S254" s="9" t="s">
        <v>57</v>
      </c>
      <c r="T254" s="9" t="s">
        <v>61</v>
      </c>
      <c r="V254" s="9">
        <v>3241813.03</v>
      </c>
      <c r="W254" s="9">
        <v>0.0</v>
      </c>
      <c r="X254" s="9">
        <v>0.0</v>
      </c>
    </row>
    <row r="255" ht="15.75" customHeight="1">
      <c r="A255" s="9">
        <v>2035464.0</v>
      </c>
      <c r="B255" s="9">
        <v>1711832.0</v>
      </c>
      <c r="C255" s="9">
        <v>30682.0</v>
      </c>
      <c r="D255" s="9" t="s">
        <v>52</v>
      </c>
      <c r="E255" s="9" t="s">
        <v>53</v>
      </c>
      <c r="F255" s="9">
        <v>35944.0</v>
      </c>
      <c r="G255" s="9">
        <v>1711832.0</v>
      </c>
      <c r="H255" s="9">
        <v>1711832.0</v>
      </c>
      <c r="I255" s="9">
        <v>2746617.13</v>
      </c>
      <c r="J255" s="9">
        <v>0.0</v>
      </c>
      <c r="K255" s="9">
        <v>0.0</v>
      </c>
      <c r="L255" s="9" t="s">
        <v>69</v>
      </c>
      <c r="M255" s="9" t="s">
        <v>55</v>
      </c>
      <c r="N255" s="9">
        <v>2431804.58</v>
      </c>
      <c r="O255" s="9">
        <v>2431803.18</v>
      </c>
      <c r="P255" s="9">
        <v>2431804.58</v>
      </c>
      <c r="Q255" s="9">
        <v>0.0</v>
      </c>
      <c r="R255" s="9" t="s">
        <v>60</v>
      </c>
      <c r="S255" s="9" t="s">
        <v>57</v>
      </c>
      <c r="T255" s="9" t="s">
        <v>61</v>
      </c>
      <c r="V255" s="9">
        <v>2557920.54</v>
      </c>
      <c r="W255" s="9">
        <v>0.0</v>
      </c>
      <c r="X255" s="9">
        <v>0.0</v>
      </c>
    </row>
    <row r="256" ht="15.75" customHeight="1">
      <c r="A256" s="9">
        <v>2036189.0</v>
      </c>
      <c r="B256" s="9">
        <v>478278.0</v>
      </c>
      <c r="C256" s="9">
        <v>30000.0</v>
      </c>
      <c r="D256" s="9" t="s">
        <v>52</v>
      </c>
      <c r="E256" s="9" t="s">
        <v>53</v>
      </c>
      <c r="F256" s="9">
        <v>27906.0</v>
      </c>
      <c r="G256" s="9">
        <v>1092772.0</v>
      </c>
      <c r="H256" s="9">
        <v>1092772.0</v>
      </c>
      <c r="I256" s="9">
        <v>711283.19</v>
      </c>
      <c r="J256" s="9">
        <v>0.0</v>
      </c>
      <c r="K256" s="9">
        <v>0.0</v>
      </c>
      <c r="L256" s="9" t="s">
        <v>59</v>
      </c>
      <c r="M256" s="9" t="s">
        <v>55</v>
      </c>
      <c r="N256" s="9">
        <v>456278.0</v>
      </c>
      <c r="O256" s="9">
        <v>550548.82</v>
      </c>
      <c r="R256" s="9" t="s">
        <v>60</v>
      </c>
      <c r="S256" s="9" t="s">
        <v>57</v>
      </c>
      <c r="T256" s="9" t="s">
        <v>61</v>
      </c>
      <c r="V256" s="9">
        <v>612741.29</v>
      </c>
      <c r="W256" s="9">
        <v>0.0</v>
      </c>
      <c r="X256" s="9">
        <v>0.0</v>
      </c>
    </row>
    <row r="257" ht="15.75" customHeight="1">
      <c r="A257" s="9">
        <v>2036857.0</v>
      </c>
      <c r="B257" s="9">
        <v>324451.0</v>
      </c>
      <c r="C257" s="9">
        <v>30754.0</v>
      </c>
      <c r="D257" s="9" t="s">
        <v>52</v>
      </c>
      <c r="E257" s="9" t="s">
        <v>53</v>
      </c>
      <c r="F257" s="9">
        <v>35419.0</v>
      </c>
      <c r="G257" s="9">
        <v>324451.0</v>
      </c>
      <c r="H257" s="9">
        <v>324451.0</v>
      </c>
      <c r="I257" s="9">
        <v>419990.95</v>
      </c>
      <c r="J257" s="9">
        <v>0.0</v>
      </c>
      <c r="K257" s="9">
        <v>0.0</v>
      </c>
      <c r="L257" s="9" t="s">
        <v>69</v>
      </c>
      <c r="M257" s="9" t="s">
        <v>55</v>
      </c>
      <c r="N257" s="9">
        <v>336518.0</v>
      </c>
      <c r="O257" s="9">
        <v>336518.36</v>
      </c>
      <c r="R257" s="9" t="s">
        <v>60</v>
      </c>
      <c r="S257" s="9" t="s">
        <v>57</v>
      </c>
      <c r="T257" s="9" t="s">
        <v>61</v>
      </c>
      <c r="V257" s="9">
        <v>336829.45</v>
      </c>
      <c r="W257" s="9">
        <v>0.0</v>
      </c>
      <c r="X257" s="9">
        <v>0.0</v>
      </c>
    </row>
    <row r="258" ht="15.75" customHeight="1">
      <c r="A258" s="9">
        <v>2037018.0</v>
      </c>
      <c r="B258" s="9">
        <v>551194.0</v>
      </c>
      <c r="C258" s="9">
        <v>31166.0</v>
      </c>
      <c r="D258" s="9" t="s">
        <v>52</v>
      </c>
      <c r="E258" s="9" t="s">
        <v>53</v>
      </c>
      <c r="F258" s="9">
        <v>29065.0</v>
      </c>
      <c r="G258" s="9">
        <v>551194.0</v>
      </c>
      <c r="H258" s="9">
        <v>551194.0</v>
      </c>
      <c r="I258" s="9">
        <v>661731.29</v>
      </c>
      <c r="J258" s="9">
        <v>0.0</v>
      </c>
      <c r="K258" s="9">
        <v>0.0</v>
      </c>
      <c r="L258" s="9" t="s">
        <v>59</v>
      </c>
      <c r="M258" s="9" t="s">
        <v>55</v>
      </c>
      <c r="R258" s="9" t="s">
        <v>60</v>
      </c>
      <c r="S258" s="9" t="s">
        <v>57</v>
      </c>
      <c r="T258" s="9" t="s">
        <v>61</v>
      </c>
      <c r="V258" s="9">
        <v>662284.8</v>
      </c>
      <c r="W258" s="9">
        <v>0.0</v>
      </c>
      <c r="X258" s="9">
        <v>0.0</v>
      </c>
    </row>
    <row r="259" ht="15.75" customHeight="1">
      <c r="A259" s="9">
        <v>2037325.0</v>
      </c>
      <c r="B259" s="9">
        <v>2.9164589E7</v>
      </c>
      <c r="C259" s="9">
        <v>30409.0</v>
      </c>
      <c r="D259" s="9" t="s">
        <v>52</v>
      </c>
      <c r="E259" s="9" t="s">
        <v>53</v>
      </c>
      <c r="F259" s="9">
        <v>37336.0</v>
      </c>
      <c r="G259" s="9">
        <v>3.507249328E7</v>
      </c>
      <c r="H259" s="9">
        <v>3.777706996E7</v>
      </c>
      <c r="I259" s="9">
        <v>1.784899712E7</v>
      </c>
      <c r="J259" s="9">
        <v>0.0</v>
      </c>
      <c r="K259" s="9">
        <v>0.0</v>
      </c>
      <c r="L259" s="9" t="s">
        <v>59</v>
      </c>
      <c r="M259" s="9" t="s">
        <v>55</v>
      </c>
      <c r="N259" s="9">
        <v>3.356763927E7</v>
      </c>
      <c r="O259" s="9">
        <v>3.17753363E7</v>
      </c>
      <c r="P259" s="9">
        <v>848654.04</v>
      </c>
      <c r="Q259" s="9">
        <v>736788.64</v>
      </c>
      <c r="R259" s="9" t="s">
        <v>94</v>
      </c>
      <c r="S259" s="9" t="s">
        <v>57</v>
      </c>
      <c r="T259" s="9" t="s">
        <v>95</v>
      </c>
    </row>
    <row r="260" ht="15.75" customHeight="1">
      <c r="A260" s="9">
        <v>2037618.0</v>
      </c>
      <c r="B260" s="9">
        <v>1.0375015E7</v>
      </c>
      <c r="C260" s="9">
        <v>29654.0</v>
      </c>
      <c r="D260" s="9" t="s">
        <v>52</v>
      </c>
      <c r="E260" s="9" t="s">
        <v>53</v>
      </c>
      <c r="F260" s="9">
        <v>30876.0</v>
      </c>
      <c r="G260" s="9">
        <v>1.0375015E7</v>
      </c>
      <c r="H260" s="9">
        <v>1.0375015E7</v>
      </c>
      <c r="I260" s="9">
        <v>989104.97</v>
      </c>
      <c r="J260" s="9">
        <v>0.0</v>
      </c>
      <c r="K260" s="9">
        <v>0.0</v>
      </c>
      <c r="L260" s="9" t="s">
        <v>69</v>
      </c>
      <c r="M260" s="9" t="s">
        <v>65</v>
      </c>
      <c r="N260" s="9">
        <v>500000.0</v>
      </c>
      <c r="O260" s="9">
        <v>475000.0</v>
      </c>
      <c r="R260" s="9" t="s">
        <v>60</v>
      </c>
      <c r="S260" s="9" t="s">
        <v>57</v>
      </c>
      <c r="T260" s="9" t="s">
        <v>61</v>
      </c>
    </row>
    <row r="261" ht="15.75" customHeight="1">
      <c r="A261" s="9">
        <v>2039022.0</v>
      </c>
      <c r="B261" s="9">
        <v>2.2241486E7</v>
      </c>
      <c r="C261" s="9">
        <v>30339.0</v>
      </c>
      <c r="D261" s="9" t="s">
        <v>52</v>
      </c>
      <c r="E261" s="9" t="s">
        <v>53</v>
      </c>
      <c r="F261" s="9">
        <v>16360.0</v>
      </c>
      <c r="G261" s="9">
        <v>2.534576936E7</v>
      </c>
      <c r="H261" s="9">
        <v>2.534576936E7</v>
      </c>
      <c r="I261" s="9">
        <v>2.39977315E7</v>
      </c>
      <c r="J261" s="9">
        <v>0.0</v>
      </c>
      <c r="K261" s="9">
        <v>0.0</v>
      </c>
      <c r="L261" s="9" t="s">
        <v>59</v>
      </c>
      <c r="M261" s="9" t="s">
        <v>55</v>
      </c>
      <c r="N261" s="9">
        <v>2.109307776E7</v>
      </c>
      <c r="O261" s="9">
        <v>2.108807976E7</v>
      </c>
      <c r="P261" s="9">
        <v>1148408.24</v>
      </c>
      <c r="Q261" s="9">
        <v>1148407.0</v>
      </c>
      <c r="R261" s="9" t="s">
        <v>60</v>
      </c>
      <c r="S261" s="9" t="s">
        <v>57</v>
      </c>
      <c r="T261" s="9" t="s">
        <v>61</v>
      </c>
      <c r="V261" s="9">
        <v>2.2728166E7</v>
      </c>
      <c r="W261" s="9">
        <v>1148407.0</v>
      </c>
      <c r="X261" s="9">
        <v>0.0</v>
      </c>
    </row>
    <row r="262" ht="15.75" customHeight="1">
      <c r="A262" s="9">
        <v>2039658.0</v>
      </c>
      <c r="B262" s="9">
        <v>87645.0</v>
      </c>
      <c r="C262" s="9">
        <v>30220.0</v>
      </c>
      <c r="D262" s="9" t="s">
        <v>52</v>
      </c>
      <c r="E262" s="9" t="s">
        <v>53</v>
      </c>
      <c r="F262" s="9">
        <v>39045.0</v>
      </c>
      <c r="G262" s="9">
        <v>87645.0</v>
      </c>
      <c r="H262" s="9">
        <v>87645.0</v>
      </c>
      <c r="I262" s="9">
        <v>0.0</v>
      </c>
      <c r="J262" s="9">
        <v>0.0</v>
      </c>
      <c r="K262" s="9">
        <v>0.0</v>
      </c>
      <c r="L262" s="9" t="s">
        <v>54</v>
      </c>
      <c r="M262" s="9" t="s">
        <v>55</v>
      </c>
      <c r="N262" s="9">
        <v>96440.94</v>
      </c>
      <c r="O262" s="9">
        <v>93946.78</v>
      </c>
      <c r="R262" s="9" t="s">
        <v>60</v>
      </c>
      <c r="S262" s="9" t="s">
        <v>57</v>
      </c>
      <c r="T262" s="9" t="s">
        <v>61</v>
      </c>
      <c r="V262" s="9">
        <v>99110.16</v>
      </c>
      <c r="W262" s="9">
        <v>0.0</v>
      </c>
      <c r="X262" s="9">
        <v>0.0</v>
      </c>
    </row>
    <row r="263" ht="15.75" customHeight="1">
      <c r="A263" s="9">
        <v>2041037.0</v>
      </c>
      <c r="B263" s="9">
        <v>42007.0</v>
      </c>
      <c r="C263" s="9">
        <v>31198.0</v>
      </c>
      <c r="D263" s="9" t="s">
        <v>52</v>
      </c>
      <c r="E263" s="9" t="s">
        <v>53</v>
      </c>
      <c r="F263" s="9">
        <v>43876.0</v>
      </c>
      <c r="G263" s="9">
        <v>42007.0</v>
      </c>
      <c r="H263" s="9">
        <v>42007.0</v>
      </c>
      <c r="I263" s="9">
        <v>0.0</v>
      </c>
      <c r="J263" s="9">
        <v>0.0</v>
      </c>
      <c r="K263" s="9">
        <v>0.0</v>
      </c>
      <c r="L263" s="9" t="s">
        <v>54</v>
      </c>
      <c r="M263" s="9" t="s">
        <v>55</v>
      </c>
      <c r="R263" s="9" t="s">
        <v>60</v>
      </c>
      <c r="S263" s="9" t="s">
        <v>57</v>
      </c>
      <c r="T263" s="9" t="s">
        <v>61</v>
      </c>
      <c r="V263" s="9">
        <v>42007.0</v>
      </c>
      <c r="W263" s="9">
        <v>0.0</v>
      </c>
      <c r="X263" s="9">
        <v>0.0</v>
      </c>
    </row>
    <row r="264" ht="15.75" customHeight="1">
      <c r="A264" s="9">
        <v>2041287.0</v>
      </c>
      <c r="B264" s="9">
        <v>187868.0</v>
      </c>
      <c r="C264" s="9">
        <v>30001.0</v>
      </c>
      <c r="D264" s="9" t="s">
        <v>52</v>
      </c>
      <c r="E264" s="9" t="s">
        <v>53</v>
      </c>
      <c r="F264" s="9">
        <v>42775.0</v>
      </c>
      <c r="G264" s="9">
        <v>187868.0</v>
      </c>
      <c r="H264" s="9">
        <v>187868.0</v>
      </c>
      <c r="I264" s="9">
        <v>146488.71</v>
      </c>
      <c r="J264" s="9">
        <v>0.0</v>
      </c>
      <c r="K264" s="9">
        <v>0.0</v>
      </c>
      <c r="L264" s="9" t="s">
        <v>59</v>
      </c>
      <c r="M264" s="9" t="s">
        <v>55</v>
      </c>
      <c r="N264" s="9">
        <v>162642.23</v>
      </c>
      <c r="O264" s="9">
        <v>162642.23</v>
      </c>
      <c r="R264" s="9" t="s">
        <v>60</v>
      </c>
      <c r="S264" s="9" t="s">
        <v>57</v>
      </c>
      <c r="T264" s="9" t="s">
        <v>61</v>
      </c>
      <c r="V264" s="9">
        <v>146378.01</v>
      </c>
      <c r="W264" s="9">
        <v>0.0</v>
      </c>
      <c r="X264" s="9">
        <v>0.0</v>
      </c>
    </row>
    <row r="265" ht="15.75" customHeight="1">
      <c r="A265" s="9">
        <v>2044045.0</v>
      </c>
      <c r="B265" s="9">
        <v>1099546.0</v>
      </c>
      <c r="C265" s="9">
        <v>30335.0</v>
      </c>
      <c r="D265" s="9" t="s">
        <v>52</v>
      </c>
      <c r="E265" s="9" t="s">
        <v>53</v>
      </c>
      <c r="F265" s="9">
        <v>48832.0</v>
      </c>
      <c r="G265" s="9">
        <v>1099546.0</v>
      </c>
      <c r="H265" s="9">
        <v>1099546.0</v>
      </c>
      <c r="I265" s="9">
        <v>0.0</v>
      </c>
      <c r="J265" s="9">
        <v>0.0</v>
      </c>
      <c r="K265" s="9">
        <v>0.0</v>
      </c>
      <c r="L265" s="9" t="s">
        <v>54</v>
      </c>
      <c r="M265" s="9" t="s">
        <v>55</v>
      </c>
      <c r="N265" s="9">
        <v>1006777.0</v>
      </c>
      <c r="O265" s="9">
        <v>906099.21</v>
      </c>
      <c r="R265" s="9" t="s">
        <v>60</v>
      </c>
      <c r="S265" s="9" t="s">
        <v>57</v>
      </c>
      <c r="T265" s="9" t="s">
        <v>61</v>
      </c>
      <c r="V265" s="9">
        <v>906099.21</v>
      </c>
      <c r="W265" s="9">
        <v>32000.0</v>
      </c>
      <c r="X265" s="9">
        <v>0.0</v>
      </c>
    </row>
    <row r="266" ht="15.75" customHeight="1">
      <c r="A266" s="9">
        <v>2030529.0</v>
      </c>
      <c r="B266" s="9">
        <v>2592895.0</v>
      </c>
      <c r="C266" s="9">
        <v>31031.0</v>
      </c>
      <c r="D266" s="9" t="s">
        <v>52</v>
      </c>
      <c r="E266" s="9" t="s">
        <v>53</v>
      </c>
      <c r="F266" s="9">
        <v>30143.0</v>
      </c>
      <c r="G266" s="9">
        <v>2592895.0</v>
      </c>
      <c r="H266" s="9">
        <v>2592895.0</v>
      </c>
      <c r="I266" s="9">
        <v>1578974.6</v>
      </c>
      <c r="J266" s="9">
        <v>0.0</v>
      </c>
      <c r="K266" s="9">
        <v>0.0</v>
      </c>
      <c r="L266" s="9" t="s">
        <v>69</v>
      </c>
      <c r="M266" s="9" t="s">
        <v>55</v>
      </c>
      <c r="R266" s="9" t="s">
        <v>60</v>
      </c>
      <c r="S266" s="9" t="s">
        <v>57</v>
      </c>
      <c r="T266" s="9" t="s">
        <v>61</v>
      </c>
      <c r="V266" s="9">
        <v>1104910.09</v>
      </c>
      <c r="W266" s="9">
        <v>0.0</v>
      </c>
      <c r="X266" s="9">
        <v>0.0</v>
      </c>
    </row>
    <row r="267" ht="15.75" customHeight="1">
      <c r="A267" s="9">
        <v>2030544.0</v>
      </c>
      <c r="B267" s="9">
        <v>1995463.0</v>
      </c>
      <c r="C267" s="9">
        <v>30863.0</v>
      </c>
      <c r="D267" s="9" t="s">
        <v>52</v>
      </c>
      <c r="E267" s="9" t="s">
        <v>53</v>
      </c>
      <c r="F267" s="9">
        <v>29184.0</v>
      </c>
      <c r="G267" s="9">
        <v>2017449.99</v>
      </c>
      <c r="H267" s="9">
        <v>2017449.99</v>
      </c>
      <c r="I267" s="9">
        <v>2346798.08</v>
      </c>
      <c r="J267" s="9">
        <v>0.0</v>
      </c>
      <c r="K267" s="9">
        <v>0.0</v>
      </c>
      <c r="L267" s="9" t="s">
        <v>69</v>
      </c>
      <c r="M267" s="9" t="s">
        <v>55</v>
      </c>
      <c r="N267" s="9">
        <v>1876467.99</v>
      </c>
      <c r="O267" s="9">
        <v>1688722.91</v>
      </c>
      <c r="P267" s="9">
        <v>60000.0</v>
      </c>
      <c r="Q267" s="9">
        <v>54000.0</v>
      </c>
      <c r="R267" s="9" t="s">
        <v>60</v>
      </c>
      <c r="S267" s="9" t="s">
        <v>57</v>
      </c>
      <c r="T267" s="9" t="s">
        <v>61</v>
      </c>
      <c r="V267" s="9">
        <v>2019175.2</v>
      </c>
      <c r="W267" s="9">
        <v>59400.0</v>
      </c>
      <c r="X267" s="9">
        <v>0.0</v>
      </c>
    </row>
    <row r="268" ht="15.75" customHeight="1">
      <c r="A268" s="9">
        <v>2030546.0</v>
      </c>
      <c r="B268" s="9">
        <v>1989170.0</v>
      </c>
      <c r="C268" s="9">
        <v>30633.0</v>
      </c>
      <c r="D268" s="9" t="s">
        <v>52</v>
      </c>
      <c r="E268" s="9" t="s">
        <v>53</v>
      </c>
      <c r="F268" s="9">
        <v>27077.0</v>
      </c>
      <c r="G268" s="9">
        <v>1989170.0</v>
      </c>
      <c r="H268" s="9">
        <v>1989170.0</v>
      </c>
      <c r="I268" s="9">
        <v>0.0</v>
      </c>
      <c r="J268" s="9">
        <v>0.0</v>
      </c>
      <c r="K268" s="9">
        <v>0.0</v>
      </c>
      <c r="L268" s="9" t="s">
        <v>54</v>
      </c>
      <c r="M268" s="9" t="s">
        <v>55</v>
      </c>
      <c r="N268" s="9">
        <v>1601390.97</v>
      </c>
      <c r="O268" s="9">
        <v>1441155.81</v>
      </c>
      <c r="R268" s="9" t="s">
        <v>60</v>
      </c>
      <c r="S268" s="9" t="s">
        <v>57</v>
      </c>
      <c r="T268" s="9" t="s">
        <v>61</v>
      </c>
      <c r="V268" s="9">
        <v>1656503.65</v>
      </c>
      <c r="W268" s="9">
        <v>0.0</v>
      </c>
      <c r="X268" s="9">
        <v>0.0</v>
      </c>
    </row>
    <row r="269" ht="15.75" customHeight="1">
      <c r="A269" s="9">
        <v>2030548.0</v>
      </c>
      <c r="B269" s="9">
        <v>1947113.0</v>
      </c>
      <c r="C269" s="9">
        <v>30859.0</v>
      </c>
      <c r="D269" s="9" t="s">
        <v>52</v>
      </c>
      <c r="E269" s="9" t="s">
        <v>53</v>
      </c>
      <c r="F269" s="9">
        <v>28508.0</v>
      </c>
      <c r="G269" s="9">
        <v>2166281.0</v>
      </c>
      <c r="H269" s="9">
        <v>2166281.0</v>
      </c>
      <c r="I269" s="9">
        <v>1790113.7</v>
      </c>
      <c r="J269" s="9">
        <v>0.0</v>
      </c>
      <c r="K269" s="9">
        <v>0.0</v>
      </c>
      <c r="L269" s="9" t="s">
        <v>59</v>
      </c>
      <c r="M269" s="9" t="s">
        <v>55</v>
      </c>
      <c r="N269" s="9">
        <v>2011339.12</v>
      </c>
      <c r="O269" s="9">
        <v>1810205.21</v>
      </c>
      <c r="P269" s="9">
        <v>2011339.12</v>
      </c>
      <c r="Q269" s="9">
        <v>0.0</v>
      </c>
      <c r="R269" s="9" t="s">
        <v>75</v>
      </c>
      <c r="S269" s="9" t="s">
        <v>57</v>
      </c>
      <c r="T269" s="9" t="s">
        <v>76</v>
      </c>
    </row>
    <row r="270" ht="15.75" customHeight="1">
      <c r="A270" s="9">
        <v>2030561.0</v>
      </c>
      <c r="B270" s="9">
        <v>1514009.0</v>
      </c>
      <c r="C270" s="9">
        <v>30720.0</v>
      </c>
      <c r="D270" s="9" t="s">
        <v>52</v>
      </c>
      <c r="E270" s="9" t="s">
        <v>53</v>
      </c>
      <c r="F270" s="9">
        <v>31318.0</v>
      </c>
      <c r="G270" s="9">
        <v>1514009.0</v>
      </c>
      <c r="H270" s="9">
        <v>1514009.0</v>
      </c>
      <c r="I270" s="9">
        <v>694462.73</v>
      </c>
      <c r="J270" s="9">
        <v>0.0</v>
      </c>
      <c r="K270" s="9">
        <v>0.0</v>
      </c>
      <c r="L270" s="9" t="s">
        <v>59</v>
      </c>
      <c r="M270" s="9" t="s">
        <v>55</v>
      </c>
      <c r="N270" s="9">
        <v>671178.59</v>
      </c>
      <c r="O270" s="9">
        <v>671178.59</v>
      </c>
      <c r="R270" s="9" t="s">
        <v>60</v>
      </c>
      <c r="S270" s="9" t="s">
        <v>57</v>
      </c>
      <c r="T270" s="9" t="s">
        <v>61</v>
      </c>
      <c r="V270" s="9">
        <v>672346.47</v>
      </c>
      <c r="W270" s="9">
        <v>0.0</v>
      </c>
      <c r="X270" s="9">
        <v>0.0</v>
      </c>
    </row>
    <row r="271" ht="15.75" customHeight="1">
      <c r="A271" s="9">
        <v>2030563.0</v>
      </c>
      <c r="B271" s="9">
        <v>1318762.0</v>
      </c>
      <c r="C271" s="9">
        <v>30717.0</v>
      </c>
      <c r="D271" s="9" t="s">
        <v>52</v>
      </c>
      <c r="E271" s="9" t="s">
        <v>53</v>
      </c>
      <c r="F271" s="9">
        <v>32660.0</v>
      </c>
      <c r="G271" s="9">
        <v>1318762.0</v>
      </c>
      <c r="H271" s="9">
        <v>1318762.0</v>
      </c>
      <c r="I271" s="9">
        <v>1526625.47</v>
      </c>
      <c r="J271" s="9">
        <v>0.0</v>
      </c>
      <c r="K271" s="9">
        <v>0.0</v>
      </c>
      <c r="L271" s="9" t="s">
        <v>69</v>
      </c>
      <c r="M271" s="9" t="s">
        <v>55</v>
      </c>
      <c r="N271" s="9">
        <v>1365834.89</v>
      </c>
      <c r="O271" s="9">
        <v>1362256.19</v>
      </c>
      <c r="P271" s="9">
        <v>26039.94</v>
      </c>
      <c r="Q271" s="9">
        <v>28123.14</v>
      </c>
      <c r="R271" s="9" t="s">
        <v>60</v>
      </c>
      <c r="S271" s="9" t="s">
        <v>57</v>
      </c>
      <c r="T271" s="9" t="s">
        <v>61</v>
      </c>
      <c r="V271" s="9">
        <v>1494903.98</v>
      </c>
      <c r="W271" s="9">
        <v>0.0</v>
      </c>
      <c r="X271" s="9">
        <v>0.0</v>
      </c>
    </row>
    <row r="272" ht="15.75" customHeight="1">
      <c r="A272" s="9">
        <v>2030714.0</v>
      </c>
      <c r="B272" s="9">
        <v>4466517.0</v>
      </c>
      <c r="C272" s="9">
        <v>48842.0</v>
      </c>
      <c r="D272" s="9" t="s">
        <v>52</v>
      </c>
      <c r="E272" s="9" t="s">
        <v>53</v>
      </c>
      <c r="F272" s="9">
        <v>3901.0</v>
      </c>
      <c r="G272" s="9">
        <v>4466517.0</v>
      </c>
      <c r="H272" s="9">
        <v>7339340.55</v>
      </c>
      <c r="I272" s="9">
        <v>7365775.85</v>
      </c>
      <c r="J272" s="9">
        <v>152989.2</v>
      </c>
      <c r="K272" s="9">
        <v>496546.0</v>
      </c>
      <c r="L272" s="9" t="s">
        <v>59</v>
      </c>
      <c r="M272" s="9" t="s">
        <v>74</v>
      </c>
      <c r="R272" s="9" t="s">
        <v>100</v>
      </c>
      <c r="S272" s="9" t="s">
        <v>101</v>
      </c>
      <c r="T272" s="9" t="s">
        <v>102</v>
      </c>
    </row>
    <row r="273" ht="15.75" customHeight="1">
      <c r="A273" s="9">
        <v>2030731.0</v>
      </c>
      <c r="B273" s="9">
        <v>1423096.0</v>
      </c>
      <c r="C273" s="9">
        <v>30329.0</v>
      </c>
      <c r="D273" s="9" t="s">
        <v>52</v>
      </c>
      <c r="E273" s="9" t="s">
        <v>53</v>
      </c>
      <c r="F273" s="9">
        <v>11778.0</v>
      </c>
      <c r="G273" s="9">
        <v>1423096.0</v>
      </c>
      <c r="H273" s="9">
        <v>1731345.44</v>
      </c>
      <c r="I273" s="9">
        <v>1731345.44</v>
      </c>
      <c r="J273" s="9">
        <v>0.0</v>
      </c>
      <c r="K273" s="9">
        <v>0.0</v>
      </c>
      <c r="L273" s="9" t="s">
        <v>59</v>
      </c>
      <c r="M273" s="9" t="s">
        <v>55</v>
      </c>
      <c r="N273" s="9">
        <v>1293724.0</v>
      </c>
      <c r="O273" s="9">
        <v>1293724.0</v>
      </c>
      <c r="R273" s="9" t="s">
        <v>63</v>
      </c>
      <c r="S273" s="9" t="s">
        <v>63</v>
      </c>
    </row>
    <row r="274" ht="15.75" customHeight="1">
      <c r="A274" s="9">
        <v>2031599.0</v>
      </c>
      <c r="B274" s="9">
        <v>1517483.0</v>
      </c>
      <c r="C274" s="9">
        <v>30021.0</v>
      </c>
      <c r="D274" s="9" t="s">
        <v>52</v>
      </c>
      <c r="E274" s="9" t="s">
        <v>53</v>
      </c>
      <c r="F274" s="9">
        <v>30637.0</v>
      </c>
      <c r="G274" s="9">
        <v>2532910.0</v>
      </c>
      <c r="H274" s="9">
        <v>2532910.0</v>
      </c>
      <c r="I274" s="9">
        <v>2291028.84</v>
      </c>
      <c r="J274" s="9">
        <v>0.0</v>
      </c>
      <c r="K274" s="9">
        <v>0.0</v>
      </c>
      <c r="L274" s="9" t="s">
        <v>59</v>
      </c>
      <c r="M274" s="9" t="s">
        <v>55</v>
      </c>
      <c r="N274" s="9">
        <v>2133879.0</v>
      </c>
      <c r="O274" s="9">
        <v>1920491.41</v>
      </c>
      <c r="R274" s="9" t="s">
        <v>60</v>
      </c>
      <c r="S274" s="9" t="s">
        <v>57</v>
      </c>
      <c r="T274" s="9" t="s">
        <v>61</v>
      </c>
      <c r="V274" s="9">
        <v>2038917.87</v>
      </c>
      <c r="W274" s="9">
        <v>82029.15</v>
      </c>
      <c r="X274" s="9">
        <v>0.0</v>
      </c>
    </row>
    <row r="275" ht="15.75" customHeight="1">
      <c r="A275" s="9">
        <v>2032233.0</v>
      </c>
      <c r="B275" s="9">
        <v>392012.0</v>
      </c>
      <c r="C275" s="9">
        <v>30071.0</v>
      </c>
      <c r="D275" s="9" t="s">
        <v>52</v>
      </c>
      <c r="E275" s="9" t="s">
        <v>53</v>
      </c>
      <c r="F275" s="9">
        <v>35983.0</v>
      </c>
      <c r="G275" s="9">
        <v>425369.7</v>
      </c>
      <c r="H275" s="9">
        <v>425369.7</v>
      </c>
      <c r="I275" s="9">
        <v>425370.6</v>
      </c>
      <c r="J275" s="9">
        <v>0.0</v>
      </c>
      <c r="K275" s="9">
        <v>0.0</v>
      </c>
      <c r="L275" s="9" t="s">
        <v>59</v>
      </c>
      <c r="M275" s="9" t="s">
        <v>55</v>
      </c>
      <c r="N275" s="9">
        <v>428577.5</v>
      </c>
      <c r="O275" s="9">
        <v>8971047.86</v>
      </c>
      <c r="P275" s="9">
        <v>428577.5</v>
      </c>
      <c r="Q275" s="9">
        <v>0.0</v>
      </c>
      <c r="R275" s="9" t="s">
        <v>60</v>
      </c>
      <c r="S275" s="9" t="s">
        <v>57</v>
      </c>
      <c r="T275" s="9" t="s">
        <v>61</v>
      </c>
      <c r="V275" s="9">
        <v>388126.68</v>
      </c>
      <c r="W275" s="9">
        <v>0.0</v>
      </c>
      <c r="X275" s="9">
        <v>0.0</v>
      </c>
    </row>
    <row r="276" ht="15.75" customHeight="1">
      <c r="A276" s="9">
        <v>2032267.0</v>
      </c>
      <c r="B276" s="9">
        <v>1062024.0</v>
      </c>
      <c r="C276" s="9">
        <v>30773.0</v>
      </c>
      <c r="D276" s="9" t="s">
        <v>52</v>
      </c>
      <c r="E276" s="9" t="s">
        <v>53</v>
      </c>
      <c r="F276" s="9">
        <v>27562.0</v>
      </c>
      <c r="G276" s="9">
        <v>1062024.0</v>
      </c>
      <c r="H276" s="9">
        <v>1062024.0</v>
      </c>
      <c r="I276" s="9">
        <v>1165252.66</v>
      </c>
      <c r="J276" s="9">
        <v>0.0</v>
      </c>
      <c r="K276" s="9">
        <v>0.0</v>
      </c>
      <c r="L276" s="9" t="s">
        <v>69</v>
      </c>
      <c r="M276" s="9" t="s">
        <v>55</v>
      </c>
      <c r="N276" s="9">
        <v>1079476.18</v>
      </c>
      <c r="O276" s="9">
        <v>1057886.65</v>
      </c>
      <c r="P276" s="9">
        <v>53500.0</v>
      </c>
      <c r="Q276" s="9">
        <v>53500.0</v>
      </c>
      <c r="R276" s="9" t="s">
        <v>60</v>
      </c>
      <c r="S276" s="9" t="s">
        <v>57</v>
      </c>
      <c r="T276" s="9" t="s">
        <v>61</v>
      </c>
      <c r="V276" s="9">
        <v>1031019.8</v>
      </c>
      <c r="W276" s="9">
        <v>0.0</v>
      </c>
      <c r="X276" s="9">
        <v>0.0</v>
      </c>
    </row>
    <row r="277" ht="15.75" customHeight="1">
      <c r="A277" s="9">
        <v>2036179.0</v>
      </c>
      <c r="B277" s="9">
        <v>756378.0</v>
      </c>
      <c r="C277" s="9">
        <v>30387.0</v>
      </c>
      <c r="D277" s="9" t="s">
        <v>52</v>
      </c>
      <c r="E277" s="9" t="s">
        <v>53</v>
      </c>
      <c r="F277" s="9">
        <v>36535.0</v>
      </c>
      <c r="G277" s="9">
        <v>756378.0</v>
      </c>
      <c r="H277" s="9">
        <v>756378.0</v>
      </c>
      <c r="I277" s="9">
        <v>692997.5</v>
      </c>
      <c r="J277" s="9">
        <v>0.0</v>
      </c>
      <c r="K277" s="9">
        <v>0.0</v>
      </c>
      <c r="L277" s="9" t="s">
        <v>59</v>
      </c>
      <c r="M277" s="9" t="s">
        <v>55</v>
      </c>
      <c r="N277" s="9">
        <v>698822.98</v>
      </c>
      <c r="O277" s="9">
        <v>628940.69</v>
      </c>
      <c r="P277" s="9">
        <v>20000.0</v>
      </c>
      <c r="Q277" s="9">
        <v>19000.0</v>
      </c>
      <c r="R277" s="9" t="s">
        <v>60</v>
      </c>
      <c r="S277" s="9" t="s">
        <v>57</v>
      </c>
      <c r="T277" s="9" t="s">
        <v>61</v>
      </c>
      <c r="V277" s="9">
        <v>636261.07</v>
      </c>
      <c r="W277" s="9">
        <v>19000.0</v>
      </c>
      <c r="X277" s="9">
        <v>0.0</v>
      </c>
    </row>
    <row r="278" ht="15.75" customHeight="1">
      <c r="A278" s="9">
        <v>2037615.0</v>
      </c>
      <c r="B278" s="9">
        <v>796131.0</v>
      </c>
      <c r="C278" s="9">
        <v>31051.0</v>
      </c>
      <c r="D278" s="9" t="s">
        <v>52</v>
      </c>
      <c r="E278" s="9" t="s">
        <v>53</v>
      </c>
      <c r="F278" s="9">
        <v>34844.0</v>
      </c>
      <c r="G278" s="9">
        <v>796131.0</v>
      </c>
      <c r="H278" s="9">
        <v>796131.0</v>
      </c>
      <c r="I278" s="9">
        <v>1002714.5</v>
      </c>
      <c r="J278" s="9">
        <v>0.0</v>
      </c>
      <c r="K278" s="9">
        <v>0.0</v>
      </c>
      <c r="L278" s="9" t="s">
        <v>59</v>
      </c>
      <c r="M278" s="9" t="s">
        <v>55</v>
      </c>
      <c r="R278" s="9" t="s">
        <v>60</v>
      </c>
      <c r="S278" s="9" t="s">
        <v>57</v>
      </c>
      <c r="T278" s="9" t="s">
        <v>61</v>
      </c>
      <c r="V278" s="9">
        <v>597098.0</v>
      </c>
    </row>
    <row r="279" ht="15.75" customHeight="1">
      <c r="A279" s="9">
        <v>2039021.0</v>
      </c>
      <c r="B279" s="9">
        <v>8567281.0</v>
      </c>
      <c r="C279" s="9">
        <v>30346.0</v>
      </c>
      <c r="D279" s="9" t="s">
        <v>52</v>
      </c>
      <c r="E279" s="9" t="s">
        <v>53</v>
      </c>
      <c r="F279" s="9">
        <v>29792.0</v>
      </c>
      <c r="G279" s="9">
        <v>9402565.25</v>
      </c>
      <c r="H279" s="9">
        <v>9402565.25</v>
      </c>
      <c r="I279" s="9">
        <v>9292514.75</v>
      </c>
      <c r="J279" s="9">
        <v>0.0</v>
      </c>
      <c r="K279" s="9">
        <v>0.0</v>
      </c>
      <c r="L279" s="9" t="s">
        <v>69</v>
      </c>
      <c r="M279" s="9" t="s">
        <v>55</v>
      </c>
      <c r="N279" s="9">
        <v>8716407.27</v>
      </c>
      <c r="O279" s="9">
        <v>8716407.27</v>
      </c>
      <c r="P279" s="9">
        <v>220896.99</v>
      </c>
      <c r="Q279" s="9">
        <v>220896.99</v>
      </c>
      <c r="R279" s="9" t="s">
        <v>60</v>
      </c>
      <c r="S279" s="9" t="s">
        <v>57</v>
      </c>
      <c r="T279" s="9" t="s">
        <v>61</v>
      </c>
      <c r="V279" s="9">
        <v>9516063.98</v>
      </c>
      <c r="W279" s="9">
        <v>0.0</v>
      </c>
      <c r="X279" s="9">
        <v>0.0</v>
      </c>
    </row>
    <row r="280" ht="15.75" customHeight="1">
      <c r="A280" s="9">
        <v>2041208.0</v>
      </c>
      <c r="B280" s="9">
        <v>1693401.0</v>
      </c>
      <c r="C280" s="9">
        <v>30718.0</v>
      </c>
      <c r="D280" s="9" t="s">
        <v>52</v>
      </c>
      <c r="E280" s="9" t="s">
        <v>53</v>
      </c>
      <c r="F280" s="9">
        <v>35544.0</v>
      </c>
      <c r="G280" s="9">
        <v>1693401.0</v>
      </c>
      <c r="H280" s="9">
        <v>1693401.0</v>
      </c>
      <c r="I280" s="9">
        <v>0.0</v>
      </c>
      <c r="J280" s="9">
        <v>0.0</v>
      </c>
      <c r="K280" s="9">
        <v>0.0</v>
      </c>
      <c r="L280" s="9" t="s">
        <v>54</v>
      </c>
      <c r="M280" s="9" t="s">
        <v>55</v>
      </c>
      <c r="N280" s="9">
        <v>1466285.81</v>
      </c>
      <c r="O280" s="9">
        <v>1466285.81</v>
      </c>
      <c r="P280" s="9">
        <v>50000.0</v>
      </c>
      <c r="Q280" s="9">
        <v>51408.0</v>
      </c>
      <c r="R280" s="9" t="s">
        <v>60</v>
      </c>
      <c r="S280" s="9" t="s">
        <v>57</v>
      </c>
      <c r="T280" s="9" t="s">
        <v>61</v>
      </c>
      <c r="V280" s="9">
        <v>1588646.69</v>
      </c>
      <c r="W280" s="9">
        <v>0.0</v>
      </c>
      <c r="X280" s="9">
        <v>0.0</v>
      </c>
    </row>
    <row r="281" ht="15.75" customHeight="1">
      <c r="A281" s="9">
        <v>2041210.0</v>
      </c>
      <c r="B281" s="9">
        <v>446802.0</v>
      </c>
      <c r="C281" s="9">
        <v>30723.0</v>
      </c>
      <c r="D281" s="9" t="s">
        <v>52</v>
      </c>
      <c r="E281" s="9" t="s">
        <v>53</v>
      </c>
      <c r="F281" s="9">
        <v>39288.0</v>
      </c>
      <c r="G281" s="9">
        <v>446802.0</v>
      </c>
      <c r="H281" s="9">
        <v>446802.0</v>
      </c>
      <c r="I281" s="9">
        <v>0.0</v>
      </c>
      <c r="J281" s="9">
        <v>0.0</v>
      </c>
      <c r="K281" s="9">
        <v>0.0</v>
      </c>
      <c r="L281" s="9" t="s">
        <v>54</v>
      </c>
      <c r="M281" s="9" t="s">
        <v>55</v>
      </c>
      <c r="N281" s="9">
        <v>441823.0</v>
      </c>
      <c r="O281" s="9">
        <v>479377.96</v>
      </c>
      <c r="P281" s="9">
        <v>33000.0</v>
      </c>
      <c r="Q281" s="9">
        <v>27000.0</v>
      </c>
      <c r="R281" s="9" t="s">
        <v>60</v>
      </c>
      <c r="S281" s="9" t="s">
        <v>57</v>
      </c>
      <c r="T281" s="9" t="s">
        <v>61</v>
      </c>
      <c r="V281" s="9">
        <v>488159.74</v>
      </c>
      <c r="W281" s="9">
        <v>0.0</v>
      </c>
      <c r="X281" s="9">
        <v>0.0</v>
      </c>
    </row>
    <row r="282" ht="15.75" customHeight="1">
      <c r="A282" s="9">
        <v>2043380.0</v>
      </c>
      <c r="B282" s="9">
        <v>3318423.0</v>
      </c>
      <c r="C282" s="9">
        <v>31101.0</v>
      </c>
      <c r="D282" s="9" t="s">
        <v>52</v>
      </c>
      <c r="E282" s="9" t="s">
        <v>53</v>
      </c>
      <c r="F282" s="9">
        <v>44964.0</v>
      </c>
      <c r="G282" s="9">
        <v>3591023.23</v>
      </c>
      <c r="H282" s="9">
        <v>4308546.18</v>
      </c>
      <c r="I282" s="9">
        <v>3796928.82</v>
      </c>
      <c r="J282" s="9">
        <v>0.0</v>
      </c>
      <c r="K282" s="9">
        <v>0.0</v>
      </c>
      <c r="L282" s="9" t="s">
        <v>69</v>
      </c>
      <c r="M282" s="9" t="s">
        <v>55</v>
      </c>
      <c r="R282" s="9" t="s">
        <v>60</v>
      </c>
      <c r="S282" s="9" t="s">
        <v>57</v>
      </c>
      <c r="T282" s="9" t="s">
        <v>61</v>
      </c>
      <c r="V282" s="9">
        <v>4194160.0</v>
      </c>
      <c r="W282" s="9">
        <v>114386.18</v>
      </c>
      <c r="X282" s="9">
        <v>0.0</v>
      </c>
    </row>
    <row r="283" ht="15.75" customHeight="1">
      <c r="A283" s="9">
        <v>2043865.0</v>
      </c>
      <c r="B283" s="9">
        <v>1433527.0</v>
      </c>
      <c r="C283" s="9">
        <v>30874.0</v>
      </c>
      <c r="D283" s="9" t="s">
        <v>52</v>
      </c>
      <c r="E283" s="9" t="s">
        <v>53</v>
      </c>
      <c r="F283" s="9">
        <v>48641.0</v>
      </c>
      <c r="G283" s="9">
        <v>2640997.0</v>
      </c>
      <c r="H283" s="9">
        <v>2640997.0</v>
      </c>
      <c r="I283" s="9">
        <v>2765199.54</v>
      </c>
      <c r="J283" s="9">
        <v>0.0</v>
      </c>
      <c r="K283" s="9">
        <v>0.0</v>
      </c>
      <c r="L283" s="9" t="s">
        <v>69</v>
      </c>
      <c r="M283" s="9" t="s">
        <v>55</v>
      </c>
      <c r="N283" s="9">
        <v>2469914.82</v>
      </c>
      <c r="O283" s="9">
        <v>2179336.32</v>
      </c>
      <c r="R283" s="9" t="s">
        <v>75</v>
      </c>
      <c r="S283" s="9" t="s">
        <v>57</v>
      </c>
      <c r="T283" s="9" t="s">
        <v>76</v>
      </c>
    </row>
    <row r="284" ht="15.75" customHeight="1">
      <c r="A284" s="9">
        <v>2045301.0</v>
      </c>
      <c r="B284" s="9">
        <v>1798604.0</v>
      </c>
      <c r="C284" s="9">
        <v>30324.0</v>
      </c>
      <c r="D284" s="9" t="s">
        <v>52</v>
      </c>
      <c r="E284" s="9" t="s">
        <v>53</v>
      </c>
      <c r="F284" s="9">
        <v>49603.0</v>
      </c>
      <c r="G284" s="9">
        <v>1798604.0</v>
      </c>
      <c r="H284" s="9">
        <v>1798604.0</v>
      </c>
      <c r="I284" s="9">
        <v>0.0</v>
      </c>
      <c r="J284" s="9">
        <v>0.0</v>
      </c>
      <c r="K284" s="9">
        <v>0.0</v>
      </c>
      <c r="L284" s="9" t="s">
        <v>59</v>
      </c>
      <c r="M284" s="9" t="s">
        <v>55</v>
      </c>
      <c r="N284" s="9">
        <v>1381068.0</v>
      </c>
      <c r="O284" s="9">
        <v>1381067.51</v>
      </c>
      <c r="P284" s="9">
        <v>1381068.0</v>
      </c>
      <c r="Q284" s="9">
        <v>0.0</v>
      </c>
      <c r="R284" s="9" t="s">
        <v>60</v>
      </c>
      <c r="S284" s="9" t="s">
        <v>57</v>
      </c>
      <c r="T284" s="9" t="s">
        <v>61</v>
      </c>
      <c r="V284" s="9">
        <v>1244118.83</v>
      </c>
      <c r="W284" s="9">
        <v>0.0</v>
      </c>
      <c r="X284" s="9">
        <v>0.0</v>
      </c>
    </row>
    <row r="285" ht="15.75" customHeight="1">
      <c r="A285" s="9">
        <v>2045452.0</v>
      </c>
      <c r="B285" s="9">
        <v>1249170.0</v>
      </c>
      <c r="C285" s="9">
        <v>31252.0</v>
      </c>
      <c r="D285" s="9" t="s">
        <v>52</v>
      </c>
      <c r="E285" s="9" t="s">
        <v>53</v>
      </c>
      <c r="F285" s="9">
        <v>51654.0</v>
      </c>
      <c r="G285" s="9">
        <v>1249170.0</v>
      </c>
      <c r="H285" s="9">
        <v>1249170.0</v>
      </c>
      <c r="I285" s="9">
        <v>1010202.72</v>
      </c>
      <c r="J285" s="9">
        <v>0.0</v>
      </c>
      <c r="K285" s="9">
        <v>0.0</v>
      </c>
      <c r="L285" s="9" t="s">
        <v>69</v>
      </c>
      <c r="M285" s="9" t="s">
        <v>55</v>
      </c>
      <c r="R285" s="9" t="s">
        <v>75</v>
      </c>
      <c r="S285" s="9" t="s">
        <v>57</v>
      </c>
      <c r="T285" s="9" t="s">
        <v>76</v>
      </c>
    </row>
    <row r="286" ht="15.75" customHeight="1">
      <c r="A286" s="9">
        <v>2046271.0</v>
      </c>
      <c r="B286" s="9">
        <v>1.0104342E7</v>
      </c>
      <c r="C286" s="9">
        <v>30007.0</v>
      </c>
      <c r="D286" s="9" t="s">
        <v>52</v>
      </c>
      <c r="E286" s="9" t="s">
        <v>53</v>
      </c>
      <c r="F286" s="9">
        <v>53654.0</v>
      </c>
      <c r="G286" s="9">
        <v>1.0104342E7</v>
      </c>
      <c r="H286" s="9">
        <v>1.0104342E7</v>
      </c>
      <c r="I286" s="9">
        <v>0.0</v>
      </c>
      <c r="J286" s="9">
        <v>0.0</v>
      </c>
      <c r="K286" s="9">
        <v>0.0</v>
      </c>
      <c r="L286" s="9" t="s">
        <v>54</v>
      </c>
      <c r="M286" s="9" t="s">
        <v>55</v>
      </c>
      <c r="N286" s="9">
        <v>9785602.6</v>
      </c>
      <c r="O286" s="9">
        <v>1.000873824E7</v>
      </c>
      <c r="P286" s="9">
        <v>116566.5</v>
      </c>
      <c r="Q286" s="9">
        <v>104909.9</v>
      </c>
      <c r="R286" s="9" t="s">
        <v>60</v>
      </c>
      <c r="S286" s="9" t="s">
        <v>57</v>
      </c>
      <c r="T286" s="9" t="s">
        <v>61</v>
      </c>
      <c r="V286" s="9">
        <v>1.033942703E7</v>
      </c>
      <c r="W286" s="9">
        <v>236985.91</v>
      </c>
      <c r="X286" s="9">
        <v>0.0</v>
      </c>
    </row>
    <row r="287" ht="15.75" customHeight="1">
      <c r="A287" s="9">
        <v>2046273.0</v>
      </c>
      <c r="B287" s="9">
        <v>947423.0</v>
      </c>
      <c r="C287" s="9">
        <v>29658.0</v>
      </c>
      <c r="D287" s="9" t="s">
        <v>52</v>
      </c>
      <c r="E287" s="9" t="s">
        <v>53</v>
      </c>
      <c r="F287" s="9">
        <v>51123.0</v>
      </c>
      <c r="G287" s="9">
        <v>947423.0</v>
      </c>
      <c r="H287" s="9">
        <v>947423.0</v>
      </c>
      <c r="I287" s="9">
        <v>947423.0</v>
      </c>
      <c r="J287" s="9">
        <v>0.0</v>
      </c>
      <c r="K287" s="9">
        <v>0.0</v>
      </c>
      <c r="L287" s="9" t="s">
        <v>59</v>
      </c>
      <c r="M287" s="9" t="s">
        <v>65</v>
      </c>
      <c r="N287" s="9">
        <v>80000.0</v>
      </c>
      <c r="O287" s="9">
        <v>84000.0</v>
      </c>
      <c r="R287" s="9" t="s">
        <v>60</v>
      </c>
      <c r="S287" s="9" t="s">
        <v>57</v>
      </c>
      <c r="T287" s="9" t="s">
        <v>61</v>
      </c>
      <c r="V287" s="9">
        <v>84000.0</v>
      </c>
      <c r="W287" s="9">
        <v>11000.0</v>
      </c>
    </row>
    <row r="288" ht="15.75" customHeight="1">
      <c r="A288" s="9">
        <v>2015809.0</v>
      </c>
      <c r="B288" s="9">
        <v>98850.0</v>
      </c>
      <c r="C288" s="9">
        <v>31086.0</v>
      </c>
      <c r="D288" s="9" t="s">
        <v>52</v>
      </c>
      <c r="E288" s="9" t="s">
        <v>53</v>
      </c>
      <c r="F288" s="9">
        <v>35484.0</v>
      </c>
      <c r="G288" s="9">
        <v>98850.0</v>
      </c>
      <c r="H288" s="9">
        <v>98850.0</v>
      </c>
      <c r="I288" s="9">
        <v>0.0</v>
      </c>
      <c r="J288" s="9">
        <v>0.0</v>
      </c>
      <c r="K288" s="9">
        <v>0.0</v>
      </c>
      <c r="L288" s="9" t="s">
        <v>54</v>
      </c>
      <c r="M288" s="9" t="s">
        <v>55</v>
      </c>
      <c r="R288" s="9" t="s">
        <v>60</v>
      </c>
      <c r="S288" s="9" t="s">
        <v>57</v>
      </c>
      <c r="T288" s="9" t="s">
        <v>61</v>
      </c>
      <c r="V288" s="9">
        <v>98850.0</v>
      </c>
      <c r="W288" s="9">
        <v>0.0</v>
      </c>
      <c r="X288" s="9">
        <v>0.0</v>
      </c>
    </row>
    <row r="289" ht="15.75" customHeight="1">
      <c r="A289" s="9">
        <v>2017381.0</v>
      </c>
      <c r="B289" s="9">
        <v>1.2765192E7</v>
      </c>
      <c r="C289" s="9">
        <v>30326.0</v>
      </c>
      <c r="D289" s="9" t="s">
        <v>52</v>
      </c>
      <c r="E289" s="9" t="s">
        <v>53</v>
      </c>
      <c r="F289" s="9">
        <v>3109.0</v>
      </c>
      <c r="G289" s="9">
        <v>1.237622706E7</v>
      </c>
      <c r="H289" s="9">
        <v>1.237622706E7</v>
      </c>
      <c r="I289" s="9">
        <v>1.223914384E7</v>
      </c>
      <c r="J289" s="9">
        <v>0.0</v>
      </c>
      <c r="K289" s="9">
        <v>0.0</v>
      </c>
      <c r="L289" s="9" t="s">
        <v>69</v>
      </c>
      <c r="M289" s="9" t="s">
        <v>55</v>
      </c>
      <c r="N289" s="9">
        <v>1.1729328E7</v>
      </c>
      <c r="O289" s="9">
        <v>1.237622706E7</v>
      </c>
      <c r="P289" s="9">
        <v>1.1729328E7</v>
      </c>
      <c r="Q289" s="9">
        <v>0.0</v>
      </c>
      <c r="R289" s="9" t="s">
        <v>60</v>
      </c>
      <c r="S289" s="9" t="s">
        <v>57</v>
      </c>
      <c r="T289" s="9" t="s">
        <v>61</v>
      </c>
      <c r="V289" s="9">
        <v>1.365957644E7</v>
      </c>
      <c r="W289" s="9">
        <v>0.0</v>
      </c>
      <c r="X289" s="9">
        <v>0.0</v>
      </c>
    </row>
    <row r="290" ht="15.75" customHeight="1">
      <c r="A290" s="9">
        <v>2018383.0</v>
      </c>
      <c r="B290" s="9">
        <v>2761874.0</v>
      </c>
      <c r="C290" s="9">
        <v>30216.0</v>
      </c>
      <c r="D290" s="9" t="s">
        <v>52</v>
      </c>
      <c r="E290" s="9" t="s">
        <v>53</v>
      </c>
      <c r="F290" s="9">
        <v>5777.0</v>
      </c>
      <c r="G290" s="9">
        <v>4145379.03</v>
      </c>
      <c r="H290" s="9">
        <v>4287426.1</v>
      </c>
      <c r="I290" s="9">
        <v>4287426.1</v>
      </c>
      <c r="J290" s="9">
        <v>0.0</v>
      </c>
      <c r="K290" s="9">
        <v>0.0</v>
      </c>
      <c r="L290" s="9" t="s">
        <v>59</v>
      </c>
      <c r="M290" s="9" t="s">
        <v>55</v>
      </c>
      <c r="N290" s="9">
        <v>3488321.97</v>
      </c>
      <c r="O290" s="9">
        <v>0.0</v>
      </c>
      <c r="P290" s="9">
        <v>56000.0</v>
      </c>
      <c r="Q290" s="9">
        <v>50400.0</v>
      </c>
      <c r="R290" s="9" t="s">
        <v>72</v>
      </c>
      <c r="S290" s="9" t="s">
        <v>57</v>
      </c>
      <c r="T290" s="9" t="s">
        <v>73</v>
      </c>
      <c r="V290" s="9">
        <v>2747146.8</v>
      </c>
      <c r="W290" s="9">
        <v>0.0</v>
      </c>
      <c r="X290" s="9">
        <v>0.0</v>
      </c>
    </row>
    <row r="291" ht="15.75" customHeight="1">
      <c r="A291" s="9">
        <v>2018685.0</v>
      </c>
      <c r="B291" s="9">
        <v>778174.0</v>
      </c>
      <c r="C291" s="9">
        <v>29998.0</v>
      </c>
      <c r="D291" s="9" t="s">
        <v>52</v>
      </c>
      <c r="E291" s="9" t="s">
        <v>53</v>
      </c>
      <c r="F291" s="9">
        <v>13254.0</v>
      </c>
      <c r="G291" s="9">
        <v>778174.0</v>
      </c>
      <c r="H291" s="9">
        <v>1895769.0</v>
      </c>
      <c r="I291" s="9">
        <v>0.0</v>
      </c>
      <c r="J291" s="9">
        <v>0.0</v>
      </c>
      <c r="K291" s="9">
        <v>0.0</v>
      </c>
      <c r="L291" s="9" t="s">
        <v>54</v>
      </c>
      <c r="M291" s="9" t="s">
        <v>55</v>
      </c>
      <c r="N291" s="9">
        <v>700000.0</v>
      </c>
      <c r="O291" s="9">
        <v>613382.77</v>
      </c>
      <c r="P291" s="9">
        <v>700000.0</v>
      </c>
      <c r="Q291" s="9">
        <v>20700.0</v>
      </c>
      <c r="R291" s="9" t="s">
        <v>60</v>
      </c>
      <c r="S291" s="9" t="s">
        <v>57</v>
      </c>
      <c r="T291" s="9" t="s">
        <v>61</v>
      </c>
      <c r="V291" s="9">
        <v>320932.75</v>
      </c>
      <c r="W291" s="9">
        <v>864824.85</v>
      </c>
      <c r="X291" s="9">
        <v>0.0</v>
      </c>
    </row>
    <row r="292" ht="15.75" customHeight="1">
      <c r="A292" s="9">
        <v>2018885.0</v>
      </c>
      <c r="B292" s="9">
        <v>1915339.0</v>
      </c>
      <c r="C292" s="9">
        <v>30948.0</v>
      </c>
      <c r="D292" s="9" t="s">
        <v>52</v>
      </c>
      <c r="E292" s="9" t="s">
        <v>53</v>
      </c>
      <c r="F292" s="9">
        <v>8236.0</v>
      </c>
      <c r="G292" s="9">
        <v>1915339.0</v>
      </c>
      <c r="H292" s="9">
        <v>1915339.0</v>
      </c>
      <c r="I292" s="9">
        <v>2598338.61</v>
      </c>
      <c r="J292" s="9">
        <v>0.0</v>
      </c>
      <c r="K292" s="9">
        <v>0.0</v>
      </c>
      <c r="L292" s="9" t="s">
        <v>59</v>
      </c>
      <c r="M292" s="9" t="s">
        <v>55</v>
      </c>
      <c r="N292" s="9">
        <v>1751412.74</v>
      </c>
      <c r="O292" s="9">
        <v>1545364.18</v>
      </c>
      <c r="R292" s="9" t="s">
        <v>60</v>
      </c>
      <c r="S292" s="9" t="s">
        <v>57</v>
      </c>
      <c r="T292" s="9" t="s">
        <v>61</v>
      </c>
      <c r="V292" s="9">
        <v>2587197.28</v>
      </c>
      <c r="W292" s="9">
        <v>0.0</v>
      </c>
      <c r="X292" s="9">
        <v>0.0</v>
      </c>
    </row>
    <row r="293" ht="15.75" customHeight="1">
      <c r="A293" s="9">
        <v>2018926.0</v>
      </c>
      <c r="B293" s="9">
        <v>1310042.0</v>
      </c>
      <c r="C293" s="9">
        <v>30580.0</v>
      </c>
      <c r="D293" s="9" t="s">
        <v>52</v>
      </c>
      <c r="E293" s="9" t="s">
        <v>53</v>
      </c>
      <c r="F293" s="9">
        <v>8819.0</v>
      </c>
      <c r="G293" s="9">
        <v>1310042.0</v>
      </c>
      <c r="H293" s="9">
        <v>1310042.0</v>
      </c>
      <c r="I293" s="9">
        <v>1658640.37</v>
      </c>
      <c r="J293" s="9">
        <v>0.0</v>
      </c>
      <c r="K293" s="9">
        <v>0.0</v>
      </c>
      <c r="L293" s="9" t="s">
        <v>69</v>
      </c>
      <c r="M293" s="9" t="s">
        <v>55</v>
      </c>
      <c r="N293" s="9">
        <v>1210042.0</v>
      </c>
      <c r="O293" s="9">
        <v>1209895.0</v>
      </c>
      <c r="P293" s="9">
        <v>50000.0</v>
      </c>
      <c r="Q293" s="9">
        <v>45000.0</v>
      </c>
      <c r="R293" s="9" t="s">
        <v>60</v>
      </c>
      <c r="S293" s="9" t="s">
        <v>57</v>
      </c>
      <c r="T293" s="9" t="s">
        <v>61</v>
      </c>
      <c r="V293" s="9">
        <v>1256716.62</v>
      </c>
      <c r="W293" s="9">
        <v>0.0</v>
      </c>
      <c r="X293" s="9">
        <v>0.0</v>
      </c>
    </row>
    <row r="294" ht="15.75" customHeight="1">
      <c r="A294" s="9">
        <v>2021168.0</v>
      </c>
      <c r="B294" s="9">
        <v>1.0933773E7</v>
      </c>
      <c r="C294" s="9">
        <v>30910.0</v>
      </c>
      <c r="D294" s="9" t="s">
        <v>52</v>
      </c>
      <c r="E294" s="9" t="s">
        <v>53</v>
      </c>
      <c r="F294" s="9">
        <v>11864.0</v>
      </c>
      <c r="G294" s="9">
        <v>1.211687825E7</v>
      </c>
      <c r="H294" s="9">
        <v>1.211687825E7</v>
      </c>
      <c r="I294" s="9">
        <v>3126312.83</v>
      </c>
      <c r="J294" s="9">
        <v>0.0</v>
      </c>
      <c r="K294" s="9">
        <v>0.0</v>
      </c>
      <c r="L294" s="9" t="s">
        <v>69</v>
      </c>
      <c r="M294" s="9" t="s">
        <v>55</v>
      </c>
      <c r="N294" s="9">
        <v>1691111.35</v>
      </c>
      <c r="O294" s="9">
        <v>1857828.0</v>
      </c>
      <c r="R294" s="9" t="s">
        <v>56</v>
      </c>
      <c r="S294" s="9" t="s">
        <v>57</v>
      </c>
      <c r="T294" s="9" t="s">
        <v>58</v>
      </c>
      <c r="V294" s="9">
        <v>371565.6</v>
      </c>
      <c r="W294" s="9">
        <v>0.0</v>
      </c>
      <c r="X294" s="9">
        <v>0.0</v>
      </c>
    </row>
    <row r="295" ht="15.75" customHeight="1">
      <c r="A295" s="9">
        <v>2021627.0</v>
      </c>
      <c r="B295" s="9">
        <v>2211839.0</v>
      </c>
      <c r="C295" s="9">
        <v>30957.0</v>
      </c>
      <c r="D295" s="9" t="s">
        <v>52</v>
      </c>
      <c r="E295" s="9" t="s">
        <v>53</v>
      </c>
      <c r="F295" s="9">
        <v>8932.0</v>
      </c>
      <c r="G295" s="9">
        <v>2685604.16</v>
      </c>
      <c r="H295" s="9">
        <v>2685604.16</v>
      </c>
      <c r="I295" s="9">
        <v>2801534.3</v>
      </c>
      <c r="J295" s="9">
        <v>0.0</v>
      </c>
      <c r="K295" s="9">
        <v>0.0</v>
      </c>
      <c r="L295" s="9" t="s">
        <v>69</v>
      </c>
      <c r="M295" s="9" t="s">
        <v>55</v>
      </c>
      <c r="N295" s="9">
        <v>573586.45</v>
      </c>
      <c r="O295" s="9">
        <v>602265.77</v>
      </c>
      <c r="P295" s="9">
        <v>15000.0</v>
      </c>
      <c r="Q295" s="9">
        <v>16000.0</v>
      </c>
      <c r="R295" s="9" t="s">
        <v>75</v>
      </c>
      <c r="S295" s="9" t="s">
        <v>57</v>
      </c>
      <c r="T295" s="9" t="s">
        <v>76</v>
      </c>
    </row>
    <row r="296" ht="15.75" customHeight="1">
      <c r="A296" s="9">
        <v>2021766.0</v>
      </c>
      <c r="B296" s="9">
        <v>1158341.0</v>
      </c>
      <c r="C296" s="9">
        <v>30644.0</v>
      </c>
      <c r="D296" s="9" t="s">
        <v>52</v>
      </c>
      <c r="E296" s="9" t="s">
        <v>53</v>
      </c>
      <c r="F296" s="9">
        <v>14766.0</v>
      </c>
      <c r="G296" s="9">
        <v>1158341.0</v>
      </c>
      <c r="H296" s="9">
        <v>1158341.0</v>
      </c>
      <c r="I296" s="9">
        <v>1067573.62</v>
      </c>
      <c r="J296" s="9">
        <v>0.0</v>
      </c>
      <c r="K296" s="9">
        <v>0.0</v>
      </c>
      <c r="L296" s="9" t="s">
        <v>69</v>
      </c>
      <c r="M296" s="9" t="s">
        <v>55</v>
      </c>
      <c r="N296" s="9">
        <v>1157470.59</v>
      </c>
      <c r="O296" s="9">
        <v>1040768.77</v>
      </c>
      <c r="P296" s="9">
        <v>73304.0</v>
      </c>
      <c r="Q296" s="9">
        <v>55440.0</v>
      </c>
      <c r="R296" s="9" t="s">
        <v>60</v>
      </c>
      <c r="S296" s="9" t="s">
        <v>57</v>
      </c>
      <c r="T296" s="9" t="s">
        <v>61</v>
      </c>
      <c r="V296" s="9">
        <v>1056320.5</v>
      </c>
      <c r="W296" s="9">
        <v>0.0</v>
      </c>
      <c r="X296" s="9">
        <v>0.0</v>
      </c>
    </row>
    <row r="297" ht="15.75" customHeight="1">
      <c r="A297" s="9">
        <v>2021768.0</v>
      </c>
      <c r="B297" s="9">
        <v>1390426.0</v>
      </c>
      <c r="C297" s="9">
        <v>30643.0</v>
      </c>
      <c r="D297" s="9" t="s">
        <v>52</v>
      </c>
      <c r="E297" s="9" t="s">
        <v>53</v>
      </c>
      <c r="F297" s="9">
        <v>14204.0</v>
      </c>
      <c r="G297" s="9">
        <v>1390426.0</v>
      </c>
      <c r="H297" s="9">
        <v>1390426.0</v>
      </c>
      <c r="I297" s="9">
        <v>848884.57</v>
      </c>
      <c r="J297" s="9">
        <v>0.0</v>
      </c>
      <c r="K297" s="9">
        <v>0.0</v>
      </c>
      <c r="L297" s="9" t="s">
        <v>69</v>
      </c>
      <c r="M297" s="9" t="s">
        <v>55</v>
      </c>
      <c r="N297" s="9">
        <v>1100225.81</v>
      </c>
      <c r="O297" s="9">
        <v>832103.55</v>
      </c>
      <c r="P297" s="9">
        <v>73304.0</v>
      </c>
      <c r="Q297" s="9">
        <v>67500.0</v>
      </c>
      <c r="R297" s="9" t="s">
        <v>60</v>
      </c>
      <c r="S297" s="9" t="s">
        <v>57</v>
      </c>
      <c r="T297" s="9" t="s">
        <v>61</v>
      </c>
      <c r="V297" s="9">
        <v>842163.41</v>
      </c>
      <c r="W297" s="9">
        <v>85405.77</v>
      </c>
      <c r="X297" s="9">
        <v>0.0</v>
      </c>
    </row>
    <row r="298" ht="15.75" customHeight="1">
      <c r="A298" s="9">
        <v>2021870.0</v>
      </c>
      <c r="B298" s="9">
        <v>1999807.0</v>
      </c>
      <c r="C298" s="9">
        <v>31231.0</v>
      </c>
      <c r="D298" s="9" t="s">
        <v>52</v>
      </c>
      <c r="E298" s="9" t="s">
        <v>53</v>
      </c>
      <c r="F298" s="9">
        <v>21020.0</v>
      </c>
      <c r="G298" s="9">
        <v>1999807.0</v>
      </c>
      <c r="H298" s="9">
        <v>1999807.0</v>
      </c>
      <c r="I298" s="9">
        <v>0.0</v>
      </c>
      <c r="J298" s="9">
        <v>0.0</v>
      </c>
      <c r="K298" s="9">
        <v>0.0</v>
      </c>
      <c r="L298" s="9" t="s">
        <v>54</v>
      </c>
      <c r="M298" s="9" t="s">
        <v>55</v>
      </c>
      <c r="R298" s="9" t="s">
        <v>75</v>
      </c>
      <c r="S298" s="9" t="s">
        <v>57</v>
      </c>
      <c r="T298" s="9" t="s">
        <v>76</v>
      </c>
    </row>
    <row r="299" ht="15.75" customHeight="1">
      <c r="A299" s="9">
        <v>2022125.0</v>
      </c>
      <c r="B299" s="9">
        <v>1980236.0</v>
      </c>
      <c r="C299" s="9">
        <v>31288.0</v>
      </c>
      <c r="D299" s="9" t="s">
        <v>52</v>
      </c>
      <c r="E299" s="9" t="s">
        <v>53</v>
      </c>
      <c r="F299" s="9">
        <v>9442.0</v>
      </c>
      <c r="G299" s="9">
        <v>2148728.0</v>
      </c>
      <c r="H299" s="9">
        <v>2148728.0</v>
      </c>
      <c r="I299" s="9">
        <v>2453272.1</v>
      </c>
      <c r="J299" s="9">
        <v>0.0</v>
      </c>
      <c r="K299" s="9">
        <v>0.0</v>
      </c>
      <c r="L299" s="9" t="s">
        <v>69</v>
      </c>
      <c r="M299" s="9" t="s">
        <v>55</v>
      </c>
      <c r="R299" s="9" t="s">
        <v>60</v>
      </c>
      <c r="S299" s="9" t="s">
        <v>57</v>
      </c>
      <c r="T299" s="9" t="s">
        <v>61</v>
      </c>
      <c r="V299" s="9">
        <v>1869587.9</v>
      </c>
      <c r="W299" s="9">
        <v>0.0</v>
      </c>
      <c r="X299" s="9">
        <v>0.0</v>
      </c>
    </row>
    <row r="300" ht="15.75" customHeight="1">
      <c r="A300" s="9">
        <v>2022436.0</v>
      </c>
      <c r="B300" s="9">
        <v>1954757.0</v>
      </c>
      <c r="C300" s="9">
        <v>29665.0</v>
      </c>
      <c r="D300" s="9" t="s">
        <v>52</v>
      </c>
      <c r="E300" s="9" t="s">
        <v>53</v>
      </c>
      <c r="F300" s="9">
        <v>11956.0</v>
      </c>
      <c r="G300" s="9">
        <v>4025563.0</v>
      </c>
      <c r="H300" s="9">
        <v>4025563.0</v>
      </c>
      <c r="I300" s="9">
        <v>3260235.43</v>
      </c>
      <c r="J300" s="9">
        <v>0.0</v>
      </c>
      <c r="K300" s="9">
        <v>0.0</v>
      </c>
      <c r="L300" s="9" t="s">
        <v>59</v>
      </c>
      <c r="M300" s="9" t="s">
        <v>65</v>
      </c>
      <c r="N300" s="9">
        <v>2345264.0</v>
      </c>
      <c r="O300" s="9">
        <v>1773729.0</v>
      </c>
      <c r="R300" s="9" t="s">
        <v>60</v>
      </c>
      <c r="S300" s="9" t="s">
        <v>57</v>
      </c>
      <c r="T300" s="9" t="s">
        <v>61</v>
      </c>
      <c r="V300" s="9">
        <v>51590.8</v>
      </c>
      <c r="W300" s="9">
        <v>0.0</v>
      </c>
    </row>
    <row r="301" ht="15.75" customHeight="1">
      <c r="A301" s="9">
        <v>2023106.0</v>
      </c>
      <c r="B301" s="9">
        <v>1274319.0</v>
      </c>
      <c r="C301" s="9">
        <v>30584.0</v>
      </c>
      <c r="D301" s="9" t="s">
        <v>52</v>
      </c>
      <c r="E301" s="9" t="s">
        <v>53</v>
      </c>
      <c r="F301" s="9">
        <v>21256.0</v>
      </c>
      <c r="G301" s="9">
        <v>1550918.0</v>
      </c>
      <c r="H301" s="9">
        <v>2163969.2</v>
      </c>
      <c r="I301" s="9">
        <v>2163968.19</v>
      </c>
      <c r="J301" s="9">
        <v>0.0</v>
      </c>
      <c r="K301" s="9">
        <v>0.0</v>
      </c>
      <c r="L301" s="9" t="s">
        <v>59</v>
      </c>
      <c r="M301" s="9" t="s">
        <v>55</v>
      </c>
      <c r="N301" s="9">
        <v>1174319.0</v>
      </c>
      <c r="O301" s="9">
        <v>1120300.33</v>
      </c>
      <c r="P301" s="9">
        <v>42149.8</v>
      </c>
      <c r="Q301" s="9">
        <v>37934.82</v>
      </c>
      <c r="R301" s="9" t="s">
        <v>60</v>
      </c>
      <c r="S301" s="9" t="s">
        <v>57</v>
      </c>
      <c r="T301" s="9" t="s">
        <v>61</v>
      </c>
      <c r="V301" s="9">
        <v>1283240.62</v>
      </c>
      <c r="W301" s="9">
        <v>50984.82</v>
      </c>
      <c r="X301" s="9">
        <v>0.0</v>
      </c>
    </row>
    <row r="302" ht="15.75" customHeight="1">
      <c r="A302" s="9">
        <v>2023397.0</v>
      </c>
      <c r="B302" s="9">
        <v>1996330.0</v>
      </c>
      <c r="C302" s="9">
        <v>29959.0</v>
      </c>
      <c r="D302" s="9" t="s">
        <v>52</v>
      </c>
      <c r="E302" s="9" t="s">
        <v>53</v>
      </c>
      <c r="F302" s="9">
        <v>23136.0</v>
      </c>
      <c r="G302" s="9">
        <v>1996330.0</v>
      </c>
      <c r="H302" s="9">
        <v>1996330.0</v>
      </c>
      <c r="I302" s="9">
        <v>0.0</v>
      </c>
      <c r="J302" s="9">
        <v>0.0</v>
      </c>
      <c r="K302" s="9">
        <v>0.0</v>
      </c>
      <c r="L302" s="9" t="s">
        <v>54</v>
      </c>
      <c r="M302" s="9" t="s">
        <v>55</v>
      </c>
      <c r="N302" s="9">
        <v>2055527.94</v>
      </c>
      <c r="O302" s="9">
        <v>2055527.94</v>
      </c>
      <c r="R302" s="9" t="s">
        <v>60</v>
      </c>
      <c r="S302" s="9" t="s">
        <v>57</v>
      </c>
      <c r="T302" s="9" t="s">
        <v>61</v>
      </c>
      <c r="V302" s="9">
        <v>1868468.26</v>
      </c>
      <c r="W302" s="9">
        <v>0.0</v>
      </c>
      <c r="X302" s="9">
        <v>0.0</v>
      </c>
    </row>
    <row r="303" ht="15.75" customHeight="1">
      <c r="A303" s="9">
        <v>2024440.0</v>
      </c>
      <c r="B303" s="9">
        <v>4.2108998E7</v>
      </c>
      <c r="C303" s="9">
        <v>30227.0</v>
      </c>
      <c r="D303" s="9" t="s">
        <v>52</v>
      </c>
      <c r="E303" s="9" t="s">
        <v>53</v>
      </c>
      <c r="F303" s="9">
        <v>13182.0</v>
      </c>
      <c r="G303" s="9">
        <v>4.2108998E7</v>
      </c>
      <c r="H303" s="9">
        <v>4.2108998E7</v>
      </c>
      <c r="I303" s="9">
        <v>4.914326216E7</v>
      </c>
      <c r="J303" s="9">
        <v>0.0</v>
      </c>
      <c r="K303" s="9">
        <v>0.0</v>
      </c>
      <c r="L303" s="9" t="s">
        <v>69</v>
      </c>
      <c r="M303" s="9" t="s">
        <v>55</v>
      </c>
      <c r="N303" s="9">
        <v>4.052512116E7</v>
      </c>
      <c r="O303" s="9">
        <v>4.452141655E7</v>
      </c>
      <c r="P303" s="9">
        <v>1439888.04</v>
      </c>
      <c r="Q303" s="9">
        <v>1295899.24</v>
      </c>
      <c r="R303" s="9" t="s">
        <v>60</v>
      </c>
      <c r="S303" s="9" t="s">
        <v>57</v>
      </c>
      <c r="T303" s="9" t="s">
        <v>61</v>
      </c>
      <c r="V303" s="9">
        <v>4.784735427E7</v>
      </c>
      <c r="W303" s="9">
        <v>1295908.28</v>
      </c>
      <c r="X303" s="9">
        <v>0.0</v>
      </c>
    </row>
    <row r="304" ht="15.75" customHeight="1">
      <c r="A304" s="9">
        <v>2024944.0</v>
      </c>
      <c r="B304" s="9">
        <v>5702083.0</v>
      </c>
      <c r="C304" s="9">
        <v>30889.0</v>
      </c>
      <c r="D304" s="9" t="s">
        <v>52</v>
      </c>
      <c r="E304" s="9" t="s">
        <v>53</v>
      </c>
      <c r="F304" s="9">
        <v>18045.0</v>
      </c>
      <c r="G304" s="9">
        <v>6342407.58</v>
      </c>
      <c r="H304" s="9">
        <v>6342407.58</v>
      </c>
      <c r="I304" s="9">
        <v>6326137.35</v>
      </c>
      <c r="J304" s="9">
        <v>0.0</v>
      </c>
      <c r="K304" s="9">
        <v>0.0</v>
      </c>
      <c r="L304" s="9" t="s">
        <v>69</v>
      </c>
      <c r="M304" s="9" t="s">
        <v>55</v>
      </c>
      <c r="N304" s="9">
        <v>5540104.85</v>
      </c>
      <c r="O304" s="9">
        <v>5540104.85</v>
      </c>
      <c r="P304" s="9">
        <v>161878.28</v>
      </c>
      <c r="Q304" s="9">
        <v>161878.28</v>
      </c>
      <c r="R304" s="9" t="s">
        <v>60</v>
      </c>
      <c r="S304" s="9" t="s">
        <v>57</v>
      </c>
      <c r="T304" s="9" t="s">
        <v>61</v>
      </c>
      <c r="V304" s="9">
        <v>6325355.09</v>
      </c>
      <c r="W304" s="9">
        <v>0.0</v>
      </c>
      <c r="X304" s="9">
        <v>0.0</v>
      </c>
    </row>
    <row r="305" ht="15.75" customHeight="1">
      <c r="A305" s="9">
        <v>2025635.0</v>
      </c>
      <c r="B305" s="9">
        <v>1557666.0</v>
      </c>
      <c r="C305" s="9">
        <v>30733.0</v>
      </c>
      <c r="D305" s="9" t="s">
        <v>52</v>
      </c>
      <c r="E305" s="9" t="s">
        <v>53</v>
      </c>
      <c r="F305" s="9">
        <v>19876.0</v>
      </c>
      <c r="G305" s="9">
        <v>1557666.0</v>
      </c>
      <c r="H305" s="9">
        <v>1557666.0</v>
      </c>
      <c r="I305" s="9">
        <v>1734066.76</v>
      </c>
      <c r="J305" s="9">
        <v>0.0</v>
      </c>
      <c r="K305" s="9">
        <v>0.0</v>
      </c>
      <c r="L305" s="9" t="s">
        <v>69</v>
      </c>
      <c r="M305" s="9" t="s">
        <v>55</v>
      </c>
      <c r="N305" s="9">
        <v>1554076.48</v>
      </c>
      <c r="O305" s="9">
        <v>1709484.12</v>
      </c>
      <c r="R305" s="9" t="s">
        <v>60</v>
      </c>
      <c r="S305" s="9" t="s">
        <v>57</v>
      </c>
      <c r="T305" s="9" t="s">
        <v>61</v>
      </c>
      <c r="V305" s="9">
        <v>1722014.26</v>
      </c>
      <c r="W305" s="9">
        <v>0.0</v>
      </c>
      <c r="X305" s="9">
        <v>0.0</v>
      </c>
    </row>
    <row r="306" ht="15.75" customHeight="1">
      <c r="A306" s="9">
        <v>2025710.0</v>
      </c>
      <c r="B306" s="9">
        <v>1104127.0</v>
      </c>
      <c r="C306" s="9">
        <v>29910.0</v>
      </c>
      <c r="D306" s="9" t="s">
        <v>52</v>
      </c>
      <c r="E306" s="9" t="s">
        <v>53</v>
      </c>
      <c r="F306" s="9">
        <v>16768.0</v>
      </c>
      <c r="G306" s="9">
        <v>1104127.0</v>
      </c>
      <c r="H306" s="9">
        <v>1104127.0</v>
      </c>
      <c r="I306" s="9">
        <v>0.0</v>
      </c>
      <c r="J306" s="9">
        <v>0.0</v>
      </c>
      <c r="K306" s="9">
        <v>0.0</v>
      </c>
      <c r="L306" s="9" t="s">
        <v>54</v>
      </c>
      <c r="M306" s="9" t="s">
        <v>55</v>
      </c>
      <c r="N306" s="9">
        <v>1104127.0</v>
      </c>
      <c r="O306" s="9">
        <v>1104127.0</v>
      </c>
      <c r="R306" s="9" t="s">
        <v>75</v>
      </c>
      <c r="S306" s="9" t="s">
        <v>57</v>
      </c>
      <c r="T306" s="9" t="s">
        <v>76</v>
      </c>
    </row>
    <row r="307" ht="15.75" customHeight="1">
      <c r="A307" s="9">
        <v>2026348.0</v>
      </c>
      <c r="B307" s="9">
        <v>41906.0</v>
      </c>
      <c r="C307" s="9">
        <v>31139.0</v>
      </c>
      <c r="D307" s="9" t="s">
        <v>52</v>
      </c>
      <c r="E307" s="9" t="s">
        <v>53</v>
      </c>
      <c r="F307" s="9">
        <v>20044.0</v>
      </c>
      <c r="G307" s="9">
        <v>41906.0</v>
      </c>
      <c r="H307" s="9">
        <v>41906.0</v>
      </c>
      <c r="I307" s="9">
        <v>41571.47</v>
      </c>
      <c r="J307" s="9">
        <v>0.0</v>
      </c>
      <c r="K307" s="9">
        <v>0.0</v>
      </c>
      <c r="L307" s="9" t="s">
        <v>59</v>
      </c>
      <c r="M307" s="9" t="s">
        <v>55</v>
      </c>
      <c r="R307" s="9" t="s">
        <v>60</v>
      </c>
      <c r="S307" s="9" t="s">
        <v>57</v>
      </c>
      <c r="T307" s="9" t="s">
        <v>61</v>
      </c>
      <c r="V307" s="9">
        <v>41571.47</v>
      </c>
      <c r="W307" s="9">
        <v>0.0</v>
      </c>
      <c r="X307" s="9">
        <v>0.0</v>
      </c>
    </row>
    <row r="308" ht="15.75" customHeight="1">
      <c r="A308" s="9">
        <v>2026750.0</v>
      </c>
      <c r="B308" s="9">
        <v>1220531.0</v>
      </c>
      <c r="C308" s="9">
        <v>30018.0</v>
      </c>
      <c r="D308" s="9" t="s">
        <v>52</v>
      </c>
      <c r="E308" s="9" t="s">
        <v>53</v>
      </c>
      <c r="F308" s="9">
        <v>5004.0</v>
      </c>
      <c r="G308" s="9">
        <v>1764493.0</v>
      </c>
      <c r="H308" s="9">
        <v>1764493.0</v>
      </c>
      <c r="I308" s="9">
        <v>554087.69</v>
      </c>
      <c r="J308" s="9">
        <v>0.0</v>
      </c>
      <c r="K308" s="9">
        <v>0.0</v>
      </c>
      <c r="L308" s="9" t="s">
        <v>59</v>
      </c>
      <c r="M308" s="9" t="s">
        <v>55</v>
      </c>
      <c r="N308" s="9">
        <v>1678233.29</v>
      </c>
      <c r="O308" s="9">
        <v>1678233.29</v>
      </c>
      <c r="P308" s="9">
        <v>73322.72</v>
      </c>
      <c r="Q308" s="9">
        <v>73000.0</v>
      </c>
      <c r="R308" s="9" t="s">
        <v>60</v>
      </c>
      <c r="S308" s="9" t="s">
        <v>57</v>
      </c>
      <c r="T308" s="9" t="s">
        <v>61</v>
      </c>
      <c r="V308" s="9">
        <v>1678233.29</v>
      </c>
      <c r="W308" s="9">
        <v>0.0</v>
      </c>
      <c r="X308" s="9">
        <v>0.0</v>
      </c>
    </row>
    <row r="309" ht="15.75" customHeight="1">
      <c r="A309" s="9">
        <v>2028854.0</v>
      </c>
      <c r="B309" s="9">
        <v>494174.0</v>
      </c>
      <c r="C309" s="9">
        <v>31108.0</v>
      </c>
      <c r="D309" s="9" t="s">
        <v>52</v>
      </c>
      <c r="E309" s="9" t="s">
        <v>53</v>
      </c>
      <c r="F309" s="9">
        <v>26670.0</v>
      </c>
      <c r="G309" s="9">
        <v>494174.0</v>
      </c>
      <c r="H309" s="9">
        <v>494174.0</v>
      </c>
      <c r="I309" s="9">
        <v>390695.09</v>
      </c>
      <c r="J309" s="9">
        <v>0.0</v>
      </c>
      <c r="K309" s="9">
        <v>0.0</v>
      </c>
      <c r="L309" s="9" t="s">
        <v>69</v>
      </c>
      <c r="M309" s="9" t="s">
        <v>55</v>
      </c>
      <c r="R309" s="9" t="s">
        <v>60</v>
      </c>
      <c r="S309" s="9" t="s">
        <v>57</v>
      </c>
      <c r="T309" s="9" t="s">
        <v>61</v>
      </c>
      <c r="V309" s="9">
        <v>389292.03</v>
      </c>
      <c r="W309" s="9">
        <v>0.0</v>
      </c>
      <c r="X309" s="9">
        <v>0.0</v>
      </c>
    </row>
    <row r="310" ht="15.75" customHeight="1">
      <c r="A310" s="9">
        <v>2052180.0</v>
      </c>
      <c r="B310" s="9">
        <v>530820.0</v>
      </c>
      <c r="C310" s="9">
        <v>30921.0</v>
      </c>
      <c r="D310" s="9" t="s">
        <v>52</v>
      </c>
      <c r="E310" s="9" t="s">
        <v>53</v>
      </c>
      <c r="F310" s="9">
        <v>49089.0</v>
      </c>
      <c r="G310" s="9">
        <v>530820.0</v>
      </c>
      <c r="H310" s="9">
        <v>530820.0</v>
      </c>
      <c r="I310" s="9">
        <v>0.0</v>
      </c>
      <c r="J310" s="9">
        <v>0.0</v>
      </c>
      <c r="K310" s="9">
        <v>0.0</v>
      </c>
      <c r="L310" s="9" t="s">
        <v>54</v>
      </c>
      <c r="M310" s="9" t="s">
        <v>55</v>
      </c>
      <c r="N310" s="9">
        <v>511044.0</v>
      </c>
      <c r="O310" s="9">
        <v>511044.0</v>
      </c>
      <c r="P310" s="9">
        <v>21000.0</v>
      </c>
      <c r="Q310" s="9">
        <v>21000.0</v>
      </c>
      <c r="R310" s="9" t="s">
        <v>60</v>
      </c>
      <c r="S310" s="9" t="s">
        <v>57</v>
      </c>
      <c r="T310" s="9" t="s">
        <v>61</v>
      </c>
      <c r="V310" s="9">
        <v>546012.46</v>
      </c>
      <c r="W310" s="9">
        <v>0.0</v>
      </c>
      <c r="X310" s="9">
        <v>0.0</v>
      </c>
    </row>
    <row r="311" ht="15.75" customHeight="1">
      <c r="A311" s="9">
        <v>2052248.0</v>
      </c>
      <c r="B311" s="9">
        <v>225978.0</v>
      </c>
      <c r="C311" s="9">
        <v>30490.0</v>
      </c>
      <c r="D311" s="9" t="s">
        <v>52</v>
      </c>
      <c r="E311" s="9" t="s">
        <v>53</v>
      </c>
      <c r="F311" s="9">
        <v>56465.0</v>
      </c>
      <c r="G311" s="9">
        <v>225978.0</v>
      </c>
      <c r="H311" s="9">
        <v>225978.0</v>
      </c>
      <c r="I311" s="9">
        <v>252040.69</v>
      </c>
      <c r="J311" s="9">
        <v>0.0</v>
      </c>
      <c r="K311" s="9">
        <v>0.0</v>
      </c>
      <c r="L311" s="9" t="s">
        <v>59</v>
      </c>
      <c r="M311" s="9" t="s">
        <v>55</v>
      </c>
      <c r="R311" s="9" t="s">
        <v>60</v>
      </c>
      <c r="S311" s="9" t="s">
        <v>57</v>
      </c>
      <c r="T311" s="9" t="s">
        <v>61</v>
      </c>
      <c r="V311" s="9">
        <v>233024.63</v>
      </c>
      <c r="W311" s="9">
        <v>0.0</v>
      </c>
      <c r="X311" s="9">
        <v>0.0</v>
      </c>
    </row>
    <row r="312" ht="15.75" customHeight="1">
      <c r="A312" s="9">
        <v>2052366.0</v>
      </c>
      <c r="B312" s="9">
        <v>304976.0</v>
      </c>
      <c r="C312" s="9">
        <v>30926.0</v>
      </c>
      <c r="D312" s="9" t="s">
        <v>52</v>
      </c>
      <c r="E312" s="9" t="s">
        <v>53</v>
      </c>
      <c r="F312" s="9">
        <v>48481.0</v>
      </c>
      <c r="G312" s="9">
        <v>304976.0</v>
      </c>
      <c r="H312" s="9">
        <v>304976.0</v>
      </c>
      <c r="I312" s="9">
        <v>372730.07</v>
      </c>
      <c r="J312" s="9">
        <v>0.0</v>
      </c>
      <c r="K312" s="9">
        <v>0.0</v>
      </c>
      <c r="L312" s="9" t="s">
        <v>59</v>
      </c>
      <c r="M312" s="9" t="s">
        <v>55</v>
      </c>
      <c r="N312" s="9">
        <v>296343.0</v>
      </c>
      <c r="O312" s="9">
        <v>311160.15</v>
      </c>
      <c r="R312" s="9" t="s">
        <v>60</v>
      </c>
      <c r="S312" s="9" t="s">
        <v>57</v>
      </c>
      <c r="T312" s="9" t="s">
        <v>61</v>
      </c>
      <c r="V312" s="9">
        <v>302097.6</v>
      </c>
      <c r="W312" s="9">
        <v>0.0</v>
      </c>
      <c r="X312" s="9">
        <v>0.0</v>
      </c>
    </row>
    <row r="313" ht="15.75" customHeight="1">
      <c r="A313" s="9">
        <v>2052983.0</v>
      </c>
      <c r="B313" s="9">
        <v>1172978.0</v>
      </c>
      <c r="C313" s="9">
        <v>30488.0</v>
      </c>
      <c r="D313" s="9" t="s">
        <v>52</v>
      </c>
      <c r="E313" s="9" t="s">
        <v>53</v>
      </c>
      <c r="F313" s="9">
        <v>48991.0</v>
      </c>
      <c r="G313" s="9">
        <v>1172978.0</v>
      </c>
      <c r="H313" s="9">
        <v>1221978.01</v>
      </c>
      <c r="I313" s="9">
        <v>1315330.43</v>
      </c>
      <c r="J313" s="9">
        <v>0.0</v>
      </c>
      <c r="K313" s="9">
        <v>0.0</v>
      </c>
      <c r="L313" s="9" t="s">
        <v>69</v>
      </c>
      <c r="M313" s="9" t="s">
        <v>55</v>
      </c>
      <c r="N313" s="9">
        <v>1122910.87</v>
      </c>
      <c r="O313" s="9">
        <v>1152988.69</v>
      </c>
      <c r="P313" s="9">
        <v>45000.0</v>
      </c>
      <c r="Q313" s="9">
        <v>49000.0</v>
      </c>
      <c r="R313" s="9" t="s">
        <v>60</v>
      </c>
      <c r="S313" s="9" t="s">
        <v>57</v>
      </c>
      <c r="T313" s="9" t="s">
        <v>61</v>
      </c>
      <c r="V313" s="9">
        <v>1156429.67</v>
      </c>
      <c r="W313" s="9">
        <v>47040.0</v>
      </c>
      <c r="X313" s="9">
        <v>0.0</v>
      </c>
    </row>
    <row r="314" ht="15.75" customHeight="1">
      <c r="A314" s="9">
        <v>2053284.0</v>
      </c>
      <c r="B314" s="9">
        <v>9.749220687E7</v>
      </c>
      <c r="C314" s="9">
        <v>45834.0</v>
      </c>
      <c r="D314" s="9" t="s">
        <v>52</v>
      </c>
      <c r="E314" s="9" t="s">
        <v>103</v>
      </c>
      <c r="F314" s="9">
        <v>2053284.0</v>
      </c>
      <c r="H314" s="9">
        <v>1.5028502467E8</v>
      </c>
      <c r="I314" s="9">
        <v>6.6718842E7</v>
      </c>
      <c r="J314" s="9">
        <v>8299955.0</v>
      </c>
      <c r="K314" s="9">
        <v>3.6934129E7</v>
      </c>
      <c r="L314" s="9" t="s">
        <v>59</v>
      </c>
      <c r="M314" s="9" t="s">
        <v>55</v>
      </c>
      <c r="N314" s="9">
        <v>7.869043463E7</v>
      </c>
      <c r="O314" s="9">
        <v>7.7895E7</v>
      </c>
      <c r="R314" s="9" t="s">
        <v>104</v>
      </c>
      <c r="S314" s="9" t="s">
        <v>82</v>
      </c>
      <c r="T314" s="9" t="s">
        <v>83</v>
      </c>
      <c r="U314" s="9" t="s">
        <v>105</v>
      </c>
    </row>
    <row r="315" ht="15.75" customHeight="1">
      <c r="A315" s="9">
        <v>2053769.0</v>
      </c>
      <c r="B315" s="9">
        <v>1522906.0</v>
      </c>
      <c r="C315" s="9">
        <v>29931.0</v>
      </c>
      <c r="D315" s="9" t="s">
        <v>52</v>
      </c>
      <c r="E315" s="9" t="s">
        <v>53</v>
      </c>
      <c r="F315" s="9">
        <v>40119.0</v>
      </c>
      <c r="G315" s="9">
        <v>1522906.0</v>
      </c>
      <c r="H315" s="9">
        <v>1522906.0</v>
      </c>
      <c r="I315" s="9">
        <v>0.0</v>
      </c>
      <c r="J315" s="9">
        <v>0.0</v>
      </c>
      <c r="K315" s="9">
        <v>0.0</v>
      </c>
      <c r="L315" s="9" t="s">
        <v>54</v>
      </c>
      <c r="M315" s="9" t="s">
        <v>55</v>
      </c>
      <c r="N315" s="9">
        <v>1533417.0</v>
      </c>
      <c r="O315" s="9">
        <v>1521517.0</v>
      </c>
      <c r="P315" s="9">
        <v>1533417.0</v>
      </c>
      <c r="Q315" s="9">
        <v>0.0</v>
      </c>
      <c r="R315" s="9" t="s">
        <v>60</v>
      </c>
      <c r="S315" s="9" t="s">
        <v>57</v>
      </c>
      <c r="T315" s="9" t="s">
        <v>61</v>
      </c>
      <c r="V315" s="9">
        <v>1602216.57</v>
      </c>
      <c r="W315" s="9">
        <v>0.0</v>
      </c>
      <c r="X315" s="9">
        <v>0.0</v>
      </c>
    </row>
    <row r="316" ht="15.75" customHeight="1">
      <c r="A316" s="9">
        <v>2053819.0</v>
      </c>
      <c r="B316" s="9">
        <v>1.6747708E7</v>
      </c>
      <c r="C316" s="9">
        <v>31600.0</v>
      </c>
      <c r="D316" s="9" t="s">
        <v>52</v>
      </c>
      <c r="E316" s="9" t="s">
        <v>53</v>
      </c>
      <c r="F316" s="9">
        <v>52192.0</v>
      </c>
      <c r="G316" s="9">
        <v>5.5286206E7</v>
      </c>
      <c r="H316" s="9">
        <v>5.911359271E7</v>
      </c>
      <c r="I316" s="9">
        <v>5.47060219E7</v>
      </c>
      <c r="J316" s="9">
        <v>0.0</v>
      </c>
      <c r="K316" s="9">
        <v>0.0</v>
      </c>
      <c r="L316" s="9" t="s">
        <v>59</v>
      </c>
      <c r="M316" s="9" t="s">
        <v>55</v>
      </c>
      <c r="N316" s="9">
        <v>5.302352075E7</v>
      </c>
      <c r="O316" s="9">
        <v>5.30235E7</v>
      </c>
      <c r="P316" s="9">
        <v>325677.09</v>
      </c>
      <c r="Q316" s="9">
        <v>302879.69</v>
      </c>
      <c r="R316" s="9" t="s">
        <v>77</v>
      </c>
      <c r="S316" s="9" t="s">
        <v>78</v>
      </c>
      <c r="T316" s="9" t="s">
        <v>79</v>
      </c>
      <c r="U316" s="9" t="s">
        <v>80</v>
      </c>
    </row>
    <row r="317" ht="15.75" customHeight="1">
      <c r="A317" s="9">
        <v>2053833.0</v>
      </c>
      <c r="B317" s="9">
        <v>4106977.0</v>
      </c>
      <c r="C317" s="9">
        <v>30958.0</v>
      </c>
      <c r="D317" s="9" t="s">
        <v>52</v>
      </c>
      <c r="E317" s="9" t="s">
        <v>53</v>
      </c>
      <c r="F317" s="9">
        <v>51107.0</v>
      </c>
      <c r="G317" s="9">
        <v>7647258.17</v>
      </c>
      <c r="H317" s="9">
        <v>7534662.3</v>
      </c>
      <c r="I317" s="9">
        <v>7286178.41</v>
      </c>
      <c r="J317" s="9">
        <v>0.0</v>
      </c>
      <c r="K317" s="9">
        <v>41500.0</v>
      </c>
      <c r="L317" s="9" t="s">
        <v>59</v>
      </c>
      <c r="M317" s="9" t="s">
        <v>55</v>
      </c>
      <c r="N317" s="9">
        <v>7642091.73</v>
      </c>
      <c r="O317" s="9">
        <v>7063261.28</v>
      </c>
      <c r="P317" s="9">
        <v>350502.6</v>
      </c>
      <c r="Q317" s="9">
        <v>294540.0</v>
      </c>
      <c r="R317" s="9" t="s">
        <v>94</v>
      </c>
      <c r="S317" s="9" t="s">
        <v>57</v>
      </c>
      <c r="T317" s="9" t="s">
        <v>95</v>
      </c>
    </row>
    <row r="318" ht="15.75" customHeight="1">
      <c r="A318" s="9">
        <v>2054302.0</v>
      </c>
      <c r="B318" s="9">
        <v>1207376.0</v>
      </c>
      <c r="C318" s="9">
        <v>31244.0</v>
      </c>
      <c r="D318" s="9" t="s">
        <v>52</v>
      </c>
      <c r="E318" s="9" t="s">
        <v>53</v>
      </c>
      <c r="F318" s="9">
        <v>48559.0</v>
      </c>
      <c r="G318" s="9">
        <v>1207376.0</v>
      </c>
      <c r="H318" s="9">
        <v>1207376.0</v>
      </c>
      <c r="I318" s="9">
        <v>12500.0</v>
      </c>
      <c r="J318" s="9">
        <v>0.0</v>
      </c>
      <c r="K318" s="9">
        <v>0.0</v>
      </c>
      <c r="L318" s="9" t="s">
        <v>59</v>
      </c>
      <c r="M318" s="9" t="s">
        <v>55</v>
      </c>
      <c r="R318" s="9" t="s">
        <v>72</v>
      </c>
      <c r="S318" s="9" t="s">
        <v>57</v>
      </c>
      <c r="T318" s="9" t="s">
        <v>73</v>
      </c>
      <c r="V318" s="9">
        <v>1146649.45</v>
      </c>
      <c r="W318" s="9">
        <v>0.0</v>
      </c>
      <c r="X318" s="9">
        <v>0.0</v>
      </c>
    </row>
    <row r="319" ht="15.75" customHeight="1">
      <c r="A319" s="9">
        <v>2054319.0</v>
      </c>
      <c r="B319" s="9">
        <v>3298785.0</v>
      </c>
      <c r="C319" s="9">
        <v>30935.0</v>
      </c>
      <c r="D319" s="9" t="s">
        <v>52</v>
      </c>
      <c r="E319" s="9" t="s">
        <v>53</v>
      </c>
      <c r="F319" s="9">
        <v>57032.0</v>
      </c>
      <c r="G319" s="9">
        <v>3934678.0</v>
      </c>
      <c r="H319" s="9">
        <v>3934678.0</v>
      </c>
      <c r="I319" s="9">
        <v>4103463.17</v>
      </c>
      <c r="J319" s="9">
        <v>0.0</v>
      </c>
      <c r="K319" s="9">
        <v>0.0</v>
      </c>
      <c r="L319" s="9" t="s">
        <v>59</v>
      </c>
      <c r="M319" s="9" t="s">
        <v>55</v>
      </c>
      <c r="N319" s="9">
        <v>3777590.6</v>
      </c>
      <c r="O319" s="9">
        <v>3777590.6</v>
      </c>
      <c r="R319" s="9" t="s">
        <v>60</v>
      </c>
      <c r="S319" s="9" t="s">
        <v>57</v>
      </c>
      <c r="T319" s="9" t="s">
        <v>61</v>
      </c>
      <c r="V319" s="9">
        <v>3523266.64</v>
      </c>
      <c r="W319" s="9">
        <v>83795.32</v>
      </c>
      <c r="X319" s="9">
        <v>0.0</v>
      </c>
    </row>
    <row r="320" ht="15.75" customHeight="1">
      <c r="A320" s="9">
        <v>2054320.0</v>
      </c>
      <c r="B320" s="9">
        <v>1990707.0</v>
      </c>
      <c r="C320" s="9">
        <v>30319.0</v>
      </c>
      <c r="D320" s="9" t="s">
        <v>52</v>
      </c>
      <c r="E320" s="9" t="s">
        <v>53</v>
      </c>
      <c r="F320" s="9">
        <v>38127.0</v>
      </c>
      <c r="G320" s="9">
        <v>2220430.0</v>
      </c>
      <c r="H320" s="9">
        <v>2220430.0</v>
      </c>
      <c r="I320" s="9">
        <v>420970.82</v>
      </c>
      <c r="J320" s="9">
        <v>0.0</v>
      </c>
      <c r="K320" s="9">
        <v>0.0</v>
      </c>
      <c r="L320" s="9" t="s">
        <v>59</v>
      </c>
      <c r="M320" s="9" t="s">
        <v>55</v>
      </c>
      <c r="N320" s="9">
        <v>1453898.89</v>
      </c>
      <c r="O320" s="9">
        <v>1453898.89</v>
      </c>
      <c r="P320" s="9">
        <v>1453898.89</v>
      </c>
      <c r="Q320" s="9">
        <v>15000.0</v>
      </c>
      <c r="R320" s="9" t="s">
        <v>60</v>
      </c>
      <c r="S320" s="9" t="s">
        <v>57</v>
      </c>
      <c r="T320" s="9" t="s">
        <v>61</v>
      </c>
      <c r="V320" s="9">
        <v>1453898.89</v>
      </c>
      <c r="W320" s="9">
        <v>0.0</v>
      </c>
      <c r="X320" s="9">
        <v>0.0</v>
      </c>
    </row>
    <row r="321" ht="15.75" customHeight="1">
      <c r="A321" s="9">
        <v>2054351.0</v>
      </c>
      <c r="B321" s="9">
        <v>252228.0</v>
      </c>
      <c r="C321" s="9">
        <v>29726.0</v>
      </c>
      <c r="D321" s="9" t="s">
        <v>52</v>
      </c>
      <c r="E321" s="9" t="s">
        <v>53</v>
      </c>
      <c r="F321" s="9">
        <v>54436.0</v>
      </c>
      <c r="G321" s="9">
        <v>252228.0</v>
      </c>
      <c r="H321" s="9">
        <v>252228.0</v>
      </c>
      <c r="I321" s="9">
        <v>0.0</v>
      </c>
      <c r="J321" s="9">
        <v>0.0</v>
      </c>
      <c r="K321" s="9">
        <v>0.0</v>
      </c>
      <c r="L321" s="9" t="s">
        <v>54</v>
      </c>
      <c r="M321" s="9" t="s">
        <v>65</v>
      </c>
      <c r="N321" s="9">
        <v>15000.0</v>
      </c>
      <c r="O321" s="9">
        <v>15000.0</v>
      </c>
      <c r="R321" s="9" t="s">
        <v>60</v>
      </c>
      <c r="S321" s="9" t="s">
        <v>57</v>
      </c>
      <c r="T321" s="9" t="s">
        <v>61</v>
      </c>
      <c r="V321" s="9">
        <v>15000.0</v>
      </c>
      <c r="W321" s="9">
        <v>0.0</v>
      </c>
    </row>
    <row r="322" ht="15.75" customHeight="1">
      <c r="A322" s="9">
        <v>2054352.0</v>
      </c>
      <c r="B322" s="9">
        <v>367758.0</v>
      </c>
      <c r="C322" s="9">
        <v>30250.0</v>
      </c>
      <c r="D322" s="9" t="s">
        <v>52</v>
      </c>
      <c r="E322" s="9" t="s">
        <v>53</v>
      </c>
      <c r="F322" s="9">
        <v>54521.0</v>
      </c>
      <c r="G322" s="9">
        <v>367758.0</v>
      </c>
      <c r="H322" s="9">
        <v>367758.0</v>
      </c>
      <c r="I322" s="9">
        <v>368044.77</v>
      </c>
      <c r="J322" s="9">
        <v>0.0</v>
      </c>
      <c r="K322" s="9">
        <v>0.0</v>
      </c>
      <c r="L322" s="9" t="s">
        <v>59</v>
      </c>
      <c r="M322" s="9" t="s">
        <v>55</v>
      </c>
      <c r="N322" s="9">
        <v>357294.9</v>
      </c>
      <c r="O322" s="9">
        <v>357294.9</v>
      </c>
      <c r="R322" s="9" t="s">
        <v>60</v>
      </c>
      <c r="S322" s="9" t="s">
        <v>57</v>
      </c>
      <c r="T322" s="9" t="s">
        <v>61</v>
      </c>
      <c r="V322" s="9">
        <v>357294.0</v>
      </c>
      <c r="W322" s="9">
        <v>10750.0</v>
      </c>
      <c r="X322" s="9">
        <v>0.0</v>
      </c>
    </row>
    <row r="323" ht="15.75" customHeight="1">
      <c r="A323" s="9">
        <v>2054469.0</v>
      </c>
      <c r="B323" s="9">
        <v>7625525.0</v>
      </c>
      <c r="C323" s="9">
        <v>29888.0</v>
      </c>
      <c r="D323" s="9" t="s">
        <v>52</v>
      </c>
      <c r="E323" s="9" t="s">
        <v>53</v>
      </c>
      <c r="F323" s="9">
        <v>55889.0</v>
      </c>
      <c r="G323" s="9">
        <v>8837326.81</v>
      </c>
      <c r="H323" s="9">
        <v>8837326.81</v>
      </c>
      <c r="I323" s="9">
        <v>7726442.53</v>
      </c>
      <c r="J323" s="9">
        <v>0.0</v>
      </c>
      <c r="K323" s="9">
        <v>0.0</v>
      </c>
      <c r="L323" s="9" t="s">
        <v>59</v>
      </c>
      <c r="M323" s="9" t="s">
        <v>55</v>
      </c>
      <c r="N323" s="9">
        <v>7524388.87</v>
      </c>
      <c r="O323" s="9">
        <v>7479242.54</v>
      </c>
      <c r="P323" s="9">
        <v>237200.0</v>
      </c>
      <c r="Q323" s="9">
        <v>237200.0</v>
      </c>
      <c r="R323" s="9" t="s">
        <v>60</v>
      </c>
      <c r="S323" s="9" t="s">
        <v>57</v>
      </c>
      <c r="T323" s="9" t="s">
        <v>61</v>
      </c>
      <c r="V323" s="9">
        <v>7479242.53</v>
      </c>
      <c r="W323" s="9">
        <v>237200.0</v>
      </c>
      <c r="X323" s="9">
        <v>0.0</v>
      </c>
    </row>
    <row r="324" ht="15.75" customHeight="1">
      <c r="A324" s="9">
        <v>2056442.0</v>
      </c>
      <c r="B324" s="9">
        <v>3338203.0</v>
      </c>
      <c r="C324" s="9">
        <v>30338.0</v>
      </c>
      <c r="D324" s="9" t="s">
        <v>52</v>
      </c>
      <c r="E324" s="9" t="s">
        <v>53</v>
      </c>
      <c r="F324" s="9">
        <v>67167.0</v>
      </c>
      <c r="G324" s="9">
        <v>3338203.0</v>
      </c>
      <c r="H324" s="9">
        <v>3338203.0</v>
      </c>
      <c r="I324" s="9">
        <v>3525115.92</v>
      </c>
      <c r="J324" s="9">
        <v>0.0</v>
      </c>
      <c r="K324" s="9">
        <v>0.0</v>
      </c>
      <c r="L324" s="9" t="s">
        <v>59</v>
      </c>
      <c r="M324" s="9" t="s">
        <v>55</v>
      </c>
      <c r="N324" s="9">
        <v>3221905.66</v>
      </c>
      <c r="O324" s="9">
        <v>3221905.66</v>
      </c>
      <c r="P324" s="9">
        <v>106150.0</v>
      </c>
      <c r="Q324" s="9">
        <v>106150.0</v>
      </c>
      <c r="R324" s="9" t="s">
        <v>60</v>
      </c>
      <c r="S324" s="9" t="s">
        <v>57</v>
      </c>
      <c r="T324" s="9" t="s">
        <v>61</v>
      </c>
      <c r="V324" s="9">
        <v>3391956.86</v>
      </c>
      <c r="W324" s="9">
        <v>0.0</v>
      </c>
      <c r="X324" s="9">
        <v>0.0</v>
      </c>
    </row>
    <row r="325" ht="15.75" customHeight="1">
      <c r="A325" s="9">
        <v>2057192.0</v>
      </c>
      <c r="B325" s="9">
        <v>287195.0</v>
      </c>
      <c r="C325" s="9">
        <v>29863.0</v>
      </c>
      <c r="D325" s="9" t="s">
        <v>52</v>
      </c>
      <c r="E325" s="9" t="s">
        <v>53</v>
      </c>
      <c r="F325" s="9">
        <v>49778.0</v>
      </c>
      <c r="G325" s="9">
        <v>287195.0</v>
      </c>
      <c r="H325" s="9">
        <v>287195.0</v>
      </c>
      <c r="I325" s="9">
        <v>0.0</v>
      </c>
      <c r="J325" s="9">
        <v>0.0</v>
      </c>
      <c r="K325" s="9">
        <v>0.0</v>
      </c>
      <c r="L325" s="9" t="s">
        <v>54</v>
      </c>
      <c r="M325" s="9" t="s">
        <v>55</v>
      </c>
      <c r="N325" s="9">
        <v>281119.0</v>
      </c>
      <c r="O325" s="9">
        <v>212611.0</v>
      </c>
      <c r="P325" s="9">
        <v>281119.0</v>
      </c>
      <c r="Q325" s="9">
        <v>0.0</v>
      </c>
      <c r="R325" s="9" t="s">
        <v>60</v>
      </c>
      <c r="S325" s="9" t="s">
        <v>57</v>
      </c>
      <c r="T325" s="9" t="s">
        <v>61</v>
      </c>
    </row>
    <row r="326" ht="15.75" customHeight="1">
      <c r="A326" s="9">
        <v>2057227.0</v>
      </c>
      <c r="B326" s="9">
        <v>1837093.0</v>
      </c>
      <c r="C326" s="9">
        <v>31013.0</v>
      </c>
      <c r="D326" s="9" t="s">
        <v>52</v>
      </c>
      <c r="E326" s="9" t="s">
        <v>53</v>
      </c>
      <c r="F326" s="9">
        <v>47862.0</v>
      </c>
      <c r="G326" s="9">
        <v>1837093.0</v>
      </c>
      <c r="H326" s="9">
        <v>1837093.0</v>
      </c>
      <c r="I326" s="9">
        <v>1787424.27</v>
      </c>
      <c r="J326" s="9">
        <v>0.0</v>
      </c>
      <c r="K326" s="9">
        <v>0.0</v>
      </c>
      <c r="L326" s="9" t="s">
        <v>59</v>
      </c>
      <c r="M326" s="9" t="s">
        <v>55</v>
      </c>
      <c r="R326" s="9" t="s">
        <v>72</v>
      </c>
      <c r="S326" s="9" t="s">
        <v>57</v>
      </c>
      <c r="T326" s="9" t="s">
        <v>73</v>
      </c>
      <c r="V326" s="9">
        <v>1795291.0</v>
      </c>
      <c r="W326" s="9">
        <v>0.0</v>
      </c>
      <c r="X326" s="9">
        <v>0.0</v>
      </c>
    </row>
    <row r="327" ht="15.75" customHeight="1">
      <c r="A327" s="9">
        <v>2058181.0</v>
      </c>
      <c r="B327" s="9">
        <v>1599805.0</v>
      </c>
      <c r="C327" s="9">
        <v>30447.0</v>
      </c>
      <c r="D327" s="9" t="s">
        <v>52</v>
      </c>
      <c r="E327" s="9" t="s">
        <v>53</v>
      </c>
      <c r="F327" s="9">
        <v>53769.0</v>
      </c>
      <c r="G327" s="9">
        <v>1747738.68</v>
      </c>
      <c r="H327" s="9">
        <v>1747738.68</v>
      </c>
      <c r="I327" s="9">
        <v>1737973.5</v>
      </c>
      <c r="J327" s="9">
        <v>0.0</v>
      </c>
      <c r="K327" s="9">
        <v>0.0</v>
      </c>
      <c r="L327" s="9" t="s">
        <v>69</v>
      </c>
      <c r="M327" s="9" t="s">
        <v>55</v>
      </c>
      <c r="N327" s="9">
        <v>1628599.37</v>
      </c>
      <c r="O327" s="9">
        <v>1579741.39</v>
      </c>
      <c r="P327" s="9">
        <v>29857.0</v>
      </c>
      <c r="Q327" s="9">
        <v>29857.0</v>
      </c>
      <c r="R327" s="9" t="s">
        <v>60</v>
      </c>
      <c r="S327" s="9" t="s">
        <v>57</v>
      </c>
      <c r="T327" s="9" t="s">
        <v>61</v>
      </c>
      <c r="V327" s="9">
        <v>1609598.33</v>
      </c>
      <c r="W327" s="9">
        <v>0.0</v>
      </c>
      <c r="X327" s="9">
        <v>0.0</v>
      </c>
    </row>
    <row r="328" ht="15.75" customHeight="1">
      <c r="A328" s="9">
        <v>2058399.0</v>
      </c>
      <c r="B328" s="9">
        <v>1.8870402E7</v>
      </c>
      <c r="C328" s="9">
        <v>30280.0</v>
      </c>
      <c r="D328" s="9" t="s">
        <v>52</v>
      </c>
      <c r="E328" s="9" t="s">
        <v>53</v>
      </c>
      <c r="F328" s="9">
        <v>42224.0</v>
      </c>
      <c r="G328" s="9">
        <v>1.8870402E7</v>
      </c>
      <c r="H328" s="9">
        <v>1.768929929E7</v>
      </c>
      <c r="I328" s="9">
        <v>1.574634893E7</v>
      </c>
      <c r="J328" s="9">
        <v>0.0</v>
      </c>
      <c r="K328" s="9">
        <v>0.0</v>
      </c>
      <c r="L328" s="9" t="s">
        <v>59</v>
      </c>
      <c r="M328" s="9" t="s">
        <v>55</v>
      </c>
      <c r="N328" s="9">
        <v>1.898834175E7</v>
      </c>
      <c r="O328" s="9">
        <v>1.803892465E7</v>
      </c>
      <c r="P328" s="9">
        <v>825580.35</v>
      </c>
      <c r="Q328" s="9">
        <v>908138.37</v>
      </c>
      <c r="R328" s="9" t="s">
        <v>60</v>
      </c>
      <c r="S328" s="9" t="s">
        <v>57</v>
      </c>
      <c r="T328" s="9" t="s">
        <v>61</v>
      </c>
      <c r="V328" s="9">
        <v>2.063479453E7</v>
      </c>
      <c r="W328" s="9">
        <v>0.0</v>
      </c>
      <c r="X328" s="9">
        <v>0.0</v>
      </c>
    </row>
    <row r="329" ht="15.75" customHeight="1">
      <c r="A329" s="9">
        <v>2058414.0</v>
      </c>
      <c r="B329" s="9">
        <v>1585542.0</v>
      </c>
      <c r="C329" s="9">
        <v>29864.0</v>
      </c>
      <c r="D329" s="9" t="s">
        <v>52</v>
      </c>
      <c r="E329" s="9" t="s">
        <v>53</v>
      </c>
      <c r="F329" s="9">
        <v>50200.0</v>
      </c>
      <c r="G329" s="9">
        <v>1585542.0</v>
      </c>
      <c r="H329" s="9">
        <v>1585542.0</v>
      </c>
      <c r="I329" s="9">
        <v>785850.02</v>
      </c>
      <c r="J329" s="9">
        <v>0.0</v>
      </c>
      <c r="K329" s="9">
        <v>0.0</v>
      </c>
      <c r="L329" s="9" t="s">
        <v>59</v>
      </c>
      <c r="M329" s="9" t="s">
        <v>55</v>
      </c>
      <c r="N329" s="9">
        <v>1585542.01</v>
      </c>
      <c r="O329" s="9">
        <v>1645341.11</v>
      </c>
      <c r="P329" s="9">
        <v>0.0</v>
      </c>
      <c r="Q329" s="9">
        <v>0.0</v>
      </c>
      <c r="R329" s="9" t="s">
        <v>60</v>
      </c>
      <c r="S329" s="9" t="s">
        <v>57</v>
      </c>
      <c r="T329" s="9" t="s">
        <v>61</v>
      </c>
      <c r="V329" s="9">
        <v>1687201.64</v>
      </c>
      <c r="W329" s="9">
        <v>0.0</v>
      </c>
      <c r="X329" s="9">
        <v>0.0</v>
      </c>
    </row>
    <row r="330" ht="15.75" customHeight="1">
      <c r="A330" s="9">
        <v>2058731.0</v>
      </c>
      <c r="B330" s="9">
        <v>1856165.0</v>
      </c>
      <c r="C330" s="9">
        <v>31014.0</v>
      </c>
      <c r="D330" s="9" t="s">
        <v>52</v>
      </c>
      <c r="E330" s="9" t="s">
        <v>53</v>
      </c>
      <c r="F330" s="9">
        <v>48625.0</v>
      </c>
      <c r="G330" s="9">
        <v>1856165.0</v>
      </c>
      <c r="H330" s="9">
        <v>1856165.0</v>
      </c>
      <c r="I330" s="9">
        <v>0.0</v>
      </c>
      <c r="J330" s="9">
        <v>0.0</v>
      </c>
      <c r="K330" s="9">
        <v>0.0</v>
      </c>
      <c r="L330" s="9" t="s">
        <v>54</v>
      </c>
      <c r="M330" s="9" t="s">
        <v>55</v>
      </c>
      <c r="R330" s="9" t="s">
        <v>60</v>
      </c>
      <c r="S330" s="9" t="s">
        <v>57</v>
      </c>
      <c r="T330" s="9" t="s">
        <v>61</v>
      </c>
      <c r="V330" s="9">
        <v>1773000.0</v>
      </c>
      <c r="W330" s="9">
        <v>0.0</v>
      </c>
      <c r="X330" s="9">
        <v>0.0</v>
      </c>
    </row>
    <row r="331" ht="15.75" customHeight="1">
      <c r="A331" s="9">
        <v>2059282.0</v>
      </c>
      <c r="B331" s="9">
        <v>1549130.0</v>
      </c>
      <c r="C331" s="9">
        <v>31189.0</v>
      </c>
      <c r="D331" s="9" t="s">
        <v>52</v>
      </c>
      <c r="E331" s="9" t="s">
        <v>53</v>
      </c>
      <c r="F331" s="9">
        <v>27292.0</v>
      </c>
      <c r="G331" s="9">
        <v>1576962.96</v>
      </c>
      <c r="H331" s="9">
        <v>1576962.96</v>
      </c>
      <c r="I331" s="9">
        <v>0.0</v>
      </c>
      <c r="J331" s="9">
        <v>0.0</v>
      </c>
      <c r="K331" s="9">
        <v>0.0</v>
      </c>
      <c r="L331" s="9" t="s">
        <v>54</v>
      </c>
      <c r="M331" s="9" t="s">
        <v>55</v>
      </c>
      <c r="R331" s="9" t="s">
        <v>60</v>
      </c>
      <c r="S331" s="9" t="s">
        <v>57</v>
      </c>
      <c r="T331" s="9" t="s">
        <v>61</v>
      </c>
      <c r="V331" s="9">
        <v>1659653.77</v>
      </c>
      <c r="W331" s="9">
        <v>0.0</v>
      </c>
      <c r="X331" s="9">
        <v>0.0</v>
      </c>
    </row>
    <row r="332" ht="15.75" customHeight="1">
      <c r="A332" s="9">
        <v>2015810.0</v>
      </c>
      <c r="B332" s="9">
        <v>93650.0</v>
      </c>
      <c r="C332" s="9">
        <v>31087.0</v>
      </c>
      <c r="D332" s="9" t="s">
        <v>52</v>
      </c>
      <c r="E332" s="9" t="s">
        <v>53</v>
      </c>
      <c r="F332" s="9">
        <v>35496.0</v>
      </c>
      <c r="G332" s="9">
        <v>93650.0</v>
      </c>
      <c r="H332" s="9">
        <v>93650.0</v>
      </c>
      <c r="I332" s="9">
        <v>0.0</v>
      </c>
      <c r="J332" s="9">
        <v>0.0</v>
      </c>
      <c r="K332" s="9">
        <v>0.0</v>
      </c>
      <c r="L332" s="9" t="s">
        <v>54</v>
      </c>
      <c r="M332" s="9" t="s">
        <v>55</v>
      </c>
      <c r="R332" s="9" t="s">
        <v>60</v>
      </c>
      <c r="S332" s="9" t="s">
        <v>57</v>
      </c>
      <c r="T332" s="9" t="s">
        <v>61</v>
      </c>
      <c r="V332" s="9">
        <v>91180.0</v>
      </c>
      <c r="W332" s="9">
        <v>0.0</v>
      </c>
      <c r="X332" s="9">
        <v>0.0</v>
      </c>
    </row>
    <row r="333" ht="15.75" customHeight="1">
      <c r="A333" s="9">
        <v>2017371.0</v>
      </c>
      <c r="B333" s="9">
        <v>1.1133185E7</v>
      </c>
      <c r="C333" s="9">
        <v>41829.0</v>
      </c>
      <c r="D333" s="9" t="s">
        <v>52</v>
      </c>
      <c r="E333" s="9" t="s">
        <v>53</v>
      </c>
      <c r="F333" s="9">
        <v>3093.0</v>
      </c>
      <c r="G333" s="9">
        <v>4.471514797E7</v>
      </c>
      <c r="H333" s="9">
        <v>4.496125283E7</v>
      </c>
      <c r="I333" s="9">
        <v>3.427989917E7</v>
      </c>
      <c r="J333" s="9">
        <v>0.0</v>
      </c>
      <c r="K333" s="9">
        <v>10000.0</v>
      </c>
      <c r="L333" s="9" t="s">
        <v>59</v>
      </c>
      <c r="M333" s="9" t="s">
        <v>62</v>
      </c>
      <c r="N333" s="9">
        <v>3.403486025E7</v>
      </c>
      <c r="O333" s="9">
        <v>3.367893816E7</v>
      </c>
      <c r="P333" s="9">
        <v>1531568.71</v>
      </c>
      <c r="Q333" s="9">
        <v>1493279.52</v>
      </c>
      <c r="R333" s="9" t="s">
        <v>63</v>
      </c>
      <c r="S333" s="9" t="s">
        <v>63</v>
      </c>
    </row>
    <row r="334" ht="15.75" customHeight="1">
      <c r="A334" s="9">
        <v>2017382.0</v>
      </c>
      <c r="B334" s="9">
        <v>9424958.0</v>
      </c>
      <c r="C334" s="9">
        <v>30325.0</v>
      </c>
      <c r="D334" s="9" t="s">
        <v>52</v>
      </c>
      <c r="E334" s="9" t="s">
        <v>53</v>
      </c>
      <c r="F334" s="9">
        <v>3052.0</v>
      </c>
      <c r="G334" s="9">
        <v>8633019.04</v>
      </c>
      <c r="H334" s="9">
        <v>8982114.95</v>
      </c>
      <c r="I334" s="9">
        <v>8981513.52</v>
      </c>
      <c r="J334" s="9">
        <v>0.0</v>
      </c>
      <c r="K334" s="9">
        <v>0.0</v>
      </c>
      <c r="L334" s="9" t="s">
        <v>59</v>
      </c>
      <c r="M334" s="9" t="s">
        <v>55</v>
      </c>
      <c r="N334" s="9">
        <v>8912875.58</v>
      </c>
      <c r="O334" s="9">
        <v>8911841.95</v>
      </c>
      <c r="P334" s="9">
        <v>8912875.58</v>
      </c>
      <c r="Q334" s="9">
        <v>0.0</v>
      </c>
      <c r="R334" s="9" t="s">
        <v>94</v>
      </c>
      <c r="S334" s="9" t="s">
        <v>57</v>
      </c>
      <c r="T334" s="9" t="s">
        <v>95</v>
      </c>
    </row>
    <row r="335" ht="15.75" customHeight="1">
      <c r="A335" s="9">
        <v>2019254.0</v>
      </c>
      <c r="B335" s="9">
        <v>3097363.0</v>
      </c>
      <c r="C335" s="9">
        <v>30173.0</v>
      </c>
      <c r="D335" s="9" t="s">
        <v>52</v>
      </c>
      <c r="E335" s="9" t="s">
        <v>53</v>
      </c>
      <c r="F335" s="9">
        <v>9928.0</v>
      </c>
      <c r="G335" s="9">
        <v>4033085.0</v>
      </c>
      <c r="H335" s="9">
        <v>4033085.0</v>
      </c>
      <c r="I335" s="9">
        <v>4180372.54</v>
      </c>
      <c r="J335" s="9">
        <v>0.0</v>
      </c>
      <c r="K335" s="9">
        <v>0.0</v>
      </c>
      <c r="L335" s="9" t="s">
        <v>69</v>
      </c>
      <c r="M335" s="9" t="s">
        <v>55</v>
      </c>
      <c r="N335" s="9">
        <v>3702121.65</v>
      </c>
      <c r="O335" s="9">
        <v>3517015.57</v>
      </c>
      <c r="P335" s="9">
        <v>150000.0</v>
      </c>
      <c r="Q335" s="9">
        <v>135000.0</v>
      </c>
      <c r="R335" s="9" t="s">
        <v>60</v>
      </c>
      <c r="S335" s="9" t="s">
        <v>57</v>
      </c>
      <c r="T335" s="9" t="s">
        <v>61</v>
      </c>
      <c r="V335" s="9">
        <v>738210.99</v>
      </c>
      <c r="W335" s="9">
        <v>0.0</v>
      </c>
      <c r="X335" s="9">
        <v>0.0</v>
      </c>
    </row>
    <row r="336" ht="15.75" customHeight="1">
      <c r="A336" s="9">
        <v>2019386.0</v>
      </c>
      <c r="B336" s="9">
        <v>1999860.0</v>
      </c>
      <c r="C336" s="9">
        <v>29912.0</v>
      </c>
      <c r="D336" s="9" t="s">
        <v>52</v>
      </c>
      <c r="E336" s="9" t="s">
        <v>53</v>
      </c>
      <c r="F336" s="9">
        <v>8413.0</v>
      </c>
      <c r="G336" s="9">
        <v>1999860.0</v>
      </c>
      <c r="H336" s="9">
        <v>1999860.0</v>
      </c>
      <c r="I336" s="9">
        <v>3181564.24</v>
      </c>
      <c r="J336" s="9">
        <v>0.0</v>
      </c>
      <c r="K336" s="9">
        <v>0.0</v>
      </c>
      <c r="L336" s="9" t="s">
        <v>69</v>
      </c>
      <c r="M336" s="9" t="s">
        <v>55</v>
      </c>
      <c r="N336" s="9">
        <v>1815327.27</v>
      </c>
      <c r="O336" s="9">
        <v>1633794.55</v>
      </c>
      <c r="P336" s="9">
        <v>65400.0</v>
      </c>
      <c r="Q336" s="9">
        <v>58860.0</v>
      </c>
      <c r="R336" s="9" t="s">
        <v>56</v>
      </c>
      <c r="S336" s="9" t="s">
        <v>57</v>
      </c>
      <c r="T336" s="9" t="s">
        <v>58</v>
      </c>
      <c r="V336" s="9">
        <v>172777.08</v>
      </c>
      <c r="W336" s="9">
        <v>0.0</v>
      </c>
      <c r="X336" s="9">
        <v>0.0</v>
      </c>
    </row>
    <row r="337" ht="15.75" customHeight="1">
      <c r="A337" s="9">
        <v>2019411.0</v>
      </c>
      <c r="B337" s="9">
        <v>1929714.0</v>
      </c>
      <c r="C337" s="9">
        <v>29908.0</v>
      </c>
      <c r="D337" s="9" t="s">
        <v>52</v>
      </c>
      <c r="E337" s="9" t="s">
        <v>53</v>
      </c>
      <c r="F337" s="9">
        <v>17191.0</v>
      </c>
      <c r="G337" s="9">
        <v>1929714.0</v>
      </c>
      <c r="H337" s="9">
        <v>1929714.0</v>
      </c>
      <c r="I337" s="9">
        <v>27213.52</v>
      </c>
      <c r="J337" s="9">
        <v>0.0</v>
      </c>
      <c r="K337" s="9">
        <v>0.0</v>
      </c>
      <c r="L337" s="9" t="s">
        <v>69</v>
      </c>
      <c r="M337" s="9" t="s">
        <v>55</v>
      </c>
      <c r="N337" s="9">
        <v>1929714.0</v>
      </c>
      <c r="O337" s="9">
        <v>1736742.6</v>
      </c>
      <c r="R337" s="9" t="s">
        <v>94</v>
      </c>
      <c r="S337" s="9" t="s">
        <v>57</v>
      </c>
      <c r="T337" s="9" t="s">
        <v>95</v>
      </c>
    </row>
    <row r="338" ht="15.75" customHeight="1">
      <c r="A338" s="9">
        <v>2019443.0</v>
      </c>
      <c r="B338" s="9">
        <v>394181.0</v>
      </c>
      <c r="C338" s="9">
        <v>31026.0</v>
      </c>
      <c r="D338" s="9" t="s">
        <v>52</v>
      </c>
      <c r="E338" s="9" t="s">
        <v>53</v>
      </c>
      <c r="F338" s="9">
        <v>15910.0</v>
      </c>
      <c r="G338" s="9">
        <v>591540.0</v>
      </c>
      <c r="H338" s="9">
        <v>394181.0</v>
      </c>
      <c r="I338" s="9">
        <v>0.0</v>
      </c>
      <c r="J338" s="9">
        <v>0.0</v>
      </c>
      <c r="K338" s="9">
        <v>0.0</v>
      </c>
      <c r="L338" s="9" t="s">
        <v>54</v>
      </c>
      <c r="M338" s="9" t="s">
        <v>55</v>
      </c>
      <c r="R338" s="9" t="s">
        <v>60</v>
      </c>
      <c r="S338" s="9" t="s">
        <v>57</v>
      </c>
      <c r="T338" s="9" t="s">
        <v>61</v>
      </c>
      <c r="V338" s="9">
        <v>471906.62</v>
      </c>
      <c r="W338" s="9">
        <v>25444.33</v>
      </c>
      <c r="X338" s="9">
        <v>0.0</v>
      </c>
    </row>
    <row r="339" ht="15.75" customHeight="1">
      <c r="A339" s="9">
        <v>2021140.0</v>
      </c>
      <c r="B339" s="9">
        <v>1638026.0</v>
      </c>
      <c r="C339" s="9">
        <v>30866.0</v>
      </c>
      <c r="D339" s="9" t="s">
        <v>52</v>
      </c>
      <c r="E339" s="9" t="s">
        <v>53</v>
      </c>
      <c r="F339" s="9">
        <v>17843.0</v>
      </c>
      <c r="G339" s="9">
        <v>1638026.0</v>
      </c>
      <c r="H339" s="9">
        <v>1638026.0</v>
      </c>
      <c r="I339" s="9">
        <v>1613146.18</v>
      </c>
      <c r="J339" s="9">
        <v>0.0</v>
      </c>
      <c r="K339" s="9">
        <v>0.0</v>
      </c>
      <c r="L339" s="9" t="s">
        <v>69</v>
      </c>
      <c r="M339" s="9" t="s">
        <v>55</v>
      </c>
      <c r="N339" s="9">
        <v>1524624.2</v>
      </c>
      <c r="O339" s="9">
        <v>1524624.2</v>
      </c>
      <c r="P339" s="9">
        <v>75601.2</v>
      </c>
      <c r="Q339" s="9">
        <v>68041.08</v>
      </c>
      <c r="R339" s="9" t="s">
        <v>60</v>
      </c>
      <c r="S339" s="9" t="s">
        <v>57</v>
      </c>
      <c r="T339" s="9" t="s">
        <v>61</v>
      </c>
      <c r="V339" s="9">
        <v>1667374.88</v>
      </c>
      <c r="W339" s="9">
        <v>0.0</v>
      </c>
      <c r="X339" s="9">
        <v>0.0</v>
      </c>
    </row>
    <row r="340" ht="15.75" customHeight="1">
      <c r="A340" s="9">
        <v>2021165.0</v>
      </c>
      <c r="B340" s="9">
        <v>1.0874673E7</v>
      </c>
      <c r="C340" s="9">
        <v>31286.0</v>
      </c>
      <c r="D340" s="9" t="s">
        <v>52</v>
      </c>
      <c r="E340" s="9" t="s">
        <v>53</v>
      </c>
      <c r="F340" s="9">
        <v>5385.0</v>
      </c>
      <c r="G340" s="9">
        <v>1.4966305E7</v>
      </c>
      <c r="H340" s="9">
        <v>1.4966305E7</v>
      </c>
      <c r="I340" s="9">
        <v>1.008803513E7</v>
      </c>
      <c r="J340" s="9">
        <v>0.0</v>
      </c>
      <c r="K340" s="9">
        <v>0.0</v>
      </c>
      <c r="L340" s="9" t="s">
        <v>69</v>
      </c>
      <c r="M340" s="9" t="s">
        <v>55</v>
      </c>
      <c r="R340" s="9" t="s">
        <v>75</v>
      </c>
      <c r="S340" s="9" t="s">
        <v>57</v>
      </c>
      <c r="T340" s="9" t="s">
        <v>76</v>
      </c>
      <c r="V340" s="9">
        <v>1.480176136E7</v>
      </c>
      <c r="W340" s="9">
        <v>0.0</v>
      </c>
      <c r="X340" s="9">
        <v>0.0</v>
      </c>
    </row>
    <row r="341" ht="15.75" customHeight="1">
      <c r="A341" s="9">
        <v>2023123.0</v>
      </c>
      <c r="B341" s="9">
        <v>3073951.0</v>
      </c>
      <c r="C341" s="9">
        <v>39510.0</v>
      </c>
      <c r="D341" s="9" t="s">
        <v>52</v>
      </c>
      <c r="E341" s="9" t="s">
        <v>53</v>
      </c>
      <c r="F341" s="9">
        <v>12892.0</v>
      </c>
      <c r="G341" s="9">
        <v>8391107.76</v>
      </c>
      <c r="H341" s="9">
        <v>8391107.76</v>
      </c>
      <c r="I341" s="9">
        <v>2792124.65</v>
      </c>
      <c r="J341" s="9">
        <v>0.0</v>
      </c>
      <c r="K341" s="9">
        <v>0.0</v>
      </c>
      <c r="L341" s="9" t="s">
        <v>59</v>
      </c>
      <c r="M341" s="9" t="s">
        <v>62</v>
      </c>
      <c r="N341" s="9">
        <v>2564927.32</v>
      </c>
      <c r="O341" s="9">
        <v>2564927.32</v>
      </c>
      <c r="P341" s="9">
        <v>128246.0</v>
      </c>
      <c r="Q341" s="9">
        <v>128246.0</v>
      </c>
      <c r="R341" s="9" t="s">
        <v>56</v>
      </c>
      <c r="S341" s="9" t="s">
        <v>57</v>
      </c>
      <c r="T341" s="9" t="s">
        <v>58</v>
      </c>
      <c r="V341" s="9">
        <v>2705649.4</v>
      </c>
      <c r="W341" s="9">
        <v>86152.03</v>
      </c>
      <c r="X341" s="9">
        <v>0.0</v>
      </c>
    </row>
    <row r="342" ht="15.75" customHeight="1">
      <c r="A342" s="9">
        <v>2023405.0</v>
      </c>
      <c r="B342" s="9">
        <v>307080.0</v>
      </c>
      <c r="C342" s="9">
        <v>30218.0</v>
      </c>
      <c r="D342" s="9" t="s">
        <v>52</v>
      </c>
      <c r="E342" s="9" t="s">
        <v>53</v>
      </c>
      <c r="F342" s="9">
        <v>23096.0</v>
      </c>
      <c r="G342" s="9">
        <v>307080.0</v>
      </c>
      <c r="H342" s="9">
        <v>307080.0</v>
      </c>
      <c r="I342" s="9">
        <v>307030.0</v>
      </c>
      <c r="J342" s="9">
        <v>0.0</v>
      </c>
      <c r="K342" s="9">
        <v>0.0</v>
      </c>
      <c r="L342" s="9" t="s">
        <v>69</v>
      </c>
      <c r="M342" s="9" t="s">
        <v>55</v>
      </c>
      <c r="N342" s="9">
        <v>307080.0</v>
      </c>
      <c r="O342" s="9">
        <v>307080.0</v>
      </c>
      <c r="R342" s="9" t="s">
        <v>60</v>
      </c>
      <c r="S342" s="9" t="s">
        <v>57</v>
      </c>
      <c r="T342" s="9" t="s">
        <v>61</v>
      </c>
      <c r="V342" s="9">
        <v>307080.0</v>
      </c>
      <c r="W342" s="9">
        <v>0.0</v>
      </c>
      <c r="X342" s="9">
        <v>0.0</v>
      </c>
    </row>
    <row r="343" ht="15.75" customHeight="1">
      <c r="A343" s="9">
        <v>2024952.0</v>
      </c>
      <c r="B343" s="9">
        <v>516298.0</v>
      </c>
      <c r="C343" s="9">
        <v>29870.0</v>
      </c>
      <c r="D343" s="9" t="s">
        <v>52</v>
      </c>
      <c r="E343" s="9" t="s">
        <v>53</v>
      </c>
      <c r="F343" s="9">
        <v>18116.0</v>
      </c>
      <c r="G343" s="9">
        <v>516298.0</v>
      </c>
      <c r="H343" s="9">
        <v>516298.0</v>
      </c>
      <c r="I343" s="9">
        <v>58766.0</v>
      </c>
      <c r="J343" s="9">
        <v>0.0</v>
      </c>
      <c r="K343" s="9">
        <v>0.0</v>
      </c>
      <c r="L343" s="9" t="s">
        <v>69</v>
      </c>
      <c r="M343" s="9" t="s">
        <v>55</v>
      </c>
      <c r="N343" s="9">
        <v>599250.0</v>
      </c>
      <c r="O343" s="9">
        <v>539325.03</v>
      </c>
      <c r="R343" s="9" t="s">
        <v>94</v>
      </c>
      <c r="S343" s="9" t="s">
        <v>57</v>
      </c>
      <c r="T343" s="9" t="s">
        <v>95</v>
      </c>
    </row>
    <row r="344" ht="15.75" customHeight="1">
      <c r="A344" s="9">
        <v>2025627.0</v>
      </c>
      <c r="B344" s="9">
        <v>625533.0</v>
      </c>
      <c r="C344" s="9">
        <v>31052.0</v>
      </c>
      <c r="D344" s="9" t="s">
        <v>52</v>
      </c>
      <c r="E344" s="9" t="s">
        <v>53</v>
      </c>
      <c r="F344" s="9">
        <v>18014.0</v>
      </c>
      <c r="G344" s="9">
        <v>792100.0</v>
      </c>
      <c r="H344" s="9">
        <v>792100.0</v>
      </c>
      <c r="I344" s="9">
        <v>268548.2</v>
      </c>
      <c r="J344" s="9">
        <v>0.0</v>
      </c>
      <c r="K344" s="9">
        <v>0.0</v>
      </c>
      <c r="L344" s="9" t="s">
        <v>69</v>
      </c>
      <c r="M344" s="9" t="s">
        <v>55</v>
      </c>
      <c r="R344" s="9" t="s">
        <v>60</v>
      </c>
      <c r="S344" s="9" t="s">
        <v>57</v>
      </c>
      <c r="T344" s="9" t="s">
        <v>61</v>
      </c>
      <c r="V344" s="9">
        <v>266785.3</v>
      </c>
      <c r="W344" s="9">
        <v>0.0</v>
      </c>
      <c r="X344" s="9">
        <v>0.0</v>
      </c>
    </row>
    <row r="345" ht="15.75" customHeight="1">
      <c r="A345" s="9">
        <v>2026349.0</v>
      </c>
      <c r="B345" s="9">
        <v>44661.0</v>
      </c>
      <c r="C345" s="9">
        <v>31140.0</v>
      </c>
      <c r="D345" s="9" t="s">
        <v>52</v>
      </c>
      <c r="E345" s="9" t="s">
        <v>53</v>
      </c>
      <c r="F345" s="9">
        <v>20962.0</v>
      </c>
      <c r="G345" s="9">
        <v>44661.0</v>
      </c>
      <c r="H345" s="9">
        <v>44661.0</v>
      </c>
      <c r="I345" s="9">
        <v>47402.6</v>
      </c>
      <c r="J345" s="9">
        <v>0.0</v>
      </c>
      <c r="K345" s="9">
        <v>0.0</v>
      </c>
      <c r="L345" s="9" t="s">
        <v>69</v>
      </c>
      <c r="M345" s="9" t="s">
        <v>55</v>
      </c>
      <c r="R345" s="9" t="s">
        <v>60</v>
      </c>
      <c r="S345" s="9" t="s">
        <v>57</v>
      </c>
      <c r="T345" s="9" t="s">
        <v>61</v>
      </c>
      <c r="V345" s="9">
        <v>47402.6</v>
      </c>
      <c r="W345" s="9">
        <v>0.0</v>
      </c>
      <c r="X345" s="9">
        <v>0.0</v>
      </c>
    </row>
    <row r="346" ht="15.75" customHeight="1">
      <c r="A346" s="9">
        <v>2028835.0</v>
      </c>
      <c r="B346" s="9">
        <v>487466.0</v>
      </c>
      <c r="C346" s="9">
        <v>29997.0</v>
      </c>
      <c r="D346" s="9" t="s">
        <v>52</v>
      </c>
      <c r="E346" s="9" t="s">
        <v>53</v>
      </c>
      <c r="F346" s="9">
        <v>31503.0</v>
      </c>
      <c r="G346" s="9">
        <v>487466.0</v>
      </c>
      <c r="H346" s="9">
        <v>487466.0</v>
      </c>
      <c r="I346" s="9">
        <v>0.0</v>
      </c>
      <c r="J346" s="9">
        <v>0.0</v>
      </c>
      <c r="K346" s="9">
        <v>0.0</v>
      </c>
      <c r="L346" s="9" t="s">
        <v>54</v>
      </c>
      <c r="M346" s="9" t="s">
        <v>55</v>
      </c>
      <c r="N346" s="9">
        <v>409635.0</v>
      </c>
      <c r="O346" s="9">
        <v>409635.0</v>
      </c>
      <c r="P346" s="9">
        <v>21000.0</v>
      </c>
      <c r="Q346" s="9">
        <v>21000.0</v>
      </c>
      <c r="R346" s="9" t="s">
        <v>72</v>
      </c>
      <c r="S346" s="9" t="s">
        <v>57</v>
      </c>
      <c r="T346" s="9" t="s">
        <v>73</v>
      </c>
      <c r="V346" s="9">
        <v>409635.0</v>
      </c>
      <c r="W346" s="9">
        <v>0.0</v>
      </c>
      <c r="X346" s="9">
        <v>0.0</v>
      </c>
    </row>
    <row r="347" ht="15.75" customHeight="1">
      <c r="A347" s="9">
        <v>2028889.0</v>
      </c>
      <c r="B347" s="9">
        <v>1681618.0</v>
      </c>
      <c r="C347" s="9">
        <v>31040.0</v>
      </c>
      <c r="D347" s="9" t="s">
        <v>52</v>
      </c>
      <c r="E347" s="9" t="s">
        <v>53</v>
      </c>
      <c r="F347" s="9">
        <v>30520.0</v>
      </c>
      <c r="G347" s="9">
        <v>1681618.0</v>
      </c>
      <c r="H347" s="9">
        <v>1681618.0</v>
      </c>
      <c r="I347" s="9">
        <v>2532266.82</v>
      </c>
      <c r="J347" s="9">
        <v>0.0</v>
      </c>
      <c r="K347" s="9">
        <v>0.0</v>
      </c>
      <c r="L347" s="9" t="s">
        <v>59</v>
      </c>
      <c r="M347" s="9" t="s">
        <v>55</v>
      </c>
      <c r="R347" s="9" t="s">
        <v>60</v>
      </c>
      <c r="S347" s="9" t="s">
        <v>57</v>
      </c>
      <c r="T347" s="9" t="s">
        <v>61</v>
      </c>
      <c r="V347" s="9">
        <v>2417530.02</v>
      </c>
      <c r="W347" s="9">
        <v>0.0</v>
      </c>
      <c r="X347" s="9">
        <v>0.0</v>
      </c>
    </row>
    <row r="348" ht="15.75" customHeight="1">
      <c r="A348" s="9">
        <v>2029021.0</v>
      </c>
      <c r="B348" s="9">
        <v>1997043.0</v>
      </c>
      <c r="C348" s="9">
        <v>30726.0</v>
      </c>
      <c r="D348" s="9" t="s">
        <v>52</v>
      </c>
      <c r="E348" s="9" t="s">
        <v>53</v>
      </c>
      <c r="F348" s="9">
        <v>27155.0</v>
      </c>
      <c r="G348" s="9">
        <v>1997043.0</v>
      </c>
      <c r="H348" s="9">
        <v>1997043.0</v>
      </c>
      <c r="I348" s="9">
        <v>2243746.59</v>
      </c>
      <c r="J348" s="9">
        <v>0.0</v>
      </c>
      <c r="K348" s="9">
        <v>0.0</v>
      </c>
      <c r="L348" s="9" t="s">
        <v>69</v>
      </c>
      <c r="M348" s="9" t="s">
        <v>55</v>
      </c>
      <c r="N348" s="9">
        <v>1444106.44</v>
      </c>
      <c r="O348" s="9">
        <v>1299695.81</v>
      </c>
      <c r="R348" s="9" t="s">
        <v>60</v>
      </c>
      <c r="S348" s="9" t="s">
        <v>57</v>
      </c>
      <c r="T348" s="9" t="s">
        <v>61</v>
      </c>
      <c r="V348" s="9">
        <v>524625.95</v>
      </c>
      <c r="W348" s="9">
        <v>0.0</v>
      </c>
      <c r="X348" s="9">
        <v>0.0</v>
      </c>
    </row>
    <row r="349" ht="15.75" customHeight="1">
      <c r="A349" s="9">
        <v>2029764.0</v>
      </c>
      <c r="B349" s="9">
        <v>1954384.0</v>
      </c>
      <c r="C349" s="9">
        <v>31232.0</v>
      </c>
      <c r="D349" s="9" t="s">
        <v>52</v>
      </c>
      <c r="E349" s="9" t="s">
        <v>53</v>
      </c>
      <c r="F349" s="9">
        <v>18989.0</v>
      </c>
      <c r="G349" s="9">
        <v>1954384.0</v>
      </c>
      <c r="H349" s="9">
        <v>1954384.0</v>
      </c>
      <c r="I349" s="9">
        <v>1751344.38</v>
      </c>
      <c r="J349" s="9">
        <v>0.0</v>
      </c>
      <c r="K349" s="9">
        <v>0.0</v>
      </c>
      <c r="L349" s="9" t="s">
        <v>69</v>
      </c>
      <c r="M349" s="9" t="s">
        <v>55</v>
      </c>
      <c r="R349" s="9" t="s">
        <v>56</v>
      </c>
      <c r="S349" s="9" t="s">
        <v>57</v>
      </c>
      <c r="T349" s="9" t="s">
        <v>58</v>
      </c>
      <c r="V349" s="9">
        <v>1669038.38</v>
      </c>
      <c r="W349" s="9">
        <v>0.0</v>
      </c>
      <c r="X349" s="9">
        <v>0.0</v>
      </c>
    </row>
    <row r="350" ht="15.75" customHeight="1">
      <c r="A350" s="9">
        <v>2030107.0</v>
      </c>
      <c r="B350" s="9">
        <v>618459.0</v>
      </c>
      <c r="C350" s="9">
        <v>30592.0</v>
      </c>
      <c r="D350" s="9" t="s">
        <v>52</v>
      </c>
      <c r="E350" s="9" t="s">
        <v>53</v>
      </c>
      <c r="F350" s="9">
        <v>26640.0</v>
      </c>
      <c r="G350" s="9">
        <v>1257462.65</v>
      </c>
      <c r="H350" s="9">
        <v>1257462.65</v>
      </c>
      <c r="I350" s="9">
        <v>1342385.67</v>
      </c>
      <c r="J350" s="9">
        <v>0.0</v>
      </c>
      <c r="K350" s="9">
        <v>0.0</v>
      </c>
      <c r="L350" s="9" t="s">
        <v>59</v>
      </c>
      <c r="M350" s="9" t="s">
        <v>55</v>
      </c>
      <c r="N350" s="9">
        <v>1052582.28</v>
      </c>
      <c r="O350" s="9">
        <v>1052582.28</v>
      </c>
      <c r="P350" s="9">
        <v>0.0</v>
      </c>
      <c r="Q350" s="9">
        <v>0.0</v>
      </c>
      <c r="R350" s="9" t="s">
        <v>60</v>
      </c>
      <c r="S350" s="9" t="s">
        <v>57</v>
      </c>
      <c r="T350" s="9" t="s">
        <v>61</v>
      </c>
      <c r="V350" s="9">
        <v>1248402.21</v>
      </c>
      <c r="W350" s="9">
        <v>0.0</v>
      </c>
      <c r="X350" s="9">
        <v>0.0</v>
      </c>
    </row>
    <row r="351" ht="15.75" customHeight="1">
      <c r="A351" s="9">
        <v>2030164.0</v>
      </c>
      <c r="B351" s="9">
        <v>1029295.0</v>
      </c>
      <c r="C351" s="9">
        <v>29969.0</v>
      </c>
      <c r="D351" s="9" t="s">
        <v>52</v>
      </c>
      <c r="E351" s="9" t="s">
        <v>53</v>
      </c>
      <c r="F351" s="9">
        <v>12425.0</v>
      </c>
      <c r="G351" s="9">
        <v>1207992.0</v>
      </c>
      <c r="H351" s="9">
        <v>1207992.0</v>
      </c>
      <c r="I351" s="9">
        <v>1233142.7</v>
      </c>
      <c r="J351" s="9">
        <v>0.0</v>
      </c>
      <c r="K351" s="9">
        <v>0.0</v>
      </c>
      <c r="L351" s="9" t="s">
        <v>69</v>
      </c>
      <c r="M351" s="9" t="s">
        <v>55</v>
      </c>
      <c r="N351" s="9">
        <v>0.0</v>
      </c>
      <c r="O351" s="9">
        <v>0.0</v>
      </c>
      <c r="R351" s="9" t="s">
        <v>60</v>
      </c>
      <c r="S351" s="9" t="s">
        <v>57</v>
      </c>
      <c r="T351" s="9" t="s">
        <v>61</v>
      </c>
    </row>
    <row r="352" ht="15.75" customHeight="1">
      <c r="A352" s="9">
        <v>2030182.0</v>
      </c>
      <c r="B352" s="9">
        <v>8684781.0</v>
      </c>
      <c r="C352" s="9">
        <v>30688.0</v>
      </c>
      <c r="D352" s="9" t="s">
        <v>52</v>
      </c>
      <c r="E352" s="9" t="s">
        <v>53</v>
      </c>
      <c r="F352" s="9">
        <v>2936.0</v>
      </c>
      <c r="G352" s="9">
        <v>5.118018881E7</v>
      </c>
      <c r="H352" s="9">
        <v>4.733690384E7</v>
      </c>
      <c r="I352" s="9">
        <v>4.677660022E7</v>
      </c>
      <c r="J352" s="9">
        <v>0.0</v>
      </c>
      <c r="K352" s="9">
        <v>0.0</v>
      </c>
      <c r="L352" s="9" t="s">
        <v>69</v>
      </c>
      <c r="M352" s="9" t="s">
        <v>55</v>
      </c>
      <c r="N352" s="9">
        <v>8218370.34</v>
      </c>
      <c r="O352" s="9">
        <v>8507133.13</v>
      </c>
      <c r="P352" s="9">
        <v>8218370.34</v>
      </c>
      <c r="Q352" s="9">
        <v>425000.0</v>
      </c>
      <c r="R352" s="9" t="s">
        <v>72</v>
      </c>
      <c r="S352" s="9" t="s">
        <v>57</v>
      </c>
      <c r="T352" s="9" t="s">
        <v>73</v>
      </c>
      <c r="V352" s="9">
        <v>7802120.27</v>
      </c>
      <c r="W352" s="9">
        <v>0.0</v>
      </c>
      <c r="X352" s="9">
        <v>0.0</v>
      </c>
    </row>
    <row r="353" ht="15.75" customHeight="1">
      <c r="A353" s="9">
        <v>2030207.0</v>
      </c>
      <c r="B353" s="9">
        <v>1985719.0</v>
      </c>
      <c r="C353" s="9">
        <v>31308.0</v>
      </c>
      <c r="D353" s="9" t="s">
        <v>52</v>
      </c>
      <c r="E353" s="9" t="s">
        <v>53</v>
      </c>
      <c r="F353" s="9">
        <v>33593.0</v>
      </c>
      <c r="G353" s="9">
        <v>1985719.0</v>
      </c>
      <c r="H353" s="9">
        <v>1985719.0</v>
      </c>
      <c r="I353" s="9">
        <v>1939565.27</v>
      </c>
      <c r="J353" s="9">
        <v>0.0</v>
      </c>
      <c r="K353" s="9">
        <v>0.0</v>
      </c>
      <c r="L353" s="9" t="s">
        <v>59</v>
      </c>
      <c r="M353" s="9" t="s">
        <v>55</v>
      </c>
      <c r="R353" s="9" t="s">
        <v>60</v>
      </c>
      <c r="S353" s="9" t="s">
        <v>57</v>
      </c>
      <c r="T353" s="9" t="s">
        <v>61</v>
      </c>
      <c r="V353" s="9">
        <v>2425742.44</v>
      </c>
      <c r="W353" s="9">
        <v>0.0</v>
      </c>
      <c r="X353" s="9">
        <v>0.0</v>
      </c>
    </row>
    <row r="354" ht="15.75" customHeight="1">
      <c r="A354" s="9">
        <v>2054240.0</v>
      </c>
      <c r="B354" s="9">
        <v>489834.0</v>
      </c>
      <c r="C354" s="9">
        <v>30512.0</v>
      </c>
      <c r="D354" s="9" t="s">
        <v>52</v>
      </c>
      <c r="E354" s="9" t="s">
        <v>53</v>
      </c>
      <c r="F354" s="9">
        <v>51683.0</v>
      </c>
      <c r="G354" s="9">
        <v>489834.0</v>
      </c>
      <c r="H354" s="9">
        <v>489834.0</v>
      </c>
      <c r="I354" s="9">
        <v>173981.74</v>
      </c>
      <c r="J354" s="9">
        <v>0.0</v>
      </c>
      <c r="K354" s="9">
        <v>0.0</v>
      </c>
      <c r="L354" s="9" t="s">
        <v>69</v>
      </c>
      <c r="M354" s="9" t="s">
        <v>55</v>
      </c>
      <c r="N354" s="9">
        <v>489834.0</v>
      </c>
      <c r="O354" s="9">
        <v>411845.79</v>
      </c>
      <c r="P354" s="9">
        <v>489834.0</v>
      </c>
      <c r="Q354" s="9">
        <v>0.0</v>
      </c>
      <c r="R354" s="9" t="s">
        <v>60</v>
      </c>
      <c r="S354" s="9" t="s">
        <v>57</v>
      </c>
      <c r="T354" s="9" t="s">
        <v>61</v>
      </c>
      <c r="V354" s="9">
        <v>446125.26</v>
      </c>
      <c r="W354" s="9">
        <v>14000.0</v>
      </c>
      <c r="X354" s="9">
        <v>0.0</v>
      </c>
    </row>
    <row r="355" ht="15.75" customHeight="1">
      <c r="A355" s="9">
        <v>2054306.0</v>
      </c>
      <c r="B355" s="9">
        <v>1960838.0</v>
      </c>
      <c r="C355" s="9">
        <v>31246.0</v>
      </c>
      <c r="D355" s="9" t="s">
        <v>52</v>
      </c>
      <c r="E355" s="9" t="s">
        <v>53</v>
      </c>
      <c r="F355" s="9">
        <v>53349.0</v>
      </c>
      <c r="G355" s="9">
        <v>1960838.0</v>
      </c>
      <c r="H355" s="9">
        <v>1960838.0</v>
      </c>
      <c r="I355" s="9">
        <v>1368777.3</v>
      </c>
      <c r="J355" s="9">
        <v>0.0</v>
      </c>
      <c r="K355" s="9">
        <v>0.0</v>
      </c>
      <c r="L355" s="9" t="s">
        <v>69</v>
      </c>
      <c r="M355" s="9" t="s">
        <v>55</v>
      </c>
      <c r="R355" s="9" t="s">
        <v>63</v>
      </c>
      <c r="S355" s="9" t="s">
        <v>63</v>
      </c>
    </row>
    <row r="356" ht="15.75" customHeight="1">
      <c r="A356" s="9">
        <v>2054308.0</v>
      </c>
      <c r="B356" s="9">
        <v>1.5829666E7</v>
      </c>
      <c r="C356" s="9">
        <v>30877.0</v>
      </c>
      <c r="D356" s="9" t="s">
        <v>52</v>
      </c>
      <c r="E356" s="9" t="s">
        <v>53</v>
      </c>
      <c r="F356" s="9">
        <v>52691.0</v>
      </c>
      <c r="G356" s="9">
        <v>1.89955992E7</v>
      </c>
      <c r="H356" s="9">
        <v>1.89955992E7</v>
      </c>
      <c r="I356" s="9">
        <v>1.8995599E7</v>
      </c>
      <c r="J356" s="9">
        <v>0.0</v>
      </c>
      <c r="K356" s="9">
        <v>0.0</v>
      </c>
      <c r="L356" s="9" t="s">
        <v>59</v>
      </c>
      <c r="M356" s="9" t="s">
        <v>55</v>
      </c>
      <c r="N356" s="9">
        <v>1.5829666E7</v>
      </c>
      <c r="O356" s="9">
        <v>1.708027843E7</v>
      </c>
      <c r="P356" s="9">
        <v>791483.3</v>
      </c>
      <c r="Q356" s="9">
        <v>790000.0</v>
      </c>
      <c r="R356" s="9" t="s">
        <v>60</v>
      </c>
      <c r="S356" s="9" t="s">
        <v>57</v>
      </c>
      <c r="T356" s="9" t="s">
        <v>61</v>
      </c>
      <c r="V356" s="9">
        <v>1.89955992E7</v>
      </c>
      <c r="W356" s="9">
        <v>790000.0</v>
      </c>
      <c r="X356" s="9">
        <v>0.0</v>
      </c>
    </row>
    <row r="357" ht="15.75" customHeight="1">
      <c r="A357" s="9">
        <v>2054331.0</v>
      </c>
      <c r="B357" s="9">
        <v>698298.0</v>
      </c>
      <c r="C357" s="9">
        <v>30706.0</v>
      </c>
      <c r="D357" s="9" t="s">
        <v>52</v>
      </c>
      <c r="E357" s="9" t="s">
        <v>53</v>
      </c>
      <c r="F357" s="9">
        <v>52887.0</v>
      </c>
      <c r="G357" s="9">
        <v>960905.0</v>
      </c>
      <c r="H357" s="9">
        <v>960905.0</v>
      </c>
      <c r="I357" s="9">
        <v>945349.12</v>
      </c>
      <c r="J357" s="9">
        <v>0.0</v>
      </c>
      <c r="K357" s="9">
        <v>0.0</v>
      </c>
      <c r="L357" s="9" t="s">
        <v>69</v>
      </c>
      <c r="M357" s="9" t="s">
        <v>55</v>
      </c>
      <c r="N357" s="9">
        <v>909405.0</v>
      </c>
      <c r="O357" s="9">
        <v>909405.0</v>
      </c>
      <c r="P357" s="9">
        <v>30000.0</v>
      </c>
      <c r="Q357" s="9">
        <v>30000.0</v>
      </c>
      <c r="R357" s="9" t="s">
        <v>60</v>
      </c>
      <c r="S357" s="9" t="s">
        <v>57</v>
      </c>
      <c r="T357" s="9" t="s">
        <v>61</v>
      </c>
      <c r="V357" s="9">
        <v>909405.0</v>
      </c>
      <c r="W357" s="9">
        <v>35944.13</v>
      </c>
      <c r="X357" s="9">
        <v>0.0</v>
      </c>
    </row>
    <row r="358" ht="15.75" customHeight="1">
      <c r="A358" s="9">
        <v>2054942.0</v>
      </c>
      <c r="B358" s="9">
        <v>1992764.0</v>
      </c>
      <c r="C358" s="9">
        <v>31236.0</v>
      </c>
      <c r="D358" s="9" t="s">
        <v>52</v>
      </c>
      <c r="E358" s="9" t="s">
        <v>53</v>
      </c>
      <c r="F358" s="9">
        <v>48502.0</v>
      </c>
      <c r="G358" s="9">
        <v>1992764.0</v>
      </c>
      <c r="H358" s="9">
        <v>1992764.0</v>
      </c>
      <c r="I358" s="9">
        <v>2192229.74</v>
      </c>
      <c r="J358" s="9">
        <v>0.0</v>
      </c>
      <c r="K358" s="9">
        <v>0.0</v>
      </c>
      <c r="L358" s="9" t="s">
        <v>59</v>
      </c>
      <c r="M358" s="9" t="s">
        <v>55</v>
      </c>
      <c r="R358" s="9" t="s">
        <v>75</v>
      </c>
      <c r="S358" s="9" t="s">
        <v>57</v>
      </c>
      <c r="T358" s="9" t="s">
        <v>76</v>
      </c>
    </row>
    <row r="359" ht="15.75" customHeight="1">
      <c r="A359" s="9">
        <v>2054976.0</v>
      </c>
      <c r="B359" s="9">
        <v>2470376.0</v>
      </c>
      <c r="C359" s="9">
        <v>31285.0</v>
      </c>
      <c r="D359" s="9" t="s">
        <v>52</v>
      </c>
      <c r="E359" s="9" t="s">
        <v>53</v>
      </c>
      <c r="F359" s="9">
        <v>48675.0</v>
      </c>
      <c r="G359" s="9">
        <v>2470376.0</v>
      </c>
      <c r="H359" s="9">
        <v>2470376.0</v>
      </c>
      <c r="I359" s="9">
        <v>0.0</v>
      </c>
      <c r="J359" s="9">
        <v>0.0</v>
      </c>
      <c r="K359" s="9">
        <v>0.0</v>
      </c>
      <c r="L359" s="9" t="s">
        <v>69</v>
      </c>
      <c r="M359" s="9" t="s">
        <v>55</v>
      </c>
      <c r="R359" s="9" t="s">
        <v>60</v>
      </c>
      <c r="S359" s="9" t="s">
        <v>57</v>
      </c>
      <c r="T359" s="9" t="s">
        <v>61</v>
      </c>
      <c r="V359" s="9">
        <v>2544357.76</v>
      </c>
      <c r="W359" s="9">
        <v>0.0</v>
      </c>
      <c r="X359" s="9">
        <v>0.0</v>
      </c>
    </row>
    <row r="360" ht="15.75" customHeight="1">
      <c r="A360" s="9">
        <v>2056003.0</v>
      </c>
      <c r="B360" s="9">
        <v>3.1172014E7</v>
      </c>
      <c r="C360" s="9">
        <v>40004.0</v>
      </c>
      <c r="D360" s="9" t="s">
        <v>52</v>
      </c>
      <c r="E360" s="9" t="s">
        <v>53</v>
      </c>
      <c r="F360" s="9">
        <v>51932.0</v>
      </c>
      <c r="G360" s="9">
        <v>3.39239563E7</v>
      </c>
      <c r="H360" s="9">
        <v>4.328271964E7</v>
      </c>
      <c r="I360" s="9">
        <v>3.925736731E7</v>
      </c>
      <c r="J360" s="9">
        <v>245532.91</v>
      </c>
      <c r="K360" s="9">
        <v>328967.0</v>
      </c>
      <c r="L360" s="9" t="s">
        <v>59</v>
      </c>
      <c r="M360" s="9" t="s">
        <v>55</v>
      </c>
      <c r="N360" s="9">
        <v>3.236479475E7</v>
      </c>
      <c r="O360" s="9">
        <v>2.909974855E7</v>
      </c>
      <c r="P360" s="9">
        <v>198000.0</v>
      </c>
      <c r="Q360" s="9">
        <v>167796.61</v>
      </c>
      <c r="R360" s="9" t="s">
        <v>96</v>
      </c>
      <c r="S360" s="9" t="s">
        <v>78</v>
      </c>
      <c r="T360" s="9" t="s">
        <v>79</v>
      </c>
      <c r="U360" s="9" t="s">
        <v>97</v>
      </c>
    </row>
    <row r="361" ht="15.75" customHeight="1">
      <c r="A361" s="9">
        <v>2056339.0</v>
      </c>
      <c r="B361" s="9">
        <v>939399.0</v>
      </c>
      <c r="C361" s="9">
        <v>30436.0</v>
      </c>
      <c r="D361" s="9" t="s">
        <v>52</v>
      </c>
      <c r="E361" s="9" t="s">
        <v>53</v>
      </c>
      <c r="F361" s="9">
        <v>56727.0</v>
      </c>
      <c r="G361" s="9">
        <v>1208310.16</v>
      </c>
      <c r="H361" s="9">
        <v>1208310.16</v>
      </c>
      <c r="I361" s="9">
        <v>1249194.32</v>
      </c>
      <c r="J361" s="9">
        <v>0.0</v>
      </c>
      <c r="K361" s="9">
        <v>0.0</v>
      </c>
      <c r="L361" s="9" t="s">
        <v>69</v>
      </c>
      <c r="M361" s="9" t="s">
        <v>55</v>
      </c>
      <c r="N361" s="9">
        <v>1183778.57</v>
      </c>
      <c r="O361" s="9">
        <v>1065400.72</v>
      </c>
      <c r="P361" s="9">
        <v>24000.0</v>
      </c>
      <c r="Q361" s="9">
        <v>24000.0</v>
      </c>
      <c r="R361" s="9" t="s">
        <v>60</v>
      </c>
      <c r="S361" s="9" t="s">
        <v>57</v>
      </c>
      <c r="T361" s="9" t="s">
        <v>61</v>
      </c>
      <c r="V361" s="9">
        <v>1250344.32</v>
      </c>
      <c r="W361" s="9">
        <v>0.0</v>
      </c>
      <c r="X361" s="9">
        <v>0.0</v>
      </c>
    </row>
    <row r="362" ht="15.75" customHeight="1">
      <c r="A362" s="9">
        <v>2056444.0</v>
      </c>
      <c r="B362" s="9">
        <v>1550166.0</v>
      </c>
      <c r="C362" s="9">
        <v>38113.0</v>
      </c>
      <c r="D362" s="9" t="s">
        <v>52</v>
      </c>
      <c r="E362" s="9" t="s">
        <v>53</v>
      </c>
      <c r="F362" s="9">
        <v>65533.0</v>
      </c>
      <c r="G362" s="9">
        <v>4607953.51</v>
      </c>
      <c r="H362" s="9">
        <v>4607953.51</v>
      </c>
      <c r="I362" s="9">
        <v>4607877.5</v>
      </c>
      <c r="J362" s="9">
        <v>0.0</v>
      </c>
      <c r="K362" s="9">
        <v>0.0</v>
      </c>
      <c r="L362" s="9" t="s">
        <v>59</v>
      </c>
      <c r="M362" s="9" t="s">
        <v>62</v>
      </c>
      <c r="N362" s="9">
        <v>2543501.48</v>
      </c>
      <c r="O362" s="9">
        <v>2543501.48</v>
      </c>
      <c r="P362" s="9">
        <v>127175.07</v>
      </c>
      <c r="Q362" s="9">
        <v>127175.07</v>
      </c>
      <c r="R362" s="9" t="s">
        <v>72</v>
      </c>
      <c r="S362" s="9" t="s">
        <v>57</v>
      </c>
      <c r="T362" s="9" t="s">
        <v>73</v>
      </c>
      <c r="V362" s="9">
        <v>2543501.48</v>
      </c>
      <c r="W362" s="9">
        <v>127175.07</v>
      </c>
      <c r="X362" s="9">
        <v>0.0</v>
      </c>
    </row>
    <row r="363" ht="15.75" customHeight="1">
      <c r="A363" s="9">
        <v>2056571.0</v>
      </c>
      <c r="B363" s="9">
        <v>622372.0</v>
      </c>
      <c r="C363" s="9">
        <v>31060.0</v>
      </c>
      <c r="D363" s="9" t="s">
        <v>52</v>
      </c>
      <c r="E363" s="9" t="s">
        <v>53</v>
      </c>
      <c r="F363" s="9">
        <v>57748.0</v>
      </c>
      <c r="G363" s="9">
        <v>622372.0</v>
      </c>
      <c r="H363" s="9">
        <v>622372.0</v>
      </c>
      <c r="I363" s="9">
        <v>0.0</v>
      </c>
      <c r="J363" s="9">
        <v>0.0</v>
      </c>
      <c r="K363" s="9">
        <v>0.0</v>
      </c>
      <c r="L363" s="9" t="s">
        <v>69</v>
      </c>
      <c r="M363" s="9" t="s">
        <v>55</v>
      </c>
      <c r="R363" s="9" t="s">
        <v>60</v>
      </c>
      <c r="S363" s="9" t="s">
        <v>57</v>
      </c>
      <c r="T363" s="9" t="s">
        <v>61</v>
      </c>
      <c r="V363" s="9">
        <v>682363.37</v>
      </c>
      <c r="W363" s="9">
        <v>0.0</v>
      </c>
      <c r="X363" s="9">
        <v>0.0</v>
      </c>
    </row>
    <row r="364" ht="15.75" customHeight="1">
      <c r="A364" s="9">
        <v>2056637.0</v>
      </c>
      <c r="B364" s="9">
        <v>1.3949161E7</v>
      </c>
      <c r="C364" s="9">
        <v>30352.0</v>
      </c>
      <c r="D364" s="9" t="s">
        <v>52</v>
      </c>
      <c r="E364" s="9" t="s">
        <v>53</v>
      </c>
      <c r="F364" s="9">
        <v>10842.0</v>
      </c>
      <c r="G364" s="9">
        <v>1.47855E7</v>
      </c>
      <c r="H364" s="9">
        <v>1.47855E7</v>
      </c>
      <c r="I364" s="9">
        <v>404696.93</v>
      </c>
      <c r="J364" s="9">
        <v>0.0</v>
      </c>
      <c r="K364" s="9">
        <v>0.0</v>
      </c>
      <c r="L364" s="9" t="s">
        <v>69</v>
      </c>
      <c r="M364" s="9" t="s">
        <v>55</v>
      </c>
      <c r="N364" s="9">
        <v>1.408142894E7</v>
      </c>
      <c r="O364" s="9">
        <v>1.408142894E7</v>
      </c>
      <c r="P364" s="9">
        <v>704071.45</v>
      </c>
      <c r="Q364" s="9">
        <v>704071.45</v>
      </c>
      <c r="R364" s="9" t="s">
        <v>60</v>
      </c>
      <c r="S364" s="9" t="s">
        <v>57</v>
      </c>
      <c r="T364" s="9" t="s">
        <v>61</v>
      </c>
      <c r="V364" s="9">
        <v>1.408142894E7</v>
      </c>
      <c r="W364" s="9">
        <v>704071.45</v>
      </c>
      <c r="X364" s="9">
        <v>0.0</v>
      </c>
    </row>
    <row r="365" ht="15.75" customHeight="1">
      <c r="A365" s="9">
        <v>2057180.0</v>
      </c>
      <c r="B365" s="9">
        <v>555407.0</v>
      </c>
      <c r="C365" s="9">
        <v>29862.0</v>
      </c>
      <c r="D365" s="9" t="s">
        <v>52</v>
      </c>
      <c r="E365" s="9" t="s">
        <v>53</v>
      </c>
      <c r="F365" s="9">
        <v>48637.0</v>
      </c>
      <c r="G365" s="9">
        <v>555407.0</v>
      </c>
      <c r="H365" s="9">
        <v>555407.0</v>
      </c>
      <c r="I365" s="9">
        <v>502645.0</v>
      </c>
      <c r="J365" s="9">
        <v>0.0</v>
      </c>
      <c r="K365" s="9">
        <v>0.0</v>
      </c>
      <c r="L365" s="9" t="s">
        <v>69</v>
      </c>
      <c r="M365" s="9" t="s">
        <v>55</v>
      </c>
      <c r="N365" s="9">
        <v>529656.0</v>
      </c>
      <c r="O365" s="9">
        <v>475000.0</v>
      </c>
      <c r="P365" s="9">
        <v>0.0</v>
      </c>
      <c r="Q365" s="9">
        <v>9187.5</v>
      </c>
      <c r="R365" s="9" t="s">
        <v>60</v>
      </c>
      <c r="S365" s="9" t="s">
        <v>57</v>
      </c>
      <c r="T365" s="9" t="s">
        <v>61</v>
      </c>
      <c r="V365" s="9">
        <v>502645.0</v>
      </c>
      <c r="W365" s="9">
        <v>0.0</v>
      </c>
      <c r="X365" s="9">
        <v>0.0</v>
      </c>
    </row>
    <row r="366" ht="15.75" customHeight="1">
      <c r="A366" s="9">
        <v>2059011.0</v>
      </c>
      <c r="B366" s="9">
        <v>1254760.0</v>
      </c>
      <c r="C366" s="9">
        <v>30968.0</v>
      </c>
      <c r="D366" s="9" t="s">
        <v>52</v>
      </c>
      <c r="E366" s="9" t="s">
        <v>53</v>
      </c>
      <c r="F366" s="9">
        <v>73978.0</v>
      </c>
      <c r="G366" s="9">
        <v>1169899.5</v>
      </c>
      <c r="H366" s="9">
        <v>1169899.5</v>
      </c>
      <c r="I366" s="9">
        <v>1093573.09</v>
      </c>
      <c r="J366" s="9">
        <v>0.0</v>
      </c>
      <c r="K366" s="9">
        <v>0.0</v>
      </c>
      <c r="L366" s="9" t="s">
        <v>69</v>
      </c>
      <c r="M366" s="9" t="s">
        <v>55</v>
      </c>
      <c r="N366" s="9">
        <v>1106587.14</v>
      </c>
      <c r="O366" s="9">
        <v>994052.86</v>
      </c>
      <c r="P366" s="9">
        <v>0.0</v>
      </c>
      <c r="Q366" s="9">
        <v>39074.4</v>
      </c>
      <c r="R366" s="9" t="s">
        <v>56</v>
      </c>
      <c r="S366" s="9" t="s">
        <v>57</v>
      </c>
      <c r="T366" s="9" t="s">
        <v>58</v>
      </c>
      <c r="V366" s="9">
        <v>1011263.46</v>
      </c>
      <c r="W366" s="9">
        <v>0.0</v>
      </c>
      <c r="X366" s="9">
        <v>0.0</v>
      </c>
    </row>
    <row r="367" ht="15.75" customHeight="1">
      <c r="A367" s="9">
        <v>2059013.0</v>
      </c>
      <c r="B367" s="9">
        <v>941056.0</v>
      </c>
      <c r="C367" s="9">
        <v>30967.0</v>
      </c>
      <c r="D367" s="9" t="s">
        <v>52</v>
      </c>
      <c r="E367" s="9" t="s">
        <v>53</v>
      </c>
      <c r="F367" s="9">
        <v>73994.0</v>
      </c>
      <c r="G367" s="9">
        <v>1117382.4</v>
      </c>
      <c r="H367" s="9">
        <v>1117382.4</v>
      </c>
      <c r="I367" s="9">
        <v>1002381.5</v>
      </c>
      <c r="J367" s="9">
        <v>0.0</v>
      </c>
      <c r="K367" s="9">
        <v>0.0</v>
      </c>
      <c r="L367" s="9" t="s">
        <v>69</v>
      </c>
      <c r="M367" s="9" t="s">
        <v>55</v>
      </c>
      <c r="N367" s="9">
        <v>979581.43</v>
      </c>
      <c r="O367" s="9">
        <v>830153.75</v>
      </c>
      <c r="P367" s="9">
        <v>0.0</v>
      </c>
      <c r="Q367" s="9">
        <v>35176.5</v>
      </c>
      <c r="R367" s="9" t="s">
        <v>60</v>
      </c>
      <c r="S367" s="9" t="s">
        <v>57</v>
      </c>
      <c r="T367" s="9" t="s">
        <v>61</v>
      </c>
      <c r="V367" s="9">
        <v>926445.1</v>
      </c>
      <c r="W367" s="9">
        <v>35176.5</v>
      </c>
      <c r="X367" s="9">
        <v>0.0</v>
      </c>
    </row>
    <row r="368" ht="15.75" customHeight="1">
      <c r="A368" s="9">
        <v>2060883.0</v>
      </c>
      <c r="B368" s="9">
        <v>8451260.0</v>
      </c>
      <c r="C368" s="9">
        <v>30518.0</v>
      </c>
      <c r="D368" s="9" t="s">
        <v>52</v>
      </c>
      <c r="E368" s="9" t="s">
        <v>53</v>
      </c>
      <c r="F368" s="9">
        <v>28868.0</v>
      </c>
      <c r="G368" s="9">
        <v>9999350.0</v>
      </c>
      <c r="H368" s="9">
        <v>1.2264705E7</v>
      </c>
      <c r="I368" s="9">
        <v>1.231032697E7</v>
      </c>
      <c r="J368" s="9">
        <v>0.0</v>
      </c>
      <c r="K368" s="9">
        <v>0.0</v>
      </c>
      <c r="L368" s="9" t="s">
        <v>59</v>
      </c>
      <c r="M368" s="9" t="s">
        <v>55</v>
      </c>
      <c r="N368" s="9">
        <v>9110290.26</v>
      </c>
      <c r="O368" s="9">
        <v>9110290.26</v>
      </c>
      <c r="P368" s="9">
        <v>410000.0</v>
      </c>
      <c r="Q368" s="9">
        <v>410000.0</v>
      </c>
      <c r="R368" s="9" t="s">
        <v>60</v>
      </c>
      <c r="S368" s="9" t="s">
        <v>57</v>
      </c>
      <c r="T368" s="9" t="s">
        <v>61</v>
      </c>
      <c r="V368" s="9">
        <v>1.099049721E7</v>
      </c>
      <c r="W368" s="9">
        <v>506521.56</v>
      </c>
      <c r="X368" s="9">
        <v>170889.0</v>
      </c>
    </row>
    <row r="369" ht="15.75" customHeight="1">
      <c r="A369" s="9">
        <v>2063466.0</v>
      </c>
      <c r="B369" s="9">
        <v>1027972.0</v>
      </c>
      <c r="C369" s="9">
        <v>30981.0</v>
      </c>
      <c r="D369" s="9" t="s">
        <v>52</v>
      </c>
      <c r="E369" s="9" t="s">
        <v>53</v>
      </c>
      <c r="F369" s="9">
        <v>48873.0</v>
      </c>
      <c r="G369" s="9">
        <v>1027972.0</v>
      </c>
      <c r="H369" s="9">
        <v>1027972.0</v>
      </c>
      <c r="I369" s="9">
        <v>840288.46</v>
      </c>
      <c r="J369" s="9">
        <v>0.0</v>
      </c>
      <c r="K369" s="9">
        <v>0.0</v>
      </c>
      <c r="L369" s="9" t="s">
        <v>69</v>
      </c>
      <c r="M369" s="9" t="s">
        <v>55</v>
      </c>
      <c r="R369" s="9" t="s">
        <v>60</v>
      </c>
      <c r="S369" s="9" t="s">
        <v>57</v>
      </c>
      <c r="T369" s="9" t="s">
        <v>61</v>
      </c>
      <c r="V369" s="9">
        <v>784197.58</v>
      </c>
      <c r="W369" s="9">
        <v>62334.45</v>
      </c>
      <c r="X369" s="9">
        <v>0.0</v>
      </c>
    </row>
    <row r="370" ht="15.75" customHeight="1">
      <c r="A370" s="9">
        <v>2063564.0</v>
      </c>
      <c r="B370" s="9">
        <v>4204639.0</v>
      </c>
      <c r="C370" s="9">
        <v>30955.0</v>
      </c>
      <c r="D370" s="9" t="s">
        <v>52</v>
      </c>
      <c r="E370" s="9" t="s">
        <v>53</v>
      </c>
      <c r="F370" s="9">
        <v>56977.0</v>
      </c>
      <c r="G370" s="9">
        <v>4625098.5</v>
      </c>
      <c r="H370" s="9">
        <v>4625098.5</v>
      </c>
      <c r="I370" s="9">
        <v>4702024.42</v>
      </c>
      <c r="J370" s="9">
        <v>0.0</v>
      </c>
      <c r="K370" s="9">
        <v>0.0</v>
      </c>
      <c r="L370" s="9" t="s">
        <v>69</v>
      </c>
      <c r="M370" s="9" t="s">
        <v>55</v>
      </c>
      <c r="N370" s="9">
        <v>4404855.71</v>
      </c>
      <c r="O370" s="9">
        <v>4404855.71</v>
      </c>
      <c r="P370" s="9">
        <v>212520.0</v>
      </c>
      <c r="Q370" s="9">
        <v>212520.0</v>
      </c>
      <c r="R370" s="9" t="s">
        <v>60</v>
      </c>
      <c r="S370" s="9" t="s">
        <v>57</v>
      </c>
      <c r="T370" s="9" t="s">
        <v>61</v>
      </c>
      <c r="V370" s="9">
        <v>4403812.42</v>
      </c>
      <c r="W370" s="9">
        <v>212520.0</v>
      </c>
      <c r="X370" s="9">
        <v>0.0</v>
      </c>
    </row>
    <row r="371" ht="15.75" customHeight="1">
      <c r="A371" s="9">
        <v>2064561.0</v>
      </c>
      <c r="B371" s="9">
        <v>2039577.0</v>
      </c>
      <c r="C371" s="9">
        <v>30931.0</v>
      </c>
      <c r="D371" s="9" t="s">
        <v>52</v>
      </c>
      <c r="E371" s="9" t="s">
        <v>53</v>
      </c>
      <c r="F371" s="9">
        <v>86208.0</v>
      </c>
      <c r="G371" s="9">
        <v>2964062.0</v>
      </c>
      <c r="H371" s="9">
        <v>2964062.0</v>
      </c>
      <c r="I371" s="9">
        <v>2966265.74</v>
      </c>
      <c r="J371" s="9">
        <v>0.0</v>
      </c>
      <c r="K371" s="9">
        <v>0.0</v>
      </c>
      <c r="L371" s="9" t="s">
        <v>69</v>
      </c>
      <c r="M371" s="9" t="s">
        <v>55</v>
      </c>
      <c r="N371" s="9">
        <v>2675552.9</v>
      </c>
      <c r="O371" s="9">
        <v>2675552.9</v>
      </c>
      <c r="P371" s="9">
        <v>14000.0</v>
      </c>
      <c r="Q371" s="9">
        <v>14000.0</v>
      </c>
      <c r="R371" s="9" t="s">
        <v>94</v>
      </c>
      <c r="S371" s="9" t="s">
        <v>57</v>
      </c>
      <c r="T371" s="9" t="s">
        <v>95</v>
      </c>
    </row>
    <row r="372" ht="15.75" customHeight="1">
      <c r="A372" s="9">
        <v>2064727.0</v>
      </c>
      <c r="B372" s="9">
        <v>9949335.0</v>
      </c>
      <c r="C372" s="9">
        <v>29943.0</v>
      </c>
      <c r="D372" s="9" t="s">
        <v>52</v>
      </c>
      <c r="E372" s="9" t="s">
        <v>53</v>
      </c>
      <c r="F372" s="9">
        <v>47768.0</v>
      </c>
      <c r="G372" s="9">
        <v>1.6262962E7</v>
      </c>
      <c r="H372" s="9">
        <v>1.6262962E7</v>
      </c>
      <c r="I372" s="9">
        <v>1.762330542E7</v>
      </c>
      <c r="J372" s="9">
        <v>0.0</v>
      </c>
      <c r="K372" s="9">
        <v>0.0</v>
      </c>
      <c r="L372" s="9" t="s">
        <v>59</v>
      </c>
      <c r="M372" s="9" t="s">
        <v>55</v>
      </c>
      <c r="N372" s="9">
        <v>1.574893957E7</v>
      </c>
      <c r="O372" s="9">
        <v>1.574893957E7</v>
      </c>
      <c r="P372" s="9">
        <v>1.574893957E7</v>
      </c>
      <c r="Q372" s="9">
        <v>98000.0</v>
      </c>
      <c r="R372" s="9" t="s">
        <v>60</v>
      </c>
      <c r="S372" s="9" t="s">
        <v>57</v>
      </c>
      <c r="T372" s="9" t="s">
        <v>61</v>
      </c>
      <c r="V372" s="9">
        <v>1.717240894E7</v>
      </c>
      <c r="W372" s="9">
        <v>0.0</v>
      </c>
      <c r="X372" s="9">
        <v>0.0</v>
      </c>
    </row>
    <row r="373" ht="15.75" customHeight="1">
      <c r="A373" s="9">
        <v>2064802.0</v>
      </c>
      <c r="B373" s="9">
        <v>1.9993171E7</v>
      </c>
      <c r="C373" s="9">
        <v>29576.0</v>
      </c>
      <c r="D373" s="9" t="s">
        <v>52</v>
      </c>
      <c r="E373" s="9" t="s">
        <v>53</v>
      </c>
      <c r="F373" s="9">
        <v>7556.0</v>
      </c>
      <c r="G373" s="9">
        <v>2.001717204E7</v>
      </c>
      <c r="H373" s="9">
        <v>1.049442E7</v>
      </c>
      <c r="I373" s="9">
        <v>299000.0</v>
      </c>
      <c r="J373" s="9">
        <v>0.0</v>
      </c>
      <c r="K373" s="9">
        <v>0.0</v>
      </c>
      <c r="L373" s="9" t="s">
        <v>59</v>
      </c>
      <c r="M373" s="9" t="s">
        <v>65</v>
      </c>
      <c r="N373" s="9">
        <v>272727.0</v>
      </c>
      <c r="O373" s="9">
        <v>272000.0</v>
      </c>
      <c r="R373" s="9" t="s">
        <v>60</v>
      </c>
      <c r="S373" s="9" t="s">
        <v>57</v>
      </c>
      <c r="T373" s="9" t="s">
        <v>61</v>
      </c>
      <c r="V373" s="9">
        <v>272000.0</v>
      </c>
      <c r="W373" s="9">
        <v>27000.0</v>
      </c>
    </row>
    <row r="374" ht="15.75" customHeight="1">
      <c r="A374" s="9">
        <v>2064804.0</v>
      </c>
      <c r="B374" s="9">
        <v>4861621.0</v>
      </c>
      <c r="C374" s="9">
        <v>30667.0</v>
      </c>
      <c r="D374" s="9" t="s">
        <v>52</v>
      </c>
      <c r="E374" s="9" t="s">
        <v>53</v>
      </c>
      <c r="F374" s="9">
        <v>14760.0</v>
      </c>
      <c r="G374" s="9">
        <v>4727873.73</v>
      </c>
      <c r="H374" s="9">
        <v>4727873.73</v>
      </c>
      <c r="I374" s="9">
        <v>4149041.39</v>
      </c>
      <c r="J374" s="9">
        <v>0.0</v>
      </c>
      <c r="K374" s="9">
        <v>0.0</v>
      </c>
      <c r="L374" s="9" t="s">
        <v>69</v>
      </c>
      <c r="M374" s="9" t="s">
        <v>55</v>
      </c>
      <c r="N374" s="9">
        <v>4425312.73</v>
      </c>
      <c r="O374" s="9">
        <v>3750265.03</v>
      </c>
      <c r="P374" s="9">
        <v>4425312.73</v>
      </c>
      <c r="Q374" s="9">
        <v>142372.88</v>
      </c>
      <c r="R374" s="9" t="s">
        <v>72</v>
      </c>
      <c r="S374" s="9" t="s">
        <v>57</v>
      </c>
      <c r="T374" s="9" t="s">
        <v>73</v>
      </c>
    </row>
    <row r="375" ht="15.75" customHeight="1">
      <c r="A375" s="9">
        <v>2064870.0</v>
      </c>
      <c r="B375" s="9">
        <v>1452374.0</v>
      </c>
      <c r="C375" s="9">
        <v>31206.0</v>
      </c>
      <c r="D375" s="9" t="s">
        <v>52</v>
      </c>
      <c r="E375" s="9" t="s">
        <v>53</v>
      </c>
      <c r="F375" s="9">
        <v>46927.0</v>
      </c>
      <c r="G375" s="9">
        <v>1452374.0</v>
      </c>
      <c r="H375" s="9">
        <v>1452374.0</v>
      </c>
      <c r="I375" s="9">
        <v>27269.77</v>
      </c>
      <c r="J375" s="9">
        <v>0.0</v>
      </c>
      <c r="K375" s="9">
        <v>0.0</v>
      </c>
      <c r="L375" s="9" t="s">
        <v>59</v>
      </c>
      <c r="M375" s="9" t="s">
        <v>55</v>
      </c>
      <c r="R375" s="9" t="s">
        <v>60</v>
      </c>
      <c r="S375" s="9" t="s">
        <v>57</v>
      </c>
      <c r="T375" s="9" t="s">
        <v>61</v>
      </c>
      <c r="V375" s="9">
        <v>1621957.98</v>
      </c>
      <c r="W375" s="9">
        <v>0.0</v>
      </c>
      <c r="X375" s="9">
        <v>0.0</v>
      </c>
    </row>
    <row r="376" ht="15.75" customHeight="1">
      <c r="A376" s="9">
        <v>2030179.0</v>
      </c>
      <c r="B376" s="9">
        <v>713210.0</v>
      </c>
      <c r="C376" s="9">
        <v>31033.0</v>
      </c>
      <c r="D376" s="9" t="s">
        <v>52</v>
      </c>
      <c r="E376" s="9" t="s">
        <v>53</v>
      </c>
      <c r="F376" s="9">
        <v>9443.0</v>
      </c>
      <c r="G376" s="9">
        <v>623801.04</v>
      </c>
      <c r="H376" s="9">
        <v>623801.04</v>
      </c>
      <c r="I376" s="9">
        <v>1290069.57</v>
      </c>
      <c r="J376" s="9">
        <v>0.0</v>
      </c>
      <c r="K376" s="9">
        <v>0.0</v>
      </c>
      <c r="L376" s="9" t="s">
        <v>59</v>
      </c>
      <c r="M376" s="9" t="s">
        <v>55</v>
      </c>
      <c r="R376" s="9" t="s">
        <v>60</v>
      </c>
      <c r="S376" s="9" t="s">
        <v>57</v>
      </c>
      <c r="T376" s="9" t="s">
        <v>61</v>
      </c>
      <c r="V376" s="9">
        <v>1288356.92</v>
      </c>
      <c r="W376" s="9">
        <v>0.0</v>
      </c>
      <c r="X376" s="9">
        <v>0.0</v>
      </c>
    </row>
    <row r="377" ht="15.75" customHeight="1">
      <c r="A377" s="9">
        <v>2030328.0</v>
      </c>
      <c r="B377" s="9">
        <v>1866418.98</v>
      </c>
      <c r="C377" s="9">
        <v>29853.0</v>
      </c>
      <c r="D377" s="9" t="s">
        <v>52</v>
      </c>
      <c r="E377" s="9" t="s">
        <v>53</v>
      </c>
      <c r="F377" s="9">
        <v>5637.0</v>
      </c>
      <c r="G377" s="9">
        <v>1866418.98</v>
      </c>
      <c r="H377" s="9">
        <v>1866418.98</v>
      </c>
      <c r="I377" s="9">
        <v>1974319.21</v>
      </c>
      <c r="J377" s="9">
        <v>0.0</v>
      </c>
      <c r="K377" s="9">
        <v>0.0</v>
      </c>
      <c r="L377" s="9" t="s">
        <v>59</v>
      </c>
      <c r="M377" s="9" t="s">
        <v>55</v>
      </c>
      <c r="N377" s="9">
        <v>2166777.31</v>
      </c>
      <c r="O377" s="9">
        <v>2114550.02</v>
      </c>
      <c r="P377" s="9">
        <v>63132.85</v>
      </c>
      <c r="Q377" s="9">
        <v>63132.85</v>
      </c>
      <c r="R377" s="9" t="s">
        <v>60</v>
      </c>
      <c r="S377" s="9" t="s">
        <v>57</v>
      </c>
      <c r="T377" s="9" t="s">
        <v>61</v>
      </c>
      <c r="V377" s="9">
        <v>1974319.21</v>
      </c>
      <c r="W377" s="9">
        <v>63132.85</v>
      </c>
      <c r="X377" s="9">
        <v>0.0</v>
      </c>
    </row>
    <row r="378" ht="15.75" customHeight="1">
      <c r="A378" s="9">
        <v>2030545.0</v>
      </c>
      <c r="B378" s="9">
        <v>1646005.0</v>
      </c>
      <c r="C378" s="9">
        <v>31310.0</v>
      </c>
      <c r="D378" s="9" t="s">
        <v>52</v>
      </c>
      <c r="E378" s="9" t="s">
        <v>53</v>
      </c>
      <c r="F378" s="9">
        <v>26969.0</v>
      </c>
      <c r="G378" s="9">
        <v>1646005.0</v>
      </c>
      <c r="H378" s="9">
        <v>1646005.0</v>
      </c>
      <c r="I378" s="9">
        <v>0.0</v>
      </c>
      <c r="J378" s="9">
        <v>0.0</v>
      </c>
      <c r="K378" s="9">
        <v>0.0</v>
      </c>
      <c r="L378" s="9" t="s">
        <v>54</v>
      </c>
      <c r="M378" s="9" t="s">
        <v>55</v>
      </c>
      <c r="R378" s="9" t="s">
        <v>60</v>
      </c>
      <c r="S378" s="9" t="s">
        <v>57</v>
      </c>
      <c r="T378" s="9" t="s">
        <v>61</v>
      </c>
      <c r="V378" s="9">
        <v>1763373.0</v>
      </c>
      <c r="W378" s="9">
        <v>0.0</v>
      </c>
      <c r="X378" s="9">
        <v>0.0</v>
      </c>
    </row>
    <row r="379" ht="15.75" customHeight="1">
      <c r="A379" s="9">
        <v>2030547.0</v>
      </c>
      <c r="B379" s="9">
        <v>1480807.0</v>
      </c>
      <c r="C379" s="9">
        <v>30640.0</v>
      </c>
      <c r="D379" s="9" t="s">
        <v>52</v>
      </c>
      <c r="E379" s="9" t="s">
        <v>53</v>
      </c>
      <c r="F379" s="9">
        <v>35652.0</v>
      </c>
      <c r="G379" s="9">
        <v>1480807.0</v>
      </c>
      <c r="H379" s="9">
        <v>1480807.0</v>
      </c>
      <c r="I379" s="9">
        <v>0.0</v>
      </c>
      <c r="J379" s="9">
        <v>0.0</v>
      </c>
      <c r="K379" s="9">
        <v>0.0</v>
      </c>
      <c r="L379" s="9" t="s">
        <v>54</v>
      </c>
      <c r="M379" s="9" t="s">
        <v>55</v>
      </c>
      <c r="N379" s="9">
        <v>1363707.97</v>
      </c>
      <c r="O379" s="9">
        <v>1384416.64</v>
      </c>
      <c r="R379" s="9" t="s">
        <v>56</v>
      </c>
      <c r="S379" s="9" t="s">
        <v>57</v>
      </c>
      <c r="T379" s="9" t="s">
        <v>58</v>
      </c>
    </row>
    <row r="380" ht="15.75" customHeight="1">
      <c r="A380" s="9">
        <v>2030562.0</v>
      </c>
      <c r="B380" s="9">
        <v>1534985.0</v>
      </c>
      <c r="C380" s="9">
        <v>30737.0</v>
      </c>
      <c r="D380" s="9" t="s">
        <v>52</v>
      </c>
      <c r="E380" s="9" t="s">
        <v>53</v>
      </c>
      <c r="F380" s="9">
        <v>32430.0</v>
      </c>
      <c r="G380" s="9">
        <v>1534985.0</v>
      </c>
      <c r="H380" s="9">
        <v>1534985.0</v>
      </c>
      <c r="I380" s="9">
        <v>1460228.83</v>
      </c>
      <c r="J380" s="9">
        <v>32505.0</v>
      </c>
      <c r="K380" s="9">
        <v>32505.0</v>
      </c>
      <c r="L380" s="9" t="s">
        <v>59</v>
      </c>
      <c r="M380" s="9" t="s">
        <v>55</v>
      </c>
      <c r="N380" s="9">
        <v>1606832.91</v>
      </c>
      <c r="O380" s="9">
        <v>1446149.62</v>
      </c>
      <c r="R380" s="9" t="s">
        <v>60</v>
      </c>
      <c r="S380" s="9" t="s">
        <v>57</v>
      </c>
      <c r="T380" s="9" t="s">
        <v>61</v>
      </c>
      <c r="V380" s="9">
        <v>1406076.48</v>
      </c>
      <c r="W380" s="9">
        <v>0.0</v>
      </c>
      <c r="X380" s="9">
        <v>0.0</v>
      </c>
    </row>
    <row r="381" ht="15.75" customHeight="1">
      <c r="A381" s="9">
        <v>2030564.0</v>
      </c>
      <c r="B381" s="9">
        <v>1936740.0</v>
      </c>
      <c r="C381" s="9">
        <v>31041.0</v>
      </c>
      <c r="D381" s="9" t="s">
        <v>52</v>
      </c>
      <c r="E381" s="9" t="s">
        <v>53</v>
      </c>
      <c r="F381" s="9">
        <v>33707.0</v>
      </c>
      <c r="G381" s="9">
        <v>2178896.0</v>
      </c>
      <c r="H381" s="9">
        <v>2178896.0</v>
      </c>
      <c r="I381" s="9">
        <v>2238242.44</v>
      </c>
      <c r="J381" s="9">
        <v>0.0</v>
      </c>
      <c r="K381" s="9">
        <v>0.0</v>
      </c>
      <c r="L381" s="9" t="s">
        <v>69</v>
      </c>
      <c r="M381" s="9" t="s">
        <v>55</v>
      </c>
      <c r="R381" s="9" t="s">
        <v>60</v>
      </c>
      <c r="S381" s="9" t="s">
        <v>57</v>
      </c>
      <c r="T381" s="9" t="s">
        <v>61</v>
      </c>
      <c r="V381" s="9">
        <v>2290791.86</v>
      </c>
      <c r="W381" s="9">
        <v>0.0</v>
      </c>
      <c r="X381" s="9">
        <v>0.0</v>
      </c>
    </row>
    <row r="382" ht="15.75" customHeight="1">
      <c r="A382" s="9">
        <v>2030594.0</v>
      </c>
      <c r="B382" s="9">
        <v>4709418.0</v>
      </c>
      <c r="C382" s="9">
        <v>30689.0</v>
      </c>
      <c r="D382" s="9" t="s">
        <v>52</v>
      </c>
      <c r="E382" s="9" t="s">
        <v>53</v>
      </c>
      <c r="F382" s="9">
        <v>8042.0</v>
      </c>
      <c r="G382" s="9">
        <v>4709418.0</v>
      </c>
      <c r="H382" s="9">
        <v>4709418.0</v>
      </c>
      <c r="I382" s="9">
        <v>4384564.35</v>
      </c>
      <c r="J382" s="9">
        <v>0.0</v>
      </c>
      <c r="K382" s="9">
        <v>0.0</v>
      </c>
      <c r="L382" s="9" t="s">
        <v>69</v>
      </c>
      <c r="M382" s="9" t="s">
        <v>55</v>
      </c>
      <c r="N382" s="9">
        <v>4577406.0</v>
      </c>
      <c r="O382" s="9">
        <v>4577406.0</v>
      </c>
      <c r="P382" s="9">
        <v>0.0</v>
      </c>
      <c r="Q382" s="9">
        <v>0.0</v>
      </c>
      <c r="R382" s="9" t="s">
        <v>72</v>
      </c>
      <c r="S382" s="9" t="s">
        <v>57</v>
      </c>
      <c r="T382" s="9" t="s">
        <v>73</v>
      </c>
      <c r="V382" s="9">
        <v>3825102.51</v>
      </c>
      <c r="W382" s="9">
        <v>0.0</v>
      </c>
      <c r="X382" s="9">
        <v>0.0</v>
      </c>
    </row>
    <row r="383" ht="15.75" customHeight="1">
      <c r="A383" s="9">
        <v>2030596.0</v>
      </c>
      <c r="B383" s="9">
        <v>925319.0</v>
      </c>
      <c r="C383" s="9">
        <v>30696.0</v>
      </c>
      <c r="D383" s="9" t="s">
        <v>52</v>
      </c>
      <c r="E383" s="9" t="s">
        <v>53</v>
      </c>
      <c r="F383" s="9">
        <v>23168.0</v>
      </c>
      <c r="G383" s="9">
        <v>925319.0</v>
      </c>
      <c r="H383" s="9">
        <v>925319.0</v>
      </c>
      <c r="I383" s="9">
        <v>7971621.35</v>
      </c>
      <c r="J383" s="9">
        <v>0.0</v>
      </c>
      <c r="K383" s="9">
        <v>0.0</v>
      </c>
      <c r="L383" s="9" t="s">
        <v>69</v>
      </c>
      <c r="M383" s="9" t="s">
        <v>55</v>
      </c>
      <c r="N383" s="9">
        <v>989740.74</v>
      </c>
      <c r="O383" s="9">
        <v>890766.67</v>
      </c>
      <c r="P383" s="9">
        <v>989740.74</v>
      </c>
      <c r="Q383" s="9">
        <v>20000.0</v>
      </c>
      <c r="R383" s="9" t="s">
        <v>60</v>
      </c>
      <c r="S383" s="9" t="s">
        <v>57</v>
      </c>
      <c r="T383" s="9" t="s">
        <v>61</v>
      </c>
      <c r="V383" s="9">
        <v>890766.67</v>
      </c>
      <c r="W383" s="9">
        <v>0.0</v>
      </c>
      <c r="X383" s="9">
        <v>0.0</v>
      </c>
    </row>
    <row r="384" ht="15.75" customHeight="1">
      <c r="A384" s="9">
        <v>2030598.0</v>
      </c>
      <c r="B384" s="9">
        <v>1693629.0</v>
      </c>
      <c r="C384" s="9">
        <v>31163.0</v>
      </c>
      <c r="D384" s="9" t="s">
        <v>52</v>
      </c>
      <c r="E384" s="9" t="s">
        <v>53</v>
      </c>
      <c r="F384" s="9">
        <v>28453.0</v>
      </c>
      <c r="G384" s="9">
        <v>1693629.0</v>
      </c>
      <c r="H384" s="9">
        <v>1693629.0</v>
      </c>
      <c r="I384" s="9">
        <v>0.0</v>
      </c>
      <c r="J384" s="9">
        <v>0.0</v>
      </c>
      <c r="K384" s="9">
        <v>0.0</v>
      </c>
      <c r="L384" s="9" t="s">
        <v>54</v>
      </c>
      <c r="M384" s="9" t="s">
        <v>55</v>
      </c>
      <c r="R384" s="9" t="s">
        <v>60</v>
      </c>
      <c r="S384" s="9" t="s">
        <v>57</v>
      </c>
      <c r="T384" s="9" t="s">
        <v>61</v>
      </c>
      <c r="V384" s="9">
        <v>1466628.79</v>
      </c>
      <c r="W384" s="9">
        <v>0.0</v>
      </c>
      <c r="X384" s="9">
        <v>0.0</v>
      </c>
    </row>
    <row r="385" ht="15.75" customHeight="1">
      <c r="A385" s="9">
        <v>2030711.0</v>
      </c>
      <c r="B385" s="9">
        <v>120000.0</v>
      </c>
      <c r="C385" s="9">
        <v>30155.0</v>
      </c>
      <c r="D385" s="9" t="s">
        <v>52</v>
      </c>
      <c r="E385" s="9" t="s">
        <v>53</v>
      </c>
      <c r="F385" s="9">
        <v>32705.0</v>
      </c>
      <c r="G385" s="9">
        <v>120000.0</v>
      </c>
      <c r="H385" s="9">
        <v>120000.0</v>
      </c>
      <c r="I385" s="9">
        <v>0.0</v>
      </c>
      <c r="J385" s="9">
        <v>0.0</v>
      </c>
      <c r="K385" s="9">
        <v>0.0</v>
      </c>
      <c r="L385" s="9" t="s">
        <v>54</v>
      </c>
      <c r="M385" s="9" t="s">
        <v>55</v>
      </c>
      <c r="N385" s="9">
        <v>139830.65</v>
      </c>
      <c r="O385" s="9">
        <v>125874.59</v>
      </c>
      <c r="R385" s="9" t="s">
        <v>60</v>
      </c>
      <c r="S385" s="9" t="s">
        <v>57</v>
      </c>
      <c r="T385" s="9" t="s">
        <v>61</v>
      </c>
      <c r="V385" s="9">
        <v>193424.78</v>
      </c>
      <c r="W385" s="9">
        <v>0.0</v>
      </c>
      <c r="X385" s="9">
        <v>0.0</v>
      </c>
    </row>
    <row r="386" ht="15.75" customHeight="1">
      <c r="A386" s="9">
        <v>2030713.0</v>
      </c>
      <c r="B386" s="9">
        <v>332000.0</v>
      </c>
      <c r="C386" s="9">
        <v>30152.0</v>
      </c>
      <c r="D386" s="9" t="s">
        <v>52</v>
      </c>
      <c r="E386" s="9" t="s">
        <v>53</v>
      </c>
      <c r="F386" s="9">
        <v>32690.0</v>
      </c>
      <c r="G386" s="9">
        <v>332000.0</v>
      </c>
      <c r="H386" s="9">
        <v>332000.0</v>
      </c>
      <c r="I386" s="9">
        <v>0.0</v>
      </c>
      <c r="J386" s="9">
        <v>0.0</v>
      </c>
      <c r="K386" s="9">
        <v>0.0</v>
      </c>
      <c r="L386" s="9" t="s">
        <v>54</v>
      </c>
      <c r="M386" s="9" t="s">
        <v>55</v>
      </c>
      <c r="N386" s="9">
        <v>336355.0</v>
      </c>
      <c r="O386" s="9">
        <v>302720.0</v>
      </c>
      <c r="P386" s="9">
        <v>336355.0</v>
      </c>
      <c r="Q386" s="9">
        <v>0.0</v>
      </c>
      <c r="R386" s="9" t="s">
        <v>60</v>
      </c>
      <c r="S386" s="9" t="s">
        <v>57</v>
      </c>
      <c r="T386" s="9" t="s">
        <v>61</v>
      </c>
      <c r="V386" s="9">
        <v>302719.63</v>
      </c>
      <c r="W386" s="9">
        <v>0.0</v>
      </c>
      <c r="X386" s="9">
        <v>0.0</v>
      </c>
    </row>
    <row r="387" ht="15.75" customHeight="1">
      <c r="A387" s="9">
        <v>2030715.0</v>
      </c>
      <c r="B387" s="9">
        <v>1572059.0</v>
      </c>
      <c r="C387" s="9">
        <v>31002.0</v>
      </c>
      <c r="D387" s="9" t="s">
        <v>52</v>
      </c>
      <c r="E387" s="9" t="s">
        <v>53</v>
      </c>
      <c r="F387" s="9">
        <v>19133.0</v>
      </c>
      <c r="G387" s="9">
        <v>1572059.0</v>
      </c>
      <c r="H387" s="9">
        <v>1572059.0</v>
      </c>
      <c r="I387" s="9">
        <v>0.0</v>
      </c>
      <c r="J387" s="9">
        <v>0.0</v>
      </c>
      <c r="K387" s="9">
        <v>0.0</v>
      </c>
      <c r="L387" s="9" t="s">
        <v>54</v>
      </c>
      <c r="M387" s="9" t="s">
        <v>55</v>
      </c>
      <c r="R387" s="9" t="s">
        <v>60</v>
      </c>
      <c r="S387" s="9" t="s">
        <v>57</v>
      </c>
      <c r="T387" s="9" t="s">
        <v>61</v>
      </c>
      <c r="V387" s="9">
        <v>1570408.27</v>
      </c>
      <c r="W387" s="9">
        <v>0.0</v>
      </c>
      <c r="X387" s="9">
        <v>0.0</v>
      </c>
    </row>
    <row r="388" ht="15.75" customHeight="1">
      <c r="A388" s="9">
        <v>2030728.0</v>
      </c>
      <c r="B388" s="9">
        <v>1855622.0</v>
      </c>
      <c r="C388" s="9">
        <v>30328.0</v>
      </c>
      <c r="D388" s="9" t="s">
        <v>52</v>
      </c>
      <c r="E388" s="9" t="s">
        <v>53</v>
      </c>
      <c r="F388" s="9">
        <v>10880.0</v>
      </c>
      <c r="G388" s="9">
        <v>1825353.5</v>
      </c>
      <c r="H388" s="9">
        <v>1825353.5</v>
      </c>
      <c r="I388" s="9">
        <v>1745518.87</v>
      </c>
      <c r="J388" s="9">
        <v>0.0</v>
      </c>
      <c r="K388" s="9">
        <v>0.0</v>
      </c>
      <c r="L388" s="9" t="s">
        <v>59</v>
      </c>
      <c r="M388" s="9" t="s">
        <v>55</v>
      </c>
      <c r="N388" s="9">
        <v>1686929.0</v>
      </c>
      <c r="O388" s="9">
        <v>1686929.0</v>
      </c>
      <c r="R388" s="9" t="s">
        <v>60</v>
      </c>
      <c r="S388" s="9" t="s">
        <v>57</v>
      </c>
      <c r="T388" s="9" t="s">
        <v>61</v>
      </c>
      <c r="V388" s="9">
        <v>1742358.28</v>
      </c>
      <c r="W388" s="9">
        <v>0.0</v>
      </c>
      <c r="X388" s="9">
        <v>0.0</v>
      </c>
    </row>
    <row r="389" ht="15.75" customHeight="1">
      <c r="A389" s="9">
        <v>2030730.0</v>
      </c>
      <c r="B389" s="9">
        <v>1142081.0</v>
      </c>
      <c r="C389" s="9">
        <v>30330.0</v>
      </c>
      <c r="D389" s="9" t="s">
        <v>52</v>
      </c>
      <c r="E389" s="9" t="s">
        <v>53</v>
      </c>
      <c r="F389" s="9">
        <v>15020.0</v>
      </c>
      <c r="G389" s="9">
        <v>1142081.0</v>
      </c>
      <c r="H389" s="9">
        <v>1142081.0</v>
      </c>
      <c r="I389" s="9">
        <v>1001778.07</v>
      </c>
      <c r="J389" s="9">
        <v>0.0</v>
      </c>
      <c r="K389" s="9">
        <v>0.0</v>
      </c>
      <c r="L389" s="9" t="s">
        <v>69</v>
      </c>
      <c r="M389" s="9" t="s">
        <v>55</v>
      </c>
      <c r="N389" s="9">
        <v>1074197.92</v>
      </c>
      <c r="O389" s="9">
        <v>966778.13</v>
      </c>
      <c r="R389" s="9" t="s">
        <v>60</v>
      </c>
      <c r="S389" s="9" t="s">
        <v>57</v>
      </c>
      <c r="T389" s="9" t="s">
        <v>61</v>
      </c>
      <c r="V389" s="9">
        <v>1001778.03</v>
      </c>
      <c r="W389" s="9">
        <v>0.0</v>
      </c>
      <c r="X389" s="9">
        <v>0.0</v>
      </c>
    </row>
    <row r="390" ht="15.75" customHeight="1">
      <c r="A390" s="9">
        <v>2030745.0</v>
      </c>
      <c r="B390" s="9">
        <v>834203.0</v>
      </c>
      <c r="C390" s="9">
        <v>30744.0</v>
      </c>
      <c r="D390" s="9" t="s">
        <v>52</v>
      </c>
      <c r="E390" s="9" t="s">
        <v>53</v>
      </c>
      <c r="F390" s="9">
        <v>26055.0</v>
      </c>
      <c r="G390" s="9">
        <v>834203.0</v>
      </c>
      <c r="H390" s="9">
        <v>834203.0</v>
      </c>
      <c r="I390" s="9">
        <v>0.0</v>
      </c>
      <c r="J390" s="9">
        <v>0.0</v>
      </c>
      <c r="K390" s="9">
        <v>0.0</v>
      </c>
      <c r="L390" s="9" t="s">
        <v>54</v>
      </c>
      <c r="M390" s="9" t="s">
        <v>55</v>
      </c>
      <c r="N390" s="9">
        <v>668724.78</v>
      </c>
      <c r="O390" s="9">
        <v>601852.0</v>
      </c>
      <c r="R390" s="9" t="s">
        <v>60</v>
      </c>
      <c r="S390" s="9" t="s">
        <v>57</v>
      </c>
      <c r="T390" s="9" t="s">
        <v>61</v>
      </c>
      <c r="V390" s="9">
        <v>605703.98</v>
      </c>
      <c r="W390" s="9">
        <v>0.0</v>
      </c>
      <c r="X390" s="9">
        <v>0.0</v>
      </c>
    </row>
    <row r="391" ht="15.75" customHeight="1">
      <c r="A391" s="9">
        <v>2030762.0</v>
      </c>
      <c r="B391" s="9">
        <v>720338.0</v>
      </c>
      <c r="C391" s="9">
        <v>31292.0</v>
      </c>
      <c r="D391" s="9" t="s">
        <v>52</v>
      </c>
      <c r="E391" s="9" t="s">
        <v>53</v>
      </c>
      <c r="F391" s="9">
        <v>15727.0</v>
      </c>
      <c r="G391" s="9">
        <v>720338.0</v>
      </c>
      <c r="H391" s="9">
        <v>720338.0</v>
      </c>
      <c r="I391" s="9">
        <v>487054.0</v>
      </c>
      <c r="J391" s="9">
        <v>0.0</v>
      </c>
      <c r="K391" s="9">
        <v>0.0</v>
      </c>
      <c r="L391" s="9" t="s">
        <v>69</v>
      </c>
      <c r="M391" s="9" t="s">
        <v>55</v>
      </c>
      <c r="R391" s="9" t="s">
        <v>60</v>
      </c>
      <c r="S391" s="9" t="s">
        <v>57</v>
      </c>
      <c r="T391" s="9" t="s">
        <v>61</v>
      </c>
      <c r="V391" s="9">
        <v>1063324.0</v>
      </c>
      <c r="W391" s="9">
        <v>0.0</v>
      </c>
      <c r="X391" s="9">
        <v>0.0</v>
      </c>
    </row>
    <row r="392" ht="15.75" customHeight="1">
      <c r="A392" s="9">
        <v>2030779.0</v>
      </c>
      <c r="B392" s="9">
        <v>185500.0</v>
      </c>
      <c r="C392" s="9">
        <v>29857.0</v>
      </c>
      <c r="D392" s="9" t="s">
        <v>52</v>
      </c>
      <c r="E392" s="9" t="s">
        <v>53</v>
      </c>
      <c r="F392" s="9">
        <v>24673.0</v>
      </c>
      <c r="G392" s="9">
        <v>185500.0</v>
      </c>
      <c r="H392" s="9">
        <v>167427.29</v>
      </c>
      <c r="I392" s="9">
        <v>167427.11</v>
      </c>
      <c r="J392" s="9">
        <v>0.0</v>
      </c>
      <c r="K392" s="9">
        <v>0.0</v>
      </c>
      <c r="L392" s="9" t="s">
        <v>69</v>
      </c>
      <c r="M392" s="9" t="s">
        <v>55</v>
      </c>
      <c r="N392" s="9">
        <v>199238.53</v>
      </c>
      <c r="O392" s="9">
        <v>167427.33</v>
      </c>
      <c r="P392" s="9">
        <v>199238.53</v>
      </c>
      <c r="Q392" s="9">
        <v>0.0</v>
      </c>
      <c r="R392" s="9" t="s">
        <v>60</v>
      </c>
      <c r="S392" s="9" t="s">
        <v>57</v>
      </c>
      <c r="T392" s="9" t="s">
        <v>61</v>
      </c>
      <c r="V392" s="9">
        <v>167427.23</v>
      </c>
      <c r="W392" s="9">
        <v>0.0</v>
      </c>
      <c r="X392" s="9">
        <v>0.0</v>
      </c>
    </row>
    <row r="393" ht="15.75" customHeight="1">
      <c r="A393" s="9">
        <v>2030781.0</v>
      </c>
      <c r="B393" s="9">
        <v>160972.0</v>
      </c>
      <c r="C393" s="9">
        <v>29869.0</v>
      </c>
      <c r="D393" s="9" t="s">
        <v>52</v>
      </c>
      <c r="E393" s="9" t="s">
        <v>53</v>
      </c>
      <c r="F393" s="9">
        <v>11211.0</v>
      </c>
      <c r="G393" s="9">
        <v>162750.5</v>
      </c>
      <c r="H393" s="9">
        <v>162750.5</v>
      </c>
      <c r="I393" s="9">
        <v>142315.32</v>
      </c>
      <c r="J393" s="9">
        <v>0.0</v>
      </c>
      <c r="K393" s="9">
        <v>0.0</v>
      </c>
      <c r="L393" s="9" t="s">
        <v>59</v>
      </c>
      <c r="M393" s="9" t="s">
        <v>55</v>
      </c>
      <c r="N393" s="9">
        <v>162750.5</v>
      </c>
      <c r="O393" s="9">
        <v>123088.62</v>
      </c>
      <c r="R393" s="9" t="s">
        <v>60</v>
      </c>
      <c r="S393" s="9" t="s">
        <v>57</v>
      </c>
      <c r="T393" s="9" t="s">
        <v>61</v>
      </c>
      <c r="V393" s="9">
        <v>142315.32</v>
      </c>
      <c r="W393" s="9">
        <v>0.0</v>
      </c>
      <c r="X393" s="9">
        <v>0.0</v>
      </c>
    </row>
    <row r="394" ht="15.75" customHeight="1">
      <c r="A394" s="9">
        <v>2034689.0</v>
      </c>
      <c r="B394" s="9">
        <v>367980.0</v>
      </c>
      <c r="C394" s="9">
        <v>30752.0</v>
      </c>
      <c r="D394" s="9" t="s">
        <v>52</v>
      </c>
      <c r="E394" s="9" t="s">
        <v>53</v>
      </c>
      <c r="F394" s="9">
        <v>27454.0</v>
      </c>
      <c r="G394" s="9">
        <v>367980.0</v>
      </c>
      <c r="H394" s="9">
        <v>367980.0</v>
      </c>
      <c r="I394" s="9">
        <v>687186.33</v>
      </c>
      <c r="J394" s="9">
        <v>0.0</v>
      </c>
      <c r="K394" s="9">
        <v>0.0</v>
      </c>
      <c r="L394" s="9" t="s">
        <v>69</v>
      </c>
      <c r="M394" s="9" t="s">
        <v>55</v>
      </c>
      <c r="N394" s="9">
        <v>388451.0</v>
      </c>
      <c r="O394" s="9">
        <v>427249.9</v>
      </c>
      <c r="R394" s="9" t="s">
        <v>60</v>
      </c>
      <c r="S394" s="9" t="s">
        <v>57</v>
      </c>
      <c r="T394" s="9" t="s">
        <v>61</v>
      </c>
      <c r="V394" s="9">
        <v>580252.48</v>
      </c>
      <c r="W394" s="9">
        <v>0.0</v>
      </c>
      <c r="X394" s="9">
        <v>0.0</v>
      </c>
    </row>
    <row r="395" ht="15.75" customHeight="1">
      <c r="A395" s="9">
        <v>2036297.0</v>
      </c>
      <c r="B395" s="9">
        <v>361934.0</v>
      </c>
      <c r="C395" s="9">
        <v>31114.0</v>
      </c>
      <c r="D395" s="9" t="s">
        <v>52</v>
      </c>
      <c r="E395" s="9" t="s">
        <v>53</v>
      </c>
      <c r="F395" s="9">
        <v>32393.0</v>
      </c>
      <c r="G395" s="9">
        <v>361934.0</v>
      </c>
      <c r="H395" s="9">
        <v>361934.0</v>
      </c>
      <c r="I395" s="9">
        <v>596745.4</v>
      </c>
      <c r="J395" s="9">
        <v>0.0</v>
      </c>
      <c r="K395" s="9">
        <v>0.0</v>
      </c>
      <c r="L395" s="9" t="s">
        <v>69</v>
      </c>
      <c r="M395" s="9" t="s">
        <v>55</v>
      </c>
      <c r="R395" s="9" t="s">
        <v>56</v>
      </c>
      <c r="S395" s="9" t="s">
        <v>57</v>
      </c>
      <c r="T395" s="9" t="s">
        <v>58</v>
      </c>
      <c r="V395" s="9">
        <v>11608.0</v>
      </c>
      <c r="W395" s="9">
        <v>0.0</v>
      </c>
      <c r="X395" s="9">
        <v>0.0</v>
      </c>
    </row>
    <row r="396" ht="15.75" customHeight="1">
      <c r="A396" s="9">
        <v>2037616.0</v>
      </c>
      <c r="B396" s="9">
        <v>8906524.0</v>
      </c>
      <c r="C396" s="9">
        <v>40588.0</v>
      </c>
      <c r="D396" s="9" t="s">
        <v>52</v>
      </c>
      <c r="E396" s="9" t="s">
        <v>53</v>
      </c>
      <c r="F396" s="9">
        <v>34889.0</v>
      </c>
      <c r="G396" s="9">
        <v>1.509379626E7</v>
      </c>
      <c r="H396" s="9">
        <v>1.908243111E7</v>
      </c>
      <c r="I396" s="9">
        <v>1.839526999E7</v>
      </c>
      <c r="J396" s="9">
        <v>9000.0</v>
      </c>
      <c r="K396" s="9">
        <v>9417.0</v>
      </c>
      <c r="L396" s="9" t="s">
        <v>59</v>
      </c>
      <c r="M396" s="9" t="s">
        <v>55</v>
      </c>
      <c r="N396" s="9">
        <v>1.3904021E7</v>
      </c>
      <c r="O396" s="9">
        <v>1.3904021E7</v>
      </c>
      <c r="P396" s="9">
        <v>694784.0</v>
      </c>
      <c r="Q396" s="9">
        <v>694784.0</v>
      </c>
      <c r="R396" s="9" t="s">
        <v>72</v>
      </c>
      <c r="S396" s="9" t="s">
        <v>57</v>
      </c>
      <c r="T396" s="9" t="s">
        <v>73</v>
      </c>
      <c r="V396" s="9">
        <v>1.791505836E7</v>
      </c>
      <c r="W396" s="9">
        <v>719729.15</v>
      </c>
      <c r="X396" s="9">
        <v>0.0</v>
      </c>
    </row>
    <row r="397" ht="15.75" customHeight="1">
      <c r="A397" s="9">
        <v>2038750.0</v>
      </c>
      <c r="B397" s="9">
        <v>826158.0</v>
      </c>
      <c r="C397" s="9">
        <v>30008.0</v>
      </c>
      <c r="D397" s="9" t="s">
        <v>52</v>
      </c>
      <c r="E397" s="9" t="s">
        <v>53</v>
      </c>
      <c r="F397" s="9">
        <v>36385.0</v>
      </c>
      <c r="G397" s="9">
        <v>5147989.0</v>
      </c>
      <c r="H397" s="9">
        <v>5147989.0</v>
      </c>
      <c r="I397" s="9">
        <v>6165948.13</v>
      </c>
      <c r="J397" s="9">
        <v>0.0</v>
      </c>
      <c r="K397" s="9">
        <v>0.0</v>
      </c>
      <c r="L397" s="9" t="s">
        <v>59</v>
      </c>
      <c r="M397" s="9" t="s">
        <v>55</v>
      </c>
      <c r="N397" s="9">
        <v>4256461.82</v>
      </c>
      <c r="O397" s="9">
        <v>4597052.04</v>
      </c>
      <c r="P397" s="9">
        <v>127693.85</v>
      </c>
      <c r="Q397" s="9">
        <v>127693.85</v>
      </c>
      <c r="R397" s="9" t="s">
        <v>60</v>
      </c>
      <c r="S397" s="9" t="s">
        <v>57</v>
      </c>
      <c r="T397" s="9" t="s">
        <v>61</v>
      </c>
      <c r="V397" s="9">
        <v>4417046.1</v>
      </c>
      <c r="W397" s="9">
        <v>0.0</v>
      </c>
      <c r="X397" s="9">
        <v>0.0</v>
      </c>
    </row>
    <row r="398" ht="15.75" customHeight="1">
      <c r="A398" s="9">
        <v>2038578.0</v>
      </c>
      <c r="B398" s="9">
        <v>1997245.0</v>
      </c>
      <c r="C398" s="9">
        <v>47484.0</v>
      </c>
      <c r="D398" s="9" t="s">
        <v>52</v>
      </c>
      <c r="E398" s="9" t="s">
        <v>53</v>
      </c>
      <c r="F398" s="9">
        <v>29066.0</v>
      </c>
      <c r="G398" s="9">
        <v>4272452.13</v>
      </c>
      <c r="H398" s="9">
        <v>5470038.89</v>
      </c>
      <c r="I398" s="9">
        <v>4749514.2</v>
      </c>
      <c r="J398" s="9">
        <v>477675.31</v>
      </c>
      <c r="K398" s="9">
        <v>1191700.0</v>
      </c>
      <c r="L398" s="9" t="s">
        <v>59</v>
      </c>
      <c r="M398" s="9" t="s">
        <v>74</v>
      </c>
      <c r="R398" s="9" t="s">
        <v>85</v>
      </c>
      <c r="S398" s="9" t="s">
        <v>67</v>
      </c>
      <c r="T398" s="9" t="s">
        <v>86</v>
      </c>
    </row>
    <row r="399" ht="15.75" customHeight="1">
      <c r="A399" s="9">
        <v>2038695.0</v>
      </c>
      <c r="B399" s="9">
        <v>7.7283283E7</v>
      </c>
      <c r="C399" s="9">
        <v>31161.0</v>
      </c>
      <c r="D399" s="9" t="s">
        <v>52</v>
      </c>
      <c r="E399" s="9" t="s">
        <v>53</v>
      </c>
      <c r="F399" s="9">
        <v>18946.0</v>
      </c>
      <c r="G399" s="9">
        <v>9.273994E7</v>
      </c>
      <c r="H399" s="9">
        <v>9.273994E7</v>
      </c>
      <c r="I399" s="9">
        <v>2626275.9</v>
      </c>
      <c r="J399" s="9">
        <v>0.0</v>
      </c>
      <c r="K399" s="9">
        <v>0.0</v>
      </c>
      <c r="L399" s="9" t="s">
        <v>59</v>
      </c>
      <c r="M399" s="9" t="s">
        <v>55</v>
      </c>
      <c r="R399" s="9" t="s">
        <v>60</v>
      </c>
      <c r="S399" s="9" t="s">
        <v>57</v>
      </c>
      <c r="T399" s="9" t="s">
        <v>61</v>
      </c>
      <c r="V399" s="9">
        <v>9.79015298E7</v>
      </c>
      <c r="W399" s="9">
        <v>0.0</v>
      </c>
      <c r="X399" s="9">
        <v>0.0</v>
      </c>
    </row>
    <row r="400" ht="15.75" customHeight="1">
      <c r="A400" s="9">
        <v>2040199.0</v>
      </c>
      <c r="B400" s="9">
        <v>1727895.0</v>
      </c>
      <c r="C400" s="9">
        <v>30390.0</v>
      </c>
      <c r="D400" s="9" t="s">
        <v>52</v>
      </c>
      <c r="E400" s="9" t="s">
        <v>53</v>
      </c>
      <c r="F400" s="9">
        <v>36305.0</v>
      </c>
      <c r="G400" s="9">
        <v>2279495.0</v>
      </c>
      <c r="H400" s="9">
        <v>2279495.0</v>
      </c>
      <c r="I400" s="9">
        <v>2511863.35</v>
      </c>
      <c r="J400" s="9">
        <v>0.0</v>
      </c>
      <c r="K400" s="9">
        <v>0.0</v>
      </c>
      <c r="L400" s="9" t="s">
        <v>59</v>
      </c>
      <c r="M400" s="9" t="s">
        <v>55</v>
      </c>
      <c r="N400" s="9">
        <v>2200726.36</v>
      </c>
      <c r="O400" s="9">
        <v>2146728.84</v>
      </c>
      <c r="P400" s="9">
        <v>45152.0</v>
      </c>
      <c r="Q400" s="9">
        <v>45152.0</v>
      </c>
      <c r="R400" s="9" t="s">
        <v>60</v>
      </c>
      <c r="S400" s="9" t="s">
        <v>57</v>
      </c>
      <c r="T400" s="9" t="s">
        <v>61</v>
      </c>
      <c r="V400" s="9">
        <v>2247957.55</v>
      </c>
      <c r="W400" s="9">
        <v>0.0</v>
      </c>
      <c r="X400" s="9">
        <v>0.0</v>
      </c>
    </row>
    <row r="401" ht="15.75" customHeight="1">
      <c r="A401" s="9">
        <v>2040767.0</v>
      </c>
      <c r="B401" s="9">
        <v>170982.0</v>
      </c>
      <c r="C401" s="9">
        <v>31326.0</v>
      </c>
      <c r="D401" s="9" t="s">
        <v>52</v>
      </c>
      <c r="E401" s="9" t="s">
        <v>53</v>
      </c>
      <c r="F401" s="9">
        <v>39938.0</v>
      </c>
      <c r="G401" s="9">
        <v>170982.0</v>
      </c>
      <c r="H401" s="9">
        <v>170982.0</v>
      </c>
      <c r="I401" s="9">
        <v>200596.97</v>
      </c>
      <c r="J401" s="9">
        <v>0.0</v>
      </c>
      <c r="K401" s="9">
        <v>0.0</v>
      </c>
      <c r="L401" s="9" t="s">
        <v>69</v>
      </c>
      <c r="M401" s="9" t="s">
        <v>55</v>
      </c>
      <c r="R401" s="9" t="s">
        <v>60</v>
      </c>
      <c r="S401" s="9" t="s">
        <v>57</v>
      </c>
      <c r="T401" s="9" t="s">
        <v>61</v>
      </c>
      <c r="V401" s="9">
        <v>186943.97</v>
      </c>
      <c r="W401" s="9">
        <v>0.0</v>
      </c>
      <c r="X401" s="9">
        <v>0.0</v>
      </c>
    </row>
    <row r="402" ht="15.75" customHeight="1">
      <c r="A402" s="9">
        <v>2041035.0</v>
      </c>
      <c r="B402" s="9">
        <v>13949.0</v>
      </c>
      <c r="C402" s="9">
        <v>31200.0</v>
      </c>
      <c r="D402" s="9" t="s">
        <v>52</v>
      </c>
      <c r="E402" s="9" t="s">
        <v>53</v>
      </c>
      <c r="F402" s="9">
        <v>42639.0</v>
      </c>
      <c r="G402" s="9">
        <v>13949.0</v>
      </c>
      <c r="H402" s="9">
        <v>13949.0</v>
      </c>
      <c r="I402" s="9">
        <v>0.0</v>
      </c>
      <c r="J402" s="9">
        <v>0.0</v>
      </c>
      <c r="K402" s="9">
        <v>0.0</v>
      </c>
      <c r="L402" s="9" t="s">
        <v>54</v>
      </c>
      <c r="M402" s="9" t="s">
        <v>55</v>
      </c>
      <c r="R402" s="9" t="s">
        <v>60</v>
      </c>
      <c r="S402" s="9" t="s">
        <v>57</v>
      </c>
      <c r="T402" s="9" t="s">
        <v>61</v>
      </c>
      <c r="V402" s="9">
        <v>13949.0</v>
      </c>
      <c r="W402" s="9">
        <v>0.0</v>
      </c>
      <c r="X402" s="9">
        <v>0.0</v>
      </c>
    </row>
    <row r="403" ht="15.75" customHeight="1">
      <c r="A403" s="9">
        <v>2043057.0</v>
      </c>
      <c r="B403" s="9">
        <v>1400000.0</v>
      </c>
      <c r="C403" s="9">
        <v>30442.0</v>
      </c>
      <c r="D403" s="9" t="s">
        <v>52</v>
      </c>
      <c r="E403" s="9" t="s">
        <v>53</v>
      </c>
      <c r="F403" s="9">
        <v>46664.0</v>
      </c>
      <c r="G403" s="9">
        <v>1223121.0</v>
      </c>
      <c r="H403" s="9">
        <v>1223121.0</v>
      </c>
      <c r="I403" s="9">
        <v>1412876.84</v>
      </c>
      <c r="J403" s="9">
        <v>0.0</v>
      </c>
      <c r="K403" s="9">
        <v>0.0</v>
      </c>
      <c r="L403" s="9" t="s">
        <v>59</v>
      </c>
      <c r="M403" s="9" t="s">
        <v>55</v>
      </c>
      <c r="N403" s="9">
        <v>1199854.74</v>
      </c>
      <c r="O403" s="9">
        <v>1199857.74</v>
      </c>
      <c r="P403" s="9">
        <v>23266.26</v>
      </c>
      <c r="Q403" s="9">
        <v>23266.26</v>
      </c>
      <c r="R403" s="9" t="s">
        <v>60</v>
      </c>
      <c r="S403" s="9" t="s">
        <v>57</v>
      </c>
      <c r="T403" s="9" t="s">
        <v>61</v>
      </c>
      <c r="V403" s="9">
        <v>1199854.74</v>
      </c>
      <c r="W403" s="9">
        <v>23266.26</v>
      </c>
      <c r="X403" s="9">
        <v>0.0</v>
      </c>
    </row>
    <row r="404" ht="15.75" customHeight="1">
      <c r="A404" s="9">
        <v>2043140.0</v>
      </c>
      <c r="B404" s="9">
        <v>642742.0</v>
      </c>
      <c r="C404" s="9">
        <v>31165.0</v>
      </c>
      <c r="D404" s="9" t="s">
        <v>52</v>
      </c>
      <c r="E404" s="9" t="s">
        <v>53</v>
      </c>
      <c r="F404" s="9">
        <v>45644.0</v>
      </c>
      <c r="G404" s="9">
        <v>642742.0</v>
      </c>
      <c r="H404" s="9">
        <v>642742.0</v>
      </c>
      <c r="I404" s="9">
        <v>717404.66</v>
      </c>
      <c r="J404" s="9">
        <v>0.0</v>
      </c>
      <c r="K404" s="9">
        <v>0.0</v>
      </c>
      <c r="L404" s="9" t="s">
        <v>69</v>
      </c>
      <c r="M404" s="9" t="s">
        <v>55</v>
      </c>
      <c r="R404" s="9" t="s">
        <v>75</v>
      </c>
      <c r="S404" s="9" t="s">
        <v>57</v>
      </c>
      <c r="T404" s="9" t="s">
        <v>76</v>
      </c>
      <c r="V404" s="9">
        <v>719725.05</v>
      </c>
      <c r="W404" s="9">
        <v>0.0</v>
      </c>
      <c r="X404" s="9">
        <v>0.0</v>
      </c>
    </row>
    <row r="405" ht="15.75" customHeight="1">
      <c r="A405" s="9">
        <v>2043322.0</v>
      </c>
      <c r="B405" s="9">
        <v>532382.0</v>
      </c>
      <c r="C405" s="9">
        <v>30929.0</v>
      </c>
      <c r="D405" s="9" t="s">
        <v>52</v>
      </c>
      <c r="E405" s="9" t="s">
        <v>53</v>
      </c>
      <c r="F405" s="9">
        <v>49612.0</v>
      </c>
      <c r="G405" s="9">
        <v>532382.0</v>
      </c>
      <c r="H405" s="9">
        <v>532382.0</v>
      </c>
      <c r="I405" s="9">
        <v>558903.11</v>
      </c>
      <c r="J405" s="9">
        <v>0.0</v>
      </c>
      <c r="K405" s="9">
        <v>0.0</v>
      </c>
      <c r="L405" s="9" t="s">
        <v>59</v>
      </c>
      <c r="M405" s="9" t="s">
        <v>55</v>
      </c>
      <c r="N405" s="9">
        <v>512199.0</v>
      </c>
      <c r="O405" s="9">
        <v>512199.0</v>
      </c>
      <c r="R405" s="9" t="s">
        <v>60</v>
      </c>
      <c r="S405" s="9" t="s">
        <v>57</v>
      </c>
      <c r="T405" s="9" t="s">
        <v>61</v>
      </c>
      <c r="V405" s="9">
        <v>512110.0</v>
      </c>
      <c r="W405" s="9">
        <v>0.0</v>
      </c>
      <c r="X405" s="9">
        <v>0.0</v>
      </c>
    </row>
    <row r="406" ht="15.75" customHeight="1">
      <c r="A406" s="9">
        <v>2043943.0</v>
      </c>
      <c r="B406" s="9">
        <v>1980424.0</v>
      </c>
      <c r="C406" s="9">
        <v>29695.0</v>
      </c>
      <c r="D406" s="9" t="s">
        <v>52</v>
      </c>
      <c r="E406" s="9" t="s">
        <v>53</v>
      </c>
      <c r="F406" s="9">
        <v>49054.0</v>
      </c>
      <c r="G406" s="9">
        <v>1980424.0</v>
      </c>
      <c r="H406" s="9">
        <v>1980424.0</v>
      </c>
      <c r="I406" s="9">
        <v>51000.0</v>
      </c>
      <c r="J406" s="9">
        <v>0.0</v>
      </c>
      <c r="K406" s="9">
        <v>0.0</v>
      </c>
      <c r="L406" s="9" t="s">
        <v>69</v>
      </c>
      <c r="M406" s="9" t="s">
        <v>65</v>
      </c>
      <c r="N406" s="9">
        <v>50000.0</v>
      </c>
      <c r="O406" s="9">
        <v>45000.0</v>
      </c>
      <c r="R406" s="9" t="s">
        <v>92</v>
      </c>
      <c r="S406" s="9" t="s">
        <v>57</v>
      </c>
      <c r="T406" s="9" t="s">
        <v>93</v>
      </c>
    </row>
    <row r="407" ht="15.75" customHeight="1">
      <c r="A407" s="9">
        <v>2044190.0</v>
      </c>
      <c r="B407" s="9">
        <v>1.9260652E7</v>
      </c>
      <c r="C407" s="9">
        <v>30962.0</v>
      </c>
      <c r="D407" s="9" t="s">
        <v>52</v>
      </c>
      <c r="E407" s="9" t="s">
        <v>53</v>
      </c>
      <c r="F407" s="9">
        <v>49594.0</v>
      </c>
      <c r="G407" s="9">
        <v>2.114341698E7</v>
      </c>
      <c r="H407" s="9">
        <v>2.114341698E7</v>
      </c>
      <c r="I407" s="9">
        <v>2.186601076E7</v>
      </c>
      <c r="J407" s="9">
        <v>0.0</v>
      </c>
      <c r="K407" s="9">
        <v>0.0</v>
      </c>
      <c r="L407" s="9" t="s">
        <v>69</v>
      </c>
      <c r="M407" s="9" t="s">
        <v>55</v>
      </c>
      <c r="N407" s="9">
        <v>2.008843842E7</v>
      </c>
      <c r="O407" s="9">
        <v>1.822990362E7</v>
      </c>
      <c r="P407" s="9">
        <v>900000.0</v>
      </c>
      <c r="Q407" s="9">
        <v>756302.52</v>
      </c>
      <c r="R407" s="9" t="s">
        <v>60</v>
      </c>
      <c r="S407" s="9" t="s">
        <v>57</v>
      </c>
      <c r="T407" s="9" t="s">
        <v>61</v>
      </c>
      <c r="V407" s="9">
        <v>1.774400882E7</v>
      </c>
      <c r="W407" s="9">
        <v>783166.52</v>
      </c>
      <c r="X407" s="9">
        <v>0.0</v>
      </c>
    </row>
    <row r="408" ht="15.75" customHeight="1">
      <c r="A408" s="9">
        <v>2044611.0</v>
      </c>
      <c r="B408" s="9">
        <v>1929438.0</v>
      </c>
      <c r="C408" s="9">
        <v>30657.0</v>
      </c>
      <c r="D408" s="9" t="s">
        <v>52</v>
      </c>
      <c r="E408" s="9" t="s">
        <v>53</v>
      </c>
      <c r="F408" s="9">
        <v>45361.0</v>
      </c>
      <c r="G408" s="9">
        <v>1929438.0</v>
      </c>
      <c r="H408" s="9">
        <v>1929438.0</v>
      </c>
      <c r="I408" s="9">
        <v>2238839.11</v>
      </c>
      <c r="J408" s="9">
        <v>0.0</v>
      </c>
      <c r="K408" s="9">
        <v>0.0</v>
      </c>
      <c r="L408" s="9" t="s">
        <v>69</v>
      </c>
      <c r="M408" s="9" t="s">
        <v>55</v>
      </c>
      <c r="N408" s="9">
        <v>1854070.0</v>
      </c>
      <c r="O408" s="9">
        <v>1402237.82</v>
      </c>
      <c r="P408" s="9">
        <v>75368.68</v>
      </c>
      <c r="Q408" s="9">
        <v>63335.0</v>
      </c>
      <c r="R408" s="9" t="s">
        <v>75</v>
      </c>
      <c r="S408" s="9" t="s">
        <v>57</v>
      </c>
      <c r="T408" s="9" t="s">
        <v>76</v>
      </c>
    </row>
    <row r="409" ht="15.75" customHeight="1">
      <c r="A409" s="9">
        <v>2044693.0</v>
      </c>
      <c r="B409" s="9">
        <v>1214506.0</v>
      </c>
      <c r="C409" s="9">
        <v>30748.0</v>
      </c>
      <c r="D409" s="9" t="s">
        <v>52</v>
      </c>
      <c r="E409" s="9" t="s">
        <v>53</v>
      </c>
      <c r="F409" s="9">
        <v>39095.0</v>
      </c>
      <c r="G409" s="9">
        <v>1214506.0</v>
      </c>
      <c r="H409" s="9">
        <v>1214506.0</v>
      </c>
      <c r="I409" s="9">
        <v>1402268.5</v>
      </c>
      <c r="J409" s="9">
        <v>0.0</v>
      </c>
      <c r="K409" s="9">
        <v>0.0</v>
      </c>
      <c r="L409" s="9" t="s">
        <v>69</v>
      </c>
      <c r="M409" s="9" t="s">
        <v>55</v>
      </c>
      <c r="N409" s="9">
        <v>1206456.0</v>
      </c>
      <c r="O409" s="9">
        <v>1278826.67</v>
      </c>
      <c r="R409" s="9" t="s">
        <v>60</v>
      </c>
      <c r="S409" s="9" t="s">
        <v>57</v>
      </c>
      <c r="T409" s="9" t="s">
        <v>61</v>
      </c>
      <c r="V409" s="9">
        <v>1282820.5</v>
      </c>
      <c r="W409" s="9">
        <v>0.0</v>
      </c>
      <c r="X409" s="9">
        <v>0.0</v>
      </c>
    </row>
    <row r="410" ht="15.75" customHeight="1">
      <c r="A410" s="9">
        <v>2044694.0</v>
      </c>
      <c r="B410" s="9">
        <v>348571.0</v>
      </c>
      <c r="C410" s="9">
        <v>30749.0</v>
      </c>
      <c r="D410" s="9" t="s">
        <v>52</v>
      </c>
      <c r="E410" s="9" t="s">
        <v>53</v>
      </c>
      <c r="F410" s="9">
        <v>41562.0</v>
      </c>
      <c r="G410" s="9">
        <v>348571.0</v>
      </c>
      <c r="H410" s="9">
        <v>348571.0</v>
      </c>
      <c r="I410" s="9">
        <v>498286.17</v>
      </c>
      <c r="J410" s="9">
        <v>0.0</v>
      </c>
      <c r="K410" s="9">
        <v>0.0</v>
      </c>
      <c r="L410" s="9" t="s">
        <v>69</v>
      </c>
      <c r="M410" s="9" t="s">
        <v>55</v>
      </c>
      <c r="N410" s="9">
        <v>0.0</v>
      </c>
      <c r="O410" s="9">
        <v>369766.53</v>
      </c>
      <c r="R410" s="9" t="s">
        <v>60</v>
      </c>
      <c r="S410" s="9" t="s">
        <v>57</v>
      </c>
      <c r="T410" s="9" t="s">
        <v>61</v>
      </c>
      <c r="V410" s="9">
        <v>397981.26</v>
      </c>
      <c r="W410" s="9">
        <v>0.0</v>
      </c>
      <c r="X410" s="9">
        <v>0.0</v>
      </c>
    </row>
    <row r="411" ht="15.75" customHeight="1">
      <c r="A411" s="9">
        <v>2045162.0</v>
      </c>
      <c r="B411" s="9">
        <v>3087571.0</v>
      </c>
      <c r="C411" s="9">
        <v>30766.0</v>
      </c>
      <c r="D411" s="9" t="s">
        <v>52</v>
      </c>
      <c r="E411" s="9" t="s">
        <v>53</v>
      </c>
      <c r="F411" s="9">
        <v>41363.0</v>
      </c>
      <c r="G411" s="9">
        <v>2982335.46</v>
      </c>
      <c r="H411" s="9">
        <v>2982335.46</v>
      </c>
      <c r="I411" s="9">
        <v>3663340.74</v>
      </c>
      <c r="J411" s="9">
        <v>0.0</v>
      </c>
      <c r="K411" s="9">
        <v>0.0</v>
      </c>
      <c r="L411" s="9" t="s">
        <v>59</v>
      </c>
      <c r="M411" s="9" t="s">
        <v>55</v>
      </c>
      <c r="N411" s="9">
        <v>2849324.73</v>
      </c>
      <c r="O411" s="9">
        <v>2932785.0</v>
      </c>
      <c r="R411" s="9" t="s">
        <v>94</v>
      </c>
      <c r="S411" s="9" t="s">
        <v>57</v>
      </c>
      <c r="T411" s="9" t="s">
        <v>95</v>
      </c>
    </row>
    <row r="412" ht="15.75" customHeight="1">
      <c r="A412" s="9">
        <v>2045393.0</v>
      </c>
      <c r="B412" s="9">
        <v>261580.0</v>
      </c>
      <c r="C412" s="9">
        <v>30225.0</v>
      </c>
      <c r="D412" s="9" t="s">
        <v>52</v>
      </c>
      <c r="E412" s="9" t="s">
        <v>53</v>
      </c>
      <c r="F412" s="9">
        <v>45386.0</v>
      </c>
      <c r="G412" s="9">
        <v>261580.0</v>
      </c>
      <c r="H412" s="9">
        <v>233335.53</v>
      </c>
      <c r="I412" s="9">
        <v>233335.53</v>
      </c>
      <c r="J412" s="9">
        <v>0.0</v>
      </c>
      <c r="K412" s="9">
        <v>0.0</v>
      </c>
      <c r="L412" s="9" t="s">
        <v>69</v>
      </c>
      <c r="M412" s="9" t="s">
        <v>55</v>
      </c>
      <c r="N412" s="9">
        <v>261580.0</v>
      </c>
      <c r="O412" s="9">
        <v>239981.0</v>
      </c>
      <c r="R412" s="9" t="s">
        <v>60</v>
      </c>
      <c r="S412" s="9" t="s">
        <v>57</v>
      </c>
      <c r="T412" s="9" t="s">
        <v>61</v>
      </c>
      <c r="V412" s="9">
        <v>183359.79</v>
      </c>
      <c r="W412" s="9">
        <v>0.0</v>
      </c>
      <c r="X412" s="9">
        <v>0.0</v>
      </c>
    </row>
    <row r="413" ht="15.75" customHeight="1">
      <c r="A413" s="9">
        <v>2047066.0</v>
      </c>
      <c r="B413" s="9">
        <v>1176845.0</v>
      </c>
      <c r="C413" s="9">
        <v>30515.0</v>
      </c>
      <c r="D413" s="9" t="s">
        <v>52</v>
      </c>
      <c r="E413" s="9" t="s">
        <v>53</v>
      </c>
      <c r="F413" s="9">
        <v>50551.0</v>
      </c>
      <c r="G413" s="9">
        <v>1422270.19</v>
      </c>
      <c r="H413" s="9">
        <v>1422270.19</v>
      </c>
      <c r="I413" s="9">
        <v>1373079.75</v>
      </c>
      <c r="J413" s="9">
        <v>0.0</v>
      </c>
      <c r="K413" s="9">
        <v>0.0</v>
      </c>
      <c r="L413" s="9" t="s">
        <v>69</v>
      </c>
      <c r="M413" s="9" t="s">
        <v>55</v>
      </c>
      <c r="N413" s="9">
        <v>1599369.3</v>
      </c>
      <c r="O413" s="9">
        <v>1439432.37</v>
      </c>
      <c r="R413" s="9" t="s">
        <v>60</v>
      </c>
      <c r="S413" s="9" t="s">
        <v>57</v>
      </c>
      <c r="T413" s="9" t="s">
        <v>61</v>
      </c>
      <c r="V413" s="9">
        <v>948994.8</v>
      </c>
      <c r="W413" s="9">
        <v>7900.0</v>
      </c>
      <c r="X413" s="9">
        <v>233777.98</v>
      </c>
    </row>
    <row r="414" ht="15.75" customHeight="1">
      <c r="A414" s="9">
        <v>2047369.0</v>
      </c>
      <c r="B414" s="9">
        <v>2.2742799E7</v>
      </c>
      <c r="C414" s="9">
        <v>30954.0</v>
      </c>
      <c r="D414" s="9" t="s">
        <v>52</v>
      </c>
      <c r="E414" s="9" t="s">
        <v>53</v>
      </c>
      <c r="F414" s="9">
        <v>46377.0</v>
      </c>
      <c r="G414" s="9">
        <v>2.825155614E7</v>
      </c>
      <c r="H414" s="9">
        <v>2.825155614E7</v>
      </c>
      <c r="I414" s="9">
        <v>2.825155614E7</v>
      </c>
      <c r="J414" s="9">
        <v>0.0</v>
      </c>
      <c r="K414" s="9">
        <v>0.0</v>
      </c>
      <c r="L414" s="9" t="s">
        <v>69</v>
      </c>
      <c r="M414" s="9" t="s">
        <v>55</v>
      </c>
      <c r="N414" s="9">
        <v>2.28068736E7</v>
      </c>
      <c r="O414" s="9">
        <v>2.433265345E7</v>
      </c>
      <c r="P414" s="9">
        <v>2.28068736E7</v>
      </c>
      <c r="Q414" s="9">
        <v>765994.0</v>
      </c>
      <c r="R414" s="9" t="s">
        <v>60</v>
      </c>
      <c r="S414" s="9" t="s">
        <v>57</v>
      </c>
      <c r="T414" s="9" t="s">
        <v>61</v>
      </c>
      <c r="V414" s="9">
        <v>2.722471718E7</v>
      </c>
      <c r="W414" s="9">
        <v>742838.96</v>
      </c>
      <c r="X414" s="9">
        <v>0.0</v>
      </c>
    </row>
    <row r="415" ht="15.75" customHeight="1">
      <c r="A415" s="9">
        <v>2047402.0</v>
      </c>
      <c r="B415" s="9">
        <v>4.021698E7</v>
      </c>
      <c r="C415" s="9">
        <v>44268.0</v>
      </c>
      <c r="D415" s="9" t="s">
        <v>52</v>
      </c>
      <c r="E415" s="9" t="s">
        <v>53</v>
      </c>
      <c r="F415" s="9">
        <v>49407.0</v>
      </c>
      <c r="G415" s="9">
        <v>4.53636435E7</v>
      </c>
      <c r="H415" s="9">
        <v>1.5921069574E8</v>
      </c>
      <c r="I415" s="9">
        <v>3.724957794E7</v>
      </c>
      <c r="J415" s="9">
        <v>836631.52</v>
      </c>
      <c r="K415" s="9">
        <v>5095317.0</v>
      </c>
      <c r="L415" s="9" t="s">
        <v>59</v>
      </c>
      <c r="M415" s="9" t="s">
        <v>62</v>
      </c>
      <c r="N415" s="9">
        <v>1.4810969415E8</v>
      </c>
      <c r="O415" s="9">
        <v>1.4809969206E8</v>
      </c>
      <c r="P415" s="9">
        <v>5760941.76</v>
      </c>
      <c r="Q415" s="9">
        <v>4393938.64</v>
      </c>
      <c r="R415" s="9" t="s">
        <v>77</v>
      </c>
      <c r="S415" s="9" t="s">
        <v>78</v>
      </c>
      <c r="T415" s="9" t="s">
        <v>79</v>
      </c>
      <c r="U415" s="9" t="s">
        <v>80</v>
      </c>
    </row>
    <row r="416" ht="15.75" customHeight="1">
      <c r="A416" s="9">
        <v>2047434.0</v>
      </c>
      <c r="B416" s="9">
        <v>334479.0</v>
      </c>
      <c r="C416" s="9">
        <v>30982.0</v>
      </c>
      <c r="D416" s="9" t="s">
        <v>52</v>
      </c>
      <c r="E416" s="9" t="s">
        <v>53</v>
      </c>
      <c r="F416" s="9">
        <v>51916.0</v>
      </c>
      <c r="G416" s="9">
        <v>334479.0</v>
      </c>
      <c r="H416" s="9">
        <v>334479.0</v>
      </c>
      <c r="I416" s="9">
        <v>22500.0</v>
      </c>
      <c r="J416" s="9">
        <v>0.0</v>
      </c>
      <c r="K416" s="9">
        <v>0.0</v>
      </c>
      <c r="L416" s="9" t="s">
        <v>69</v>
      </c>
      <c r="M416" s="9" t="s">
        <v>55</v>
      </c>
      <c r="R416" s="9" t="s">
        <v>60</v>
      </c>
      <c r="S416" s="9" t="s">
        <v>57</v>
      </c>
      <c r="T416" s="9" t="s">
        <v>61</v>
      </c>
      <c r="V416" s="9">
        <v>450893.04</v>
      </c>
      <c r="W416" s="9">
        <v>0.0</v>
      </c>
      <c r="X416" s="9">
        <v>0.0</v>
      </c>
    </row>
    <row r="417" ht="15.75" customHeight="1">
      <c r="A417" s="9">
        <v>2047469.0</v>
      </c>
      <c r="B417" s="9">
        <v>1.4838226E7</v>
      </c>
      <c r="C417" s="9">
        <v>30158.0</v>
      </c>
      <c r="D417" s="9" t="s">
        <v>52</v>
      </c>
      <c r="E417" s="9" t="s">
        <v>53</v>
      </c>
      <c r="F417" s="9">
        <v>44751.0</v>
      </c>
      <c r="G417" s="9">
        <v>1.4838226E7</v>
      </c>
      <c r="H417" s="9">
        <v>1.4838226E7</v>
      </c>
      <c r="I417" s="9">
        <v>1.573791635E7</v>
      </c>
      <c r="J417" s="9">
        <v>0.0</v>
      </c>
      <c r="K417" s="9">
        <v>0.0</v>
      </c>
      <c r="L417" s="9" t="s">
        <v>59</v>
      </c>
      <c r="M417" s="9" t="s">
        <v>55</v>
      </c>
      <c r="N417" s="9">
        <v>7830720.81</v>
      </c>
      <c r="O417" s="9">
        <v>7830720.8</v>
      </c>
      <c r="P417" s="9">
        <v>359832.29</v>
      </c>
      <c r="Q417" s="9">
        <v>352382.44</v>
      </c>
      <c r="R417" s="9" t="s">
        <v>60</v>
      </c>
      <c r="S417" s="9" t="s">
        <v>57</v>
      </c>
      <c r="T417" s="9" t="s">
        <v>61</v>
      </c>
      <c r="V417" s="9">
        <v>7936288.02</v>
      </c>
      <c r="W417" s="9">
        <v>367935.22</v>
      </c>
      <c r="X417" s="9">
        <v>0.0</v>
      </c>
    </row>
    <row r="418" ht="15.75" customHeight="1">
      <c r="A418" s="9">
        <v>2048188.0</v>
      </c>
      <c r="B418" s="9">
        <v>3375134.0</v>
      </c>
      <c r="C418" s="9">
        <v>30804.0</v>
      </c>
      <c r="D418" s="9" t="s">
        <v>52</v>
      </c>
      <c r="E418" s="9" t="s">
        <v>53</v>
      </c>
      <c r="F418" s="9">
        <v>47697.0</v>
      </c>
      <c r="G418" s="9">
        <v>4477805.0</v>
      </c>
      <c r="H418" s="9">
        <v>4477805.0</v>
      </c>
      <c r="I418" s="9">
        <v>4477805.0</v>
      </c>
      <c r="J418" s="9">
        <v>0.0</v>
      </c>
      <c r="K418" s="9">
        <v>0.0</v>
      </c>
      <c r="L418" s="9" t="s">
        <v>69</v>
      </c>
      <c r="M418" s="9" t="s">
        <v>55</v>
      </c>
      <c r="N418" s="9">
        <v>4183915.76</v>
      </c>
      <c r="O418" s="9">
        <v>4183207.76</v>
      </c>
      <c r="P418" s="9">
        <v>0.0</v>
      </c>
      <c r="Q418" s="9">
        <v>120000.0</v>
      </c>
      <c r="R418" s="9" t="s">
        <v>60</v>
      </c>
      <c r="S418" s="9" t="s">
        <v>57</v>
      </c>
      <c r="T418" s="9" t="s">
        <v>61</v>
      </c>
      <c r="V418" s="9">
        <v>4265551.77</v>
      </c>
      <c r="W418" s="9">
        <v>120000.0</v>
      </c>
      <c r="X418" s="9">
        <v>0.0</v>
      </c>
    </row>
    <row r="419" ht="15.75" customHeight="1">
      <c r="A419" s="9">
        <v>2050291.0</v>
      </c>
      <c r="B419" s="9">
        <v>2744928.0</v>
      </c>
      <c r="C419" s="9">
        <v>29693.0</v>
      </c>
      <c r="D419" s="9" t="s">
        <v>52</v>
      </c>
      <c r="E419" s="9" t="s">
        <v>53</v>
      </c>
      <c r="F419" s="9">
        <v>55054.0</v>
      </c>
      <c r="G419" s="9">
        <v>2744928.0</v>
      </c>
      <c r="H419" s="9">
        <v>2744928.0</v>
      </c>
      <c r="I419" s="9">
        <v>100000.0</v>
      </c>
      <c r="J419" s="9">
        <v>0.0</v>
      </c>
      <c r="K419" s="9">
        <v>0.0</v>
      </c>
      <c r="L419" s="9" t="s">
        <v>54</v>
      </c>
      <c r="M419" s="9" t="s">
        <v>65</v>
      </c>
      <c r="N419" s="9">
        <v>100000.0</v>
      </c>
      <c r="O419" s="9">
        <v>100000.0</v>
      </c>
      <c r="R419" s="9" t="s">
        <v>72</v>
      </c>
      <c r="S419" s="9" t="s">
        <v>57</v>
      </c>
      <c r="T419" s="9" t="s">
        <v>73</v>
      </c>
    </row>
    <row r="420" ht="15.75" customHeight="1">
      <c r="A420" s="9">
        <v>2044077.0</v>
      </c>
      <c r="B420" s="9">
        <v>1320985.0</v>
      </c>
      <c r="C420" s="9">
        <v>30003.0</v>
      </c>
      <c r="D420" s="9" t="s">
        <v>52</v>
      </c>
      <c r="E420" s="9" t="s">
        <v>53</v>
      </c>
      <c r="F420" s="9">
        <v>40681.0</v>
      </c>
      <c r="G420" s="9">
        <v>1320985.0</v>
      </c>
      <c r="H420" s="9">
        <v>1320985.0</v>
      </c>
      <c r="I420" s="9">
        <v>602031.4</v>
      </c>
      <c r="J420" s="9">
        <v>0.0</v>
      </c>
      <c r="K420" s="9">
        <v>0.0</v>
      </c>
      <c r="L420" s="9" t="s">
        <v>59</v>
      </c>
      <c r="M420" s="9" t="s">
        <v>55</v>
      </c>
      <c r="N420" s="9">
        <v>639270.99</v>
      </c>
      <c r="O420" s="9">
        <v>575343.9</v>
      </c>
      <c r="P420" s="9">
        <v>31965.0</v>
      </c>
      <c r="Q420" s="9">
        <v>28768.5</v>
      </c>
      <c r="R420" s="9" t="s">
        <v>56</v>
      </c>
      <c r="S420" s="9" t="s">
        <v>57</v>
      </c>
      <c r="T420" s="9" t="s">
        <v>58</v>
      </c>
      <c r="V420" s="9">
        <v>602031.4</v>
      </c>
      <c r="W420" s="9">
        <v>0.0</v>
      </c>
      <c r="X420" s="9">
        <v>0.0</v>
      </c>
    </row>
    <row r="421" ht="15.75" customHeight="1">
      <c r="A421" s="9">
        <v>2044613.0</v>
      </c>
      <c r="B421" s="9">
        <v>1830397.0</v>
      </c>
      <c r="C421" s="9">
        <v>30655.0</v>
      </c>
      <c r="D421" s="9" t="s">
        <v>52</v>
      </c>
      <c r="E421" s="9" t="s">
        <v>53</v>
      </c>
      <c r="F421" s="9">
        <v>44972.0</v>
      </c>
      <c r="G421" s="9">
        <v>1734607.72</v>
      </c>
      <c r="H421" s="9">
        <v>1734607.72</v>
      </c>
      <c r="I421" s="9">
        <v>1968834.23</v>
      </c>
      <c r="J421" s="9">
        <v>0.0</v>
      </c>
      <c r="K421" s="9">
        <v>0.0</v>
      </c>
      <c r="L421" s="9" t="s">
        <v>59</v>
      </c>
      <c r="M421" s="9" t="s">
        <v>55</v>
      </c>
      <c r="N421" s="9">
        <v>1758897.0</v>
      </c>
      <c r="O421" s="9">
        <v>1583000.0</v>
      </c>
      <c r="P421" s="9">
        <v>71499.9</v>
      </c>
      <c r="Q421" s="9">
        <v>66092.35</v>
      </c>
      <c r="R421" s="9" t="s">
        <v>56</v>
      </c>
      <c r="S421" s="9" t="s">
        <v>57</v>
      </c>
      <c r="T421" s="9" t="s">
        <v>58</v>
      </c>
    </row>
    <row r="422" ht="15.75" customHeight="1">
      <c r="A422" s="9">
        <v>2045124.0</v>
      </c>
      <c r="B422" s="9">
        <v>1.3284799E7</v>
      </c>
      <c r="C422" s="9">
        <v>30417.0</v>
      </c>
      <c r="D422" s="9" t="s">
        <v>52</v>
      </c>
      <c r="E422" s="9" t="s">
        <v>53</v>
      </c>
      <c r="F422" s="9">
        <v>14374.0</v>
      </c>
      <c r="G422" s="9">
        <v>1.444453638E7</v>
      </c>
      <c r="H422" s="9">
        <v>1.444453638E7</v>
      </c>
      <c r="I422" s="9">
        <v>1.484956519E7</v>
      </c>
      <c r="J422" s="9">
        <v>0.0</v>
      </c>
      <c r="K422" s="9">
        <v>0.0</v>
      </c>
      <c r="L422" s="9" t="s">
        <v>69</v>
      </c>
      <c r="M422" s="9" t="s">
        <v>55</v>
      </c>
      <c r="N422" s="9">
        <v>1.281983103E7</v>
      </c>
      <c r="O422" s="9">
        <v>1.281983103E7</v>
      </c>
      <c r="P422" s="9">
        <v>40190.0</v>
      </c>
      <c r="Q422" s="9">
        <v>464967.97</v>
      </c>
      <c r="R422" s="9" t="s">
        <v>56</v>
      </c>
      <c r="S422" s="9" t="s">
        <v>57</v>
      </c>
      <c r="T422" s="9" t="s">
        <v>58</v>
      </c>
      <c r="V422" s="9">
        <v>1.020937869E7</v>
      </c>
      <c r="W422" s="9">
        <v>0.0</v>
      </c>
      <c r="X422" s="9">
        <v>0.0</v>
      </c>
    </row>
    <row r="423" ht="15.75" customHeight="1">
      <c r="A423" s="9">
        <v>2045217.0</v>
      </c>
      <c r="B423" s="9">
        <v>2337701.0</v>
      </c>
      <c r="C423" s="9">
        <v>31117.0</v>
      </c>
      <c r="D423" s="9" t="s">
        <v>52</v>
      </c>
      <c r="E423" s="9" t="s">
        <v>53</v>
      </c>
      <c r="F423" s="9">
        <v>42803.0</v>
      </c>
      <c r="G423" s="9">
        <v>2791145.0</v>
      </c>
      <c r="H423" s="9">
        <v>2791145.0</v>
      </c>
      <c r="I423" s="9">
        <v>1325204.36</v>
      </c>
      <c r="J423" s="9">
        <v>0.0</v>
      </c>
      <c r="K423" s="9">
        <v>0.0</v>
      </c>
      <c r="L423" s="9" t="s">
        <v>69</v>
      </c>
      <c r="M423" s="9" t="s">
        <v>55</v>
      </c>
      <c r="R423" s="9" t="s">
        <v>60</v>
      </c>
      <c r="S423" s="9" t="s">
        <v>57</v>
      </c>
      <c r="T423" s="9" t="s">
        <v>61</v>
      </c>
      <c r="V423" s="9">
        <v>3047018.36</v>
      </c>
      <c r="W423" s="9">
        <v>0.0</v>
      </c>
      <c r="X423" s="9">
        <v>0.0</v>
      </c>
    </row>
    <row r="424" ht="15.75" customHeight="1">
      <c r="A424" s="9">
        <v>2045299.0</v>
      </c>
      <c r="B424" s="9">
        <v>4.8589921E7</v>
      </c>
      <c r="C424" s="9">
        <v>31143.0</v>
      </c>
      <c r="D424" s="9" t="s">
        <v>52</v>
      </c>
      <c r="E424" s="9" t="s">
        <v>53</v>
      </c>
      <c r="F424" s="9">
        <v>8631.0</v>
      </c>
      <c r="G424" s="9">
        <v>4.864490734E7</v>
      </c>
      <c r="H424" s="9">
        <v>1.219995276E7</v>
      </c>
      <c r="I424" s="9">
        <v>9525591.55</v>
      </c>
      <c r="J424" s="9">
        <v>10627.0</v>
      </c>
      <c r="K424" s="9">
        <v>2425855.0</v>
      </c>
      <c r="L424" s="9" t="s">
        <v>59</v>
      </c>
      <c r="M424" s="9" t="s">
        <v>55</v>
      </c>
      <c r="R424" s="9" t="s">
        <v>60</v>
      </c>
      <c r="S424" s="9" t="s">
        <v>57</v>
      </c>
      <c r="T424" s="9" t="s">
        <v>61</v>
      </c>
      <c r="V424" s="9">
        <v>233860.05</v>
      </c>
      <c r="W424" s="9">
        <v>0.0</v>
      </c>
      <c r="X424" s="9">
        <v>0.0</v>
      </c>
    </row>
    <row r="425" ht="15.75" customHeight="1">
      <c r="A425" s="9">
        <v>2045392.0</v>
      </c>
      <c r="B425" s="9">
        <v>121382.0</v>
      </c>
      <c r="C425" s="9">
        <v>31116.0</v>
      </c>
      <c r="D425" s="9" t="s">
        <v>52</v>
      </c>
      <c r="E425" s="9" t="s">
        <v>53</v>
      </c>
      <c r="F425" s="9">
        <v>50222.0</v>
      </c>
      <c r="G425" s="9">
        <v>121382.0</v>
      </c>
      <c r="H425" s="9">
        <v>118105.68</v>
      </c>
      <c r="I425" s="9">
        <v>118105.68</v>
      </c>
      <c r="J425" s="9">
        <v>0.0</v>
      </c>
      <c r="K425" s="9">
        <v>0.0</v>
      </c>
      <c r="L425" s="9" t="s">
        <v>69</v>
      </c>
      <c r="M425" s="9" t="s">
        <v>55</v>
      </c>
      <c r="R425" s="9" t="s">
        <v>60</v>
      </c>
      <c r="S425" s="9" t="s">
        <v>57</v>
      </c>
      <c r="T425" s="9" t="s">
        <v>61</v>
      </c>
      <c r="V425" s="9">
        <v>118105.68</v>
      </c>
      <c r="W425" s="9">
        <v>0.0</v>
      </c>
      <c r="X425" s="9">
        <v>0.0</v>
      </c>
    </row>
    <row r="426" ht="15.75" customHeight="1">
      <c r="A426" s="9">
        <v>2046278.0</v>
      </c>
      <c r="B426" s="9">
        <v>1811193.0</v>
      </c>
      <c r="C426" s="9">
        <v>30980.0</v>
      </c>
      <c r="D426" s="9" t="s">
        <v>52</v>
      </c>
      <c r="E426" s="9" t="s">
        <v>53</v>
      </c>
      <c r="F426" s="9">
        <v>48490.0</v>
      </c>
      <c r="G426" s="9">
        <v>1811193.0</v>
      </c>
      <c r="H426" s="9">
        <v>1811193.0</v>
      </c>
      <c r="I426" s="9">
        <v>335677.0</v>
      </c>
      <c r="J426" s="9">
        <v>0.0</v>
      </c>
      <c r="K426" s="9">
        <v>0.0</v>
      </c>
      <c r="L426" s="9" t="s">
        <v>69</v>
      </c>
      <c r="M426" s="9" t="s">
        <v>55</v>
      </c>
      <c r="R426" s="9" t="s">
        <v>60</v>
      </c>
      <c r="S426" s="9" t="s">
        <v>57</v>
      </c>
      <c r="T426" s="9" t="s">
        <v>61</v>
      </c>
      <c r="V426" s="9">
        <v>1784630.11</v>
      </c>
      <c r="W426" s="9">
        <v>0.0</v>
      </c>
      <c r="X426" s="9">
        <v>0.0</v>
      </c>
    </row>
    <row r="427" ht="15.75" customHeight="1">
      <c r="A427" s="9">
        <v>2046317.0</v>
      </c>
      <c r="B427" s="9">
        <v>3.7638716E7</v>
      </c>
      <c r="C427" s="9">
        <v>45842.0</v>
      </c>
      <c r="D427" s="9" t="s">
        <v>52</v>
      </c>
      <c r="E427" s="9" t="s">
        <v>53</v>
      </c>
      <c r="F427" s="9">
        <v>3066.0</v>
      </c>
      <c r="G427" s="9">
        <v>0.0</v>
      </c>
      <c r="H427" s="9">
        <v>8.384858275E7</v>
      </c>
      <c r="I427" s="9">
        <v>3.473288336E7</v>
      </c>
      <c r="J427" s="9">
        <v>0.0</v>
      </c>
      <c r="K427" s="9">
        <v>0.0</v>
      </c>
      <c r="L427" s="9" t="s">
        <v>59</v>
      </c>
      <c r="M427" s="9" t="s">
        <v>55</v>
      </c>
      <c r="N427" s="9">
        <v>0.0</v>
      </c>
      <c r="O427" s="9">
        <v>3.693603459E7</v>
      </c>
      <c r="R427" s="9" t="s">
        <v>96</v>
      </c>
      <c r="S427" s="9" t="s">
        <v>78</v>
      </c>
      <c r="T427" s="9" t="s">
        <v>79</v>
      </c>
      <c r="U427" s="9" t="s">
        <v>97</v>
      </c>
    </row>
    <row r="428" ht="15.75" customHeight="1">
      <c r="A428" s="9">
        <v>2047189.0</v>
      </c>
      <c r="B428" s="9">
        <v>1361687.0</v>
      </c>
      <c r="C428" s="9">
        <v>30708.0</v>
      </c>
      <c r="D428" s="9" t="s">
        <v>52</v>
      </c>
      <c r="E428" s="9" t="s">
        <v>53</v>
      </c>
      <c r="F428" s="9">
        <v>50499.0</v>
      </c>
      <c r="G428" s="9">
        <v>1416790.0</v>
      </c>
      <c r="H428" s="9">
        <v>1416790.0</v>
      </c>
      <c r="I428" s="9">
        <v>1406915.54</v>
      </c>
      <c r="J428" s="9">
        <v>0.0</v>
      </c>
      <c r="K428" s="9">
        <v>0.0</v>
      </c>
      <c r="L428" s="9" t="s">
        <v>59</v>
      </c>
      <c r="M428" s="9" t="s">
        <v>55</v>
      </c>
      <c r="N428" s="9">
        <v>1346398.23</v>
      </c>
      <c r="O428" s="9">
        <v>1346398.23</v>
      </c>
      <c r="P428" s="9">
        <v>58000.0</v>
      </c>
      <c r="Q428" s="9">
        <v>58000.0</v>
      </c>
      <c r="R428" s="9" t="s">
        <v>60</v>
      </c>
      <c r="S428" s="9" t="s">
        <v>57</v>
      </c>
      <c r="T428" s="9" t="s">
        <v>61</v>
      </c>
      <c r="V428" s="9">
        <v>1348917.14</v>
      </c>
      <c r="W428" s="9">
        <v>57998.4</v>
      </c>
      <c r="X428" s="9">
        <v>0.0</v>
      </c>
    </row>
    <row r="429" ht="15.75" customHeight="1">
      <c r="A429" s="9">
        <v>2047196.0</v>
      </c>
      <c r="B429" s="9">
        <v>1864312.0</v>
      </c>
      <c r="C429" s="9">
        <v>30930.0</v>
      </c>
      <c r="D429" s="9" t="s">
        <v>52</v>
      </c>
      <c r="E429" s="9" t="s">
        <v>53</v>
      </c>
      <c r="F429" s="9">
        <v>52409.0</v>
      </c>
      <c r="G429" s="9">
        <v>1864312.0</v>
      </c>
      <c r="H429" s="9">
        <v>1864312.0</v>
      </c>
      <c r="I429" s="9">
        <v>1706902.36</v>
      </c>
      <c r="J429" s="9">
        <v>0.0</v>
      </c>
      <c r="K429" s="9">
        <v>0.0</v>
      </c>
      <c r="L429" s="9" t="s">
        <v>59</v>
      </c>
      <c r="M429" s="9" t="s">
        <v>55</v>
      </c>
      <c r="N429" s="9">
        <v>1635973.79</v>
      </c>
      <c r="O429" s="9">
        <v>1635973.79</v>
      </c>
      <c r="P429" s="9">
        <v>13800.0</v>
      </c>
      <c r="Q429" s="9">
        <v>13800.0</v>
      </c>
      <c r="R429" s="9" t="s">
        <v>60</v>
      </c>
      <c r="S429" s="9" t="s">
        <v>57</v>
      </c>
      <c r="T429" s="9" t="s">
        <v>61</v>
      </c>
      <c r="V429" s="9">
        <v>1643157.38</v>
      </c>
      <c r="W429" s="9">
        <v>0.0</v>
      </c>
      <c r="X429" s="9">
        <v>0.0</v>
      </c>
    </row>
    <row r="430" ht="15.75" customHeight="1">
      <c r="A430" s="9">
        <v>2047321.0</v>
      </c>
      <c r="B430" s="9">
        <v>1616469.0</v>
      </c>
      <c r="C430" s="9">
        <v>31127.0</v>
      </c>
      <c r="D430" s="9" t="s">
        <v>52</v>
      </c>
      <c r="E430" s="9" t="s">
        <v>53</v>
      </c>
      <c r="F430" s="9">
        <v>60779.0</v>
      </c>
      <c r="G430" s="9">
        <v>1623378.19</v>
      </c>
      <c r="H430" s="9">
        <v>1623378.19</v>
      </c>
      <c r="I430" s="9">
        <v>1623377.19</v>
      </c>
      <c r="J430" s="9">
        <v>0.0</v>
      </c>
      <c r="K430" s="9">
        <v>0.0</v>
      </c>
      <c r="L430" s="9" t="s">
        <v>59</v>
      </c>
      <c r="M430" s="9" t="s">
        <v>55</v>
      </c>
      <c r="R430" s="9" t="s">
        <v>60</v>
      </c>
      <c r="S430" s="9" t="s">
        <v>57</v>
      </c>
      <c r="T430" s="9" t="s">
        <v>61</v>
      </c>
      <c r="V430" s="9">
        <v>1623377.18</v>
      </c>
      <c r="W430" s="9">
        <v>0.0</v>
      </c>
      <c r="X430" s="9">
        <v>0.0</v>
      </c>
    </row>
    <row r="431" ht="15.75" customHeight="1">
      <c r="A431" s="9">
        <v>2047371.0</v>
      </c>
      <c r="B431" s="9">
        <v>3.1378149E7</v>
      </c>
      <c r="C431" s="9">
        <v>46851.0</v>
      </c>
      <c r="D431" s="9" t="s">
        <v>52</v>
      </c>
      <c r="E431" s="9" t="s">
        <v>53</v>
      </c>
      <c r="F431" s="9">
        <v>58016.0</v>
      </c>
      <c r="G431" s="9">
        <v>3.204699926E7</v>
      </c>
      <c r="H431" s="9">
        <v>1.1188894124E8</v>
      </c>
      <c r="I431" s="9">
        <v>1.0062358406E8</v>
      </c>
      <c r="J431" s="9">
        <v>512984.3</v>
      </c>
      <c r="K431" s="9">
        <v>724556.0</v>
      </c>
      <c r="L431" s="9" t="s">
        <v>59</v>
      </c>
      <c r="M431" s="9" t="s">
        <v>55</v>
      </c>
      <c r="N431" s="9">
        <v>3.407612335E7</v>
      </c>
      <c r="O431" s="9">
        <v>3.407612335E7</v>
      </c>
      <c r="P431" s="9">
        <v>1364248.16</v>
      </c>
      <c r="Q431" s="9">
        <v>1364248.16</v>
      </c>
      <c r="R431" s="9" t="s">
        <v>56</v>
      </c>
      <c r="S431" s="9" t="s">
        <v>57</v>
      </c>
      <c r="T431" s="9" t="s">
        <v>58</v>
      </c>
    </row>
    <row r="432" ht="15.75" customHeight="1">
      <c r="A432" s="9">
        <v>2047403.0</v>
      </c>
      <c r="B432" s="9">
        <v>3649217.0</v>
      </c>
      <c r="C432" s="9">
        <v>33192.0</v>
      </c>
      <c r="D432" s="9" t="s">
        <v>52</v>
      </c>
      <c r="E432" s="9" t="s">
        <v>53</v>
      </c>
      <c r="F432" s="9">
        <v>56326.0</v>
      </c>
      <c r="G432" s="9">
        <v>6564983.46</v>
      </c>
      <c r="H432" s="9">
        <v>6738055.92</v>
      </c>
      <c r="I432" s="9">
        <v>6638747.29</v>
      </c>
      <c r="J432" s="9">
        <v>0.0</v>
      </c>
      <c r="K432" s="9">
        <v>0.0</v>
      </c>
      <c r="L432" s="9" t="s">
        <v>69</v>
      </c>
      <c r="M432" s="9" t="s">
        <v>62</v>
      </c>
      <c r="N432" s="9">
        <v>2842765.85</v>
      </c>
      <c r="O432" s="9">
        <v>2842765.85</v>
      </c>
      <c r="P432" s="9">
        <v>118448.58</v>
      </c>
      <c r="Q432" s="9">
        <v>118448.58</v>
      </c>
      <c r="R432" s="9" t="s">
        <v>56</v>
      </c>
      <c r="S432" s="9" t="s">
        <v>57</v>
      </c>
      <c r="T432" s="9" t="s">
        <v>58</v>
      </c>
      <c r="V432" s="9">
        <v>3405280.28</v>
      </c>
      <c r="W432" s="9">
        <v>0.0</v>
      </c>
      <c r="X432" s="9">
        <v>0.0</v>
      </c>
    </row>
    <row r="433" ht="15.75" customHeight="1">
      <c r="A433" s="9">
        <v>2050247.0</v>
      </c>
      <c r="B433" s="9">
        <v>1329123.0</v>
      </c>
      <c r="C433" s="9">
        <v>30513.0</v>
      </c>
      <c r="D433" s="9" t="s">
        <v>52</v>
      </c>
      <c r="E433" s="9" t="s">
        <v>53</v>
      </c>
      <c r="F433" s="9">
        <v>51725.0</v>
      </c>
      <c r="G433" s="9">
        <v>1329123.0</v>
      </c>
      <c r="H433" s="9">
        <v>1329123.0</v>
      </c>
      <c r="I433" s="9">
        <v>132351.24</v>
      </c>
      <c r="J433" s="9">
        <v>0.0</v>
      </c>
      <c r="K433" s="9">
        <v>0.0</v>
      </c>
      <c r="L433" s="9" t="s">
        <v>69</v>
      </c>
      <c r="M433" s="9" t="s">
        <v>55</v>
      </c>
      <c r="N433" s="9">
        <v>1173680.76</v>
      </c>
      <c r="O433" s="9">
        <v>1232364.0</v>
      </c>
      <c r="P433" s="9">
        <v>1173680.76</v>
      </c>
      <c r="Q433" s="9">
        <v>82150.0</v>
      </c>
      <c r="R433" s="9" t="s">
        <v>60</v>
      </c>
      <c r="S433" s="9" t="s">
        <v>57</v>
      </c>
      <c r="T433" s="9" t="s">
        <v>61</v>
      </c>
      <c r="V433" s="9">
        <v>1232364.0</v>
      </c>
      <c r="W433" s="9">
        <v>82150.0</v>
      </c>
      <c r="X433" s="9">
        <v>0.0</v>
      </c>
    </row>
    <row r="434" ht="15.75" customHeight="1">
      <c r="A434" s="9">
        <v>2050286.0</v>
      </c>
      <c r="B434" s="9">
        <v>316939.0</v>
      </c>
      <c r="C434" s="9">
        <v>30396.0</v>
      </c>
      <c r="D434" s="9" t="s">
        <v>52</v>
      </c>
      <c r="E434" s="9" t="s">
        <v>53</v>
      </c>
      <c r="F434" s="9">
        <v>39056.0</v>
      </c>
      <c r="G434" s="9">
        <v>316939.0</v>
      </c>
      <c r="H434" s="9">
        <v>16800.0</v>
      </c>
      <c r="I434" s="9">
        <v>16800.0</v>
      </c>
      <c r="J434" s="9">
        <v>0.0</v>
      </c>
      <c r="K434" s="9">
        <v>0.0</v>
      </c>
      <c r="L434" s="9" t="s">
        <v>69</v>
      </c>
      <c r="M434" s="9" t="s">
        <v>55</v>
      </c>
      <c r="N434" s="9">
        <v>312068.0</v>
      </c>
      <c r="O434" s="9">
        <v>280861.18</v>
      </c>
      <c r="R434" s="9" t="s">
        <v>60</v>
      </c>
      <c r="S434" s="9" t="s">
        <v>57</v>
      </c>
      <c r="T434" s="9" t="s">
        <v>61</v>
      </c>
    </row>
    <row r="435" ht="15.75" customHeight="1">
      <c r="A435" s="9">
        <v>2050336.0</v>
      </c>
      <c r="B435" s="9">
        <v>3366740.0</v>
      </c>
      <c r="C435" s="9">
        <v>30932.0</v>
      </c>
      <c r="D435" s="9" t="s">
        <v>52</v>
      </c>
      <c r="E435" s="9" t="s">
        <v>53</v>
      </c>
      <c r="F435" s="9">
        <v>53641.0</v>
      </c>
      <c r="G435" s="9">
        <v>3366740.0</v>
      </c>
      <c r="H435" s="9">
        <v>3631850.58</v>
      </c>
      <c r="I435" s="9">
        <v>3631850.58</v>
      </c>
      <c r="J435" s="9">
        <v>0.0</v>
      </c>
      <c r="K435" s="9">
        <v>0.0</v>
      </c>
      <c r="L435" s="9" t="s">
        <v>59</v>
      </c>
      <c r="M435" s="9" t="s">
        <v>55</v>
      </c>
      <c r="N435" s="9">
        <v>3275003.33</v>
      </c>
      <c r="O435" s="9">
        <v>3275003.33</v>
      </c>
      <c r="P435" s="9">
        <v>91736.79</v>
      </c>
      <c r="Q435" s="9">
        <v>91736.79</v>
      </c>
      <c r="R435" s="9" t="s">
        <v>75</v>
      </c>
      <c r="S435" s="9" t="s">
        <v>57</v>
      </c>
      <c r="T435" s="9" t="s">
        <v>76</v>
      </c>
    </row>
    <row r="436" ht="15.75" customHeight="1">
      <c r="A436" s="9">
        <v>2051097.0</v>
      </c>
      <c r="B436" s="9">
        <v>623347.0</v>
      </c>
      <c r="C436" s="9">
        <v>30705.0</v>
      </c>
      <c r="D436" s="9" t="s">
        <v>52</v>
      </c>
      <c r="E436" s="9" t="s">
        <v>53</v>
      </c>
      <c r="F436" s="9">
        <v>53482.0</v>
      </c>
      <c r="G436" s="9">
        <v>887950.28</v>
      </c>
      <c r="H436" s="9">
        <v>887950.28</v>
      </c>
      <c r="I436" s="9">
        <v>835661.36</v>
      </c>
      <c r="J436" s="9">
        <v>0.0</v>
      </c>
      <c r="K436" s="9">
        <v>0.0</v>
      </c>
      <c r="L436" s="9" t="s">
        <v>59</v>
      </c>
      <c r="M436" s="9" t="s">
        <v>55</v>
      </c>
      <c r="N436" s="9">
        <v>807112.38</v>
      </c>
      <c r="O436" s="9">
        <v>807112.38</v>
      </c>
      <c r="P436" s="9">
        <v>49350.0</v>
      </c>
      <c r="Q436" s="9">
        <v>49350.0</v>
      </c>
      <c r="R436" s="9" t="s">
        <v>60</v>
      </c>
      <c r="S436" s="9" t="s">
        <v>57</v>
      </c>
      <c r="T436" s="9" t="s">
        <v>61</v>
      </c>
      <c r="V436" s="9">
        <v>807112.38</v>
      </c>
      <c r="W436" s="9">
        <v>28548.98</v>
      </c>
      <c r="X436" s="9">
        <v>0.0</v>
      </c>
    </row>
    <row r="437" ht="15.75" customHeight="1">
      <c r="A437" s="9">
        <v>2052244.0</v>
      </c>
      <c r="B437" s="9">
        <v>612541.0</v>
      </c>
      <c r="C437" s="9">
        <v>30703.0</v>
      </c>
      <c r="D437" s="9" t="s">
        <v>52</v>
      </c>
      <c r="E437" s="9" t="s">
        <v>53</v>
      </c>
      <c r="F437" s="9">
        <v>51379.0</v>
      </c>
      <c r="G437" s="9">
        <v>882583.0</v>
      </c>
      <c r="H437" s="9">
        <v>854361.22</v>
      </c>
      <c r="I437" s="9">
        <v>854361.22</v>
      </c>
      <c r="J437" s="9">
        <v>0.0</v>
      </c>
      <c r="K437" s="9">
        <v>0.0</v>
      </c>
      <c r="L437" s="9" t="s">
        <v>69</v>
      </c>
      <c r="M437" s="9" t="s">
        <v>55</v>
      </c>
      <c r="N437" s="9">
        <v>811109.38</v>
      </c>
      <c r="O437" s="9">
        <v>811109.38</v>
      </c>
      <c r="P437" s="9">
        <v>49950.0</v>
      </c>
      <c r="Q437" s="9">
        <v>49950.0</v>
      </c>
      <c r="R437" s="9" t="s">
        <v>60</v>
      </c>
      <c r="S437" s="9" t="s">
        <v>57</v>
      </c>
      <c r="T437" s="9" t="s">
        <v>61</v>
      </c>
      <c r="V437" s="9">
        <v>811109.38</v>
      </c>
      <c r="W437" s="9">
        <v>43251.71</v>
      </c>
      <c r="X437" s="9">
        <v>0.0</v>
      </c>
    </row>
    <row r="438" ht="15.75" customHeight="1">
      <c r="A438" s="9">
        <v>2052294.0</v>
      </c>
      <c r="B438" s="9">
        <v>4474614.0</v>
      </c>
      <c r="C438" s="9">
        <v>30023.0</v>
      </c>
      <c r="D438" s="9" t="s">
        <v>52</v>
      </c>
      <c r="E438" s="9" t="s">
        <v>53</v>
      </c>
      <c r="F438" s="9">
        <v>52357.0</v>
      </c>
      <c r="G438" s="9">
        <v>4474614.0</v>
      </c>
      <c r="H438" s="9">
        <v>4474614.0</v>
      </c>
      <c r="I438" s="9">
        <v>4924384.02</v>
      </c>
      <c r="J438" s="9">
        <v>0.0</v>
      </c>
      <c r="K438" s="9">
        <v>0.0</v>
      </c>
      <c r="L438" s="9" t="s">
        <v>59</v>
      </c>
      <c r="M438" s="9" t="s">
        <v>55</v>
      </c>
      <c r="N438" s="9">
        <v>4698418.37</v>
      </c>
      <c r="O438" s="9">
        <v>4698418.37</v>
      </c>
      <c r="P438" s="9">
        <v>171542.47</v>
      </c>
      <c r="Q438" s="9">
        <v>171542.57</v>
      </c>
      <c r="R438" s="9" t="s">
        <v>60</v>
      </c>
      <c r="S438" s="9" t="s">
        <v>57</v>
      </c>
      <c r="T438" s="9" t="s">
        <v>61</v>
      </c>
      <c r="V438" s="9">
        <v>4919961.0</v>
      </c>
      <c r="W438" s="9">
        <v>0.0</v>
      </c>
      <c r="X438" s="9">
        <v>0.0</v>
      </c>
    </row>
    <row r="439" ht="15.75" customHeight="1">
      <c r="A439" s="9">
        <v>2053841.0</v>
      </c>
      <c r="B439" s="9">
        <v>3.1595706E7</v>
      </c>
      <c r="C439" s="9">
        <v>30520.0</v>
      </c>
      <c r="D439" s="9" t="s">
        <v>52</v>
      </c>
      <c r="E439" s="9" t="s">
        <v>53</v>
      </c>
      <c r="F439" s="9">
        <v>47873.0</v>
      </c>
      <c r="G439" s="9">
        <v>3.77466321E7</v>
      </c>
      <c r="H439" s="9">
        <v>3.53517318E7</v>
      </c>
      <c r="I439" s="9">
        <v>3.774663179E7</v>
      </c>
      <c r="J439" s="9">
        <v>0.0</v>
      </c>
      <c r="K439" s="9">
        <v>0.0</v>
      </c>
      <c r="L439" s="9" t="s">
        <v>59</v>
      </c>
      <c r="M439" s="9" t="s">
        <v>55</v>
      </c>
      <c r="N439" s="9">
        <v>3.293991569E7</v>
      </c>
      <c r="O439" s="9">
        <v>3.293991569E7</v>
      </c>
      <c r="P439" s="9">
        <v>1760041.94</v>
      </c>
      <c r="Q439" s="9">
        <v>1760041.0</v>
      </c>
      <c r="R439" s="9" t="s">
        <v>60</v>
      </c>
      <c r="S439" s="9" t="s">
        <v>57</v>
      </c>
      <c r="T439" s="9" t="s">
        <v>61</v>
      </c>
      <c r="V439" s="9">
        <v>3.491394024E7</v>
      </c>
      <c r="W439" s="9">
        <v>1918435.86</v>
      </c>
      <c r="X439" s="9">
        <v>0.0</v>
      </c>
    </row>
    <row r="440" ht="15.75" customHeight="1">
      <c r="A440" s="9">
        <v>2053848.0</v>
      </c>
      <c r="B440" s="9">
        <v>1944647.0</v>
      </c>
      <c r="C440" s="9">
        <v>31015.0</v>
      </c>
      <c r="D440" s="9" t="s">
        <v>52</v>
      </c>
      <c r="E440" s="9" t="s">
        <v>53</v>
      </c>
      <c r="F440" s="9">
        <v>40105.0</v>
      </c>
      <c r="G440" s="9">
        <v>1944647.0</v>
      </c>
      <c r="H440" s="9">
        <v>1944647.0</v>
      </c>
      <c r="I440" s="9">
        <v>0.0</v>
      </c>
      <c r="J440" s="9">
        <v>0.0</v>
      </c>
      <c r="K440" s="9">
        <v>0.0</v>
      </c>
      <c r="L440" s="9" t="s">
        <v>54</v>
      </c>
      <c r="M440" s="9" t="s">
        <v>55</v>
      </c>
      <c r="P440" s="9">
        <v>13500.0</v>
      </c>
      <c r="Q440" s="9">
        <v>0.0</v>
      </c>
      <c r="R440" s="9" t="s">
        <v>94</v>
      </c>
      <c r="S440" s="9" t="s">
        <v>57</v>
      </c>
      <c r="T440" s="9" t="s">
        <v>95</v>
      </c>
    </row>
    <row r="441" ht="15.75" customHeight="1">
      <c r="A441" s="9">
        <v>2054266.0</v>
      </c>
      <c r="B441" s="9">
        <v>4103234.0</v>
      </c>
      <c r="C441" s="9">
        <v>30510.0</v>
      </c>
      <c r="D441" s="9" t="s">
        <v>52</v>
      </c>
      <c r="E441" s="9" t="s">
        <v>53</v>
      </c>
      <c r="F441" s="9">
        <v>47638.0</v>
      </c>
      <c r="G441" s="9">
        <v>4394925.0</v>
      </c>
      <c r="H441" s="9">
        <v>4394925.0</v>
      </c>
      <c r="I441" s="9">
        <v>4103267.71</v>
      </c>
      <c r="J441" s="9">
        <v>0.0</v>
      </c>
      <c r="K441" s="9">
        <v>0.0</v>
      </c>
      <c r="L441" s="9" t="s">
        <v>59</v>
      </c>
      <c r="M441" s="9" t="s">
        <v>55</v>
      </c>
      <c r="N441" s="9">
        <v>3822190.58</v>
      </c>
      <c r="O441" s="9">
        <v>4013300.12</v>
      </c>
      <c r="P441" s="9">
        <v>260000.0</v>
      </c>
      <c r="Q441" s="9">
        <v>260000.0</v>
      </c>
      <c r="R441" s="9" t="s">
        <v>56</v>
      </c>
      <c r="S441" s="9" t="s">
        <v>57</v>
      </c>
      <c r="T441" s="9" t="s">
        <v>58</v>
      </c>
      <c r="V441" s="9">
        <v>3934607.97</v>
      </c>
      <c r="W441" s="9">
        <v>0.0</v>
      </c>
      <c r="X441" s="9">
        <v>0.0</v>
      </c>
    </row>
    <row r="442" ht="15.75" customHeight="1">
      <c r="A442" s="9">
        <v>2046288.0</v>
      </c>
      <c r="B442" s="9">
        <v>9323994.0</v>
      </c>
      <c r="C442" s="9">
        <v>29873.0</v>
      </c>
      <c r="D442" s="9" t="s">
        <v>52</v>
      </c>
      <c r="E442" s="9" t="s">
        <v>53</v>
      </c>
      <c r="F442" s="9">
        <v>45431.0</v>
      </c>
      <c r="G442" s="9">
        <v>1.020713547E7</v>
      </c>
      <c r="H442" s="9">
        <v>1.020713547E7</v>
      </c>
      <c r="I442" s="9">
        <v>1.072282693E7</v>
      </c>
      <c r="J442" s="9">
        <v>0.0</v>
      </c>
      <c r="K442" s="9">
        <v>0.0</v>
      </c>
      <c r="L442" s="9" t="s">
        <v>69</v>
      </c>
      <c r="M442" s="9" t="s">
        <v>55</v>
      </c>
      <c r="N442" s="9">
        <v>9113513.81</v>
      </c>
      <c r="O442" s="9">
        <v>9113513.81</v>
      </c>
      <c r="P442" s="9">
        <v>410108.12</v>
      </c>
      <c r="Q442" s="9">
        <v>310165.8</v>
      </c>
      <c r="R442" s="9" t="s">
        <v>60</v>
      </c>
      <c r="S442" s="9" t="s">
        <v>57</v>
      </c>
      <c r="T442" s="9" t="s">
        <v>61</v>
      </c>
      <c r="V442" s="9">
        <v>9113513.81</v>
      </c>
      <c r="W442" s="9">
        <v>0.0</v>
      </c>
      <c r="X442" s="9">
        <v>0.0</v>
      </c>
    </row>
    <row r="443" ht="15.75" customHeight="1">
      <c r="A443" s="9">
        <v>2046356.0</v>
      </c>
      <c r="B443" s="9">
        <v>1980391.0</v>
      </c>
      <c r="C443" s="9">
        <v>31204.0</v>
      </c>
      <c r="D443" s="9" t="s">
        <v>52</v>
      </c>
      <c r="E443" s="9" t="s">
        <v>53</v>
      </c>
      <c r="F443" s="9">
        <v>50223.0</v>
      </c>
      <c r="G443" s="9">
        <v>1980391.0</v>
      </c>
      <c r="H443" s="9">
        <v>1980391.0</v>
      </c>
      <c r="I443" s="9">
        <v>0.0</v>
      </c>
      <c r="J443" s="9">
        <v>0.0</v>
      </c>
      <c r="K443" s="9">
        <v>0.0</v>
      </c>
      <c r="L443" s="9" t="s">
        <v>54</v>
      </c>
      <c r="M443" s="9" t="s">
        <v>55</v>
      </c>
      <c r="R443" s="9" t="s">
        <v>60</v>
      </c>
      <c r="S443" s="9" t="s">
        <v>57</v>
      </c>
      <c r="T443" s="9" t="s">
        <v>61</v>
      </c>
      <c r="V443" s="9">
        <v>2138382.49</v>
      </c>
      <c r="W443" s="9">
        <v>0.0</v>
      </c>
      <c r="X443" s="9">
        <v>0.0</v>
      </c>
    </row>
    <row r="444" ht="15.75" customHeight="1">
      <c r="A444" s="9">
        <v>2047475.0</v>
      </c>
      <c r="B444" s="9">
        <v>1.34713412E8</v>
      </c>
      <c r="C444" s="9">
        <v>27031.0</v>
      </c>
      <c r="D444" s="9" t="s">
        <v>52</v>
      </c>
      <c r="E444" s="9" t="s">
        <v>53</v>
      </c>
      <c r="F444" s="9">
        <v>53371.0</v>
      </c>
      <c r="G444" s="9">
        <v>1.4375684634E8</v>
      </c>
      <c r="H444" s="9">
        <v>1.4375684634E8</v>
      </c>
      <c r="I444" s="9">
        <v>1.3955668281E8</v>
      </c>
      <c r="J444" s="9">
        <v>0.0</v>
      </c>
      <c r="K444" s="9">
        <v>0.0</v>
      </c>
      <c r="L444" s="9" t="s">
        <v>69</v>
      </c>
      <c r="M444" s="9" t="s">
        <v>55</v>
      </c>
      <c r="N444" s="9">
        <v>1.2483001002E8</v>
      </c>
      <c r="O444" s="9">
        <v>1.2483001001E8</v>
      </c>
      <c r="P444" s="9">
        <v>2900965.17</v>
      </c>
      <c r="Q444" s="9">
        <v>2900965.17</v>
      </c>
      <c r="R444" s="9" t="s">
        <v>60</v>
      </c>
      <c r="S444" s="9" t="s">
        <v>57</v>
      </c>
      <c r="T444" s="9" t="s">
        <v>61</v>
      </c>
      <c r="V444" s="9">
        <v>1.3956551298E8</v>
      </c>
      <c r="W444" s="9">
        <v>3452145.36</v>
      </c>
      <c r="X444" s="9">
        <v>0.0</v>
      </c>
    </row>
    <row r="445" ht="15.75" customHeight="1">
      <c r="A445" s="9">
        <v>2050249.0</v>
      </c>
      <c r="B445" s="9">
        <v>155976.0</v>
      </c>
      <c r="C445" s="9">
        <v>30482.0</v>
      </c>
      <c r="D445" s="9" t="s">
        <v>52</v>
      </c>
      <c r="E445" s="9" t="s">
        <v>53</v>
      </c>
      <c r="F445" s="9">
        <v>52914.0</v>
      </c>
      <c r="G445" s="9">
        <v>155976.0</v>
      </c>
      <c r="H445" s="9">
        <v>155976.0</v>
      </c>
      <c r="I445" s="9">
        <v>163809.97</v>
      </c>
      <c r="J445" s="9">
        <v>0.0</v>
      </c>
      <c r="K445" s="9">
        <v>0.0</v>
      </c>
      <c r="L445" s="9" t="s">
        <v>59</v>
      </c>
      <c r="M445" s="9" t="s">
        <v>55</v>
      </c>
      <c r="N445" s="9">
        <v>148547.97</v>
      </c>
      <c r="O445" s="9">
        <v>148547.97</v>
      </c>
      <c r="P445" s="9">
        <v>260049.85</v>
      </c>
      <c r="Q445" s="9">
        <v>27352.34</v>
      </c>
      <c r="R445" s="9" t="s">
        <v>60</v>
      </c>
      <c r="S445" s="9" t="s">
        <v>57</v>
      </c>
      <c r="T445" s="9" t="s">
        <v>61</v>
      </c>
      <c r="V445" s="9">
        <v>155982.65</v>
      </c>
      <c r="W445" s="9">
        <v>0.0</v>
      </c>
      <c r="X445" s="9">
        <v>0.0</v>
      </c>
    </row>
    <row r="446" ht="15.75" customHeight="1">
      <c r="A446" s="9">
        <v>2050268.0</v>
      </c>
      <c r="B446" s="9">
        <v>1156418.0</v>
      </c>
      <c r="C446" s="9">
        <v>30941.0</v>
      </c>
      <c r="D446" s="9" t="s">
        <v>52</v>
      </c>
      <c r="E446" s="9" t="s">
        <v>53</v>
      </c>
      <c r="F446" s="9">
        <v>52794.0</v>
      </c>
      <c r="G446" s="9">
        <v>1156418.0</v>
      </c>
      <c r="H446" s="9">
        <v>1156418.0</v>
      </c>
      <c r="I446" s="9">
        <v>992875.48</v>
      </c>
      <c r="J446" s="9">
        <v>0.0</v>
      </c>
      <c r="K446" s="9">
        <v>0.0</v>
      </c>
      <c r="L446" s="9" t="s">
        <v>59</v>
      </c>
      <c r="M446" s="9" t="s">
        <v>55</v>
      </c>
      <c r="N446" s="9">
        <v>848558.98</v>
      </c>
      <c r="O446" s="9">
        <v>848558.98</v>
      </c>
      <c r="P446" s="9">
        <v>848558.98</v>
      </c>
      <c r="Q446" s="9">
        <v>0.0</v>
      </c>
      <c r="R446" s="9" t="s">
        <v>56</v>
      </c>
      <c r="S446" s="9" t="s">
        <v>57</v>
      </c>
      <c r="T446" s="9" t="s">
        <v>58</v>
      </c>
      <c r="V446" s="9">
        <v>957394.93</v>
      </c>
      <c r="W446" s="9">
        <v>0.0</v>
      </c>
      <c r="X446" s="9">
        <v>0.0</v>
      </c>
    </row>
    <row r="447" ht="15.75" customHeight="1">
      <c r="A447" s="9">
        <v>2050285.0</v>
      </c>
      <c r="B447" s="9">
        <v>337773.0</v>
      </c>
      <c r="C447" s="9">
        <v>30398.0</v>
      </c>
      <c r="D447" s="9" t="s">
        <v>52</v>
      </c>
      <c r="E447" s="9" t="s">
        <v>53</v>
      </c>
      <c r="F447" s="9">
        <v>39063.0</v>
      </c>
      <c r="G447" s="9">
        <v>337773.0</v>
      </c>
      <c r="H447" s="9">
        <v>337773.0</v>
      </c>
      <c r="I447" s="9">
        <v>15120.0</v>
      </c>
      <c r="J447" s="9">
        <v>0.0</v>
      </c>
      <c r="K447" s="9">
        <v>0.0</v>
      </c>
      <c r="L447" s="9" t="s">
        <v>69</v>
      </c>
      <c r="M447" s="9" t="s">
        <v>55</v>
      </c>
      <c r="N447" s="9">
        <v>332569.0</v>
      </c>
      <c r="O447" s="9">
        <v>299312.1</v>
      </c>
      <c r="R447" s="9" t="s">
        <v>60</v>
      </c>
      <c r="S447" s="9" t="s">
        <v>57</v>
      </c>
      <c r="T447" s="9" t="s">
        <v>61</v>
      </c>
    </row>
    <row r="448" ht="15.75" customHeight="1">
      <c r="A448" s="9">
        <v>2050349.0</v>
      </c>
      <c r="B448" s="9">
        <v>2238606.0</v>
      </c>
      <c r="C448" s="9">
        <v>29583.0</v>
      </c>
      <c r="D448" s="9" t="s">
        <v>52</v>
      </c>
      <c r="E448" s="9" t="s">
        <v>53</v>
      </c>
      <c r="F448" s="9">
        <v>52344.0</v>
      </c>
      <c r="G448" s="9">
        <v>2238606.0</v>
      </c>
      <c r="H448" s="9">
        <v>2238606.0</v>
      </c>
      <c r="I448" s="9">
        <v>2259106.0</v>
      </c>
      <c r="J448" s="9">
        <v>0.0</v>
      </c>
      <c r="K448" s="9">
        <v>0.0</v>
      </c>
      <c r="L448" s="9" t="s">
        <v>59</v>
      </c>
      <c r="M448" s="9" t="s">
        <v>65</v>
      </c>
      <c r="N448" s="9">
        <v>16000.0</v>
      </c>
      <c r="O448" s="9">
        <v>16000.0</v>
      </c>
      <c r="R448" s="9" t="s">
        <v>60</v>
      </c>
      <c r="S448" s="9" t="s">
        <v>57</v>
      </c>
      <c r="T448" s="9" t="s">
        <v>61</v>
      </c>
      <c r="V448" s="9">
        <v>16000.0</v>
      </c>
      <c r="W448" s="9">
        <v>0.0</v>
      </c>
    </row>
    <row r="449" ht="15.75" customHeight="1">
      <c r="A449" s="9">
        <v>2052070.0</v>
      </c>
      <c r="B449" s="9">
        <v>673572.0</v>
      </c>
      <c r="C449" s="9">
        <v>30006.0</v>
      </c>
      <c r="D449" s="9" t="s">
        <v>52</v>
      </c>
      <c r="E449" s="9" t="s">
        <v>53</v>
      </c>
      <c r="F449" s="9">
        <v>41376.0</v>
      </c>
      <c r="G449" s="9">
        <v>673572.0</v>
      </c>
      <c r="H449" s="9">
        <v>569025.91</v>
      </c>
      <c r="I449" s="9">
        <v>497617.71</v>
      </c>
      <c r="J449" s="9">
        <v>0.0</v>
      </c>
      <c r="K449" s="9">
        <v>0.0</v>
      </c>
      <c r="L449" s="9" t="s">
        <v>59</v>
      </c>
      <c r="M449" s="9" t="s">
        <v>55</v>
      </c>
      <c r="N449" s="9">
        <v>524025.91</v>
      </c>
      <c r="O449" s="9">
        <v>471623.32</v>
      </c>
      <c r="P449" s="9">
        <v>21000.0</v>
      </c>
      <c r="Q449" s="9">
        <v>21000.0</v>
      </c>
      <c r="R449" s="9" t="s">
        <v>56</v>
      </c>
      <c r="S449" s="9" t="s">
        <v>57</v>
      </c>
      <c r="T449" s="9" t="s">
        <v>58</v>
      </c>
      <c r="V449" s="9">
        <v>469629.95</v>
      </c>
      <c r="W449" s="9">
        <v>0.0</v>
      </c>
      <c r="X449" s="9">
        <v>0.0</v>
      </c>
    </row>
    <row r="450" ht="15.75" customHeight="1">
      <c r="A450" s="9">
        <v>2052106.0</v>
      </c>
      <c r="B450" s="9">
        <v>3618866.0</v>
      </c>
      <c r="C450" s="9">
        <v>30661.0</v>
      </c>
      <c r="D450" s="9" t="s">
        <v>52</v>
      </c>
      <c r="E450" s="9" t="s">
        <v>53</v>
      </c>
      <c r="F450" s="9">
        <v>55745.0</v>
      </c>
      <c r="G450" s="9">
        <v>3618866.0</v>
      </c>
      <c r="H450" s="9">
        <v>3618866.0</v>
      </c>
      <c r="I450" s="9">
        <v>3776994.44</v>
      </c>
      <c r="J450" s="9">
        <v>0.0</v>
      </c>
      <c r="K450" s="9">
        <v>0.0</v>
      </c>
      <c r="L450" s="9" t="s">
        <v>69</v>
      </c>
      <c r="M450" s="9" t="s">
        <v>55</v>
      </c>
      <c r="N450" s="9">
        <v>3524949.47</v>
      </c>
      <c r="O450" s="9">
        <v>3320545.0</v>
      </c>
      <c r="P450" s="9">
        <v>251745.0</v>
      </c>
      <c r="Q450" s="9">
        <v>211550.42</v>
      </c>
      <c r="R450" s="9" t="s">
        <v>60</v>
      </c>
      <c r="S450" s="9" t="s">
        <v>57</v>
      </c>
      <c r="T450" s="9" t="s">
        <v>61</v>
      </c>
      <c r="V450" s="9">
        <v>3474876.83</v>
      </c>
      <c r="W450" s="9">
        <v>211550.42</v>
      </c>
      <c r="X450" s="9">
        <v>0.0</v>
      </c>
    </row>
    <row r="451" ht="15.75" customHeight="1">
      <c r="A451" s="9">
        <v>2052172.0</v>
      </c>
      <c r="B451" s="9">
        <v>304544.0</v>
      </c>
      <c r="C451" s="9">
        <v>31324.0</v>
      </c>
      <c r="D451" s="9" t="s">
        <v>52</v>
      </c>
      <c r="E451" s="9" t="s">
        <v>53</v>
      </c>
      <c r="F451" s="9">
        <v>52814.0</v>
      </c>
      <c r="G451" s="9">
        <v>304544.0</v>
      </c>
      <c r="H451" s="9">
        <v>304544.0</v>
      </c>
      <c r="I451" s="9">
        <v>304515.15</v>
      </c>
      <c r="J451" s="9">
        <v>0.0</v>
      </c>
      <c r="K451" s="9">
        <v>0.0</v>
      </c>
      <c r="L451" s="9" t="s">
        <v>69</v>
      </c>
      <c r="M451" s="9" t="s">
        <v>55</v>
      </c>
      <c r="R451" s="9" t="s">
        <v>75</v>
      </c>
      <c r="S451" s="9" t="s">
        <v>57</v>
      </c>
      <c r="T451" s="9" t="s">
        <v>76</v>
      </c>
    </row>
    <row r="452" ht="15.75" customHeight="1">
      <c r="A452" s="9">
        <v>2052204.0</v>
      </c>
      <c r="B452" s="9">
        <v>69338.0</v>
      </c>
      <c r="C452" s="9">
        <v>31153.0</v>
      </c>
      <c r="D452" s="9" t="s">
        <v>52</v>
      </c>
      <c r="E452" s="9" t="s">
        <v>53</v>
      </c>
      <c r="F452" s="9">
        <v>42978.0</v>
      </c>
      <c r="G452" s="9">
        <v>75980.67</v>
      </c>
      <c r="H452" s="9">
        <v>75980.67</v>
      </c>
      <c r="I452" s="9">
        <v>71338.0</v>
      </c>
      <c r="J452" s="9">
        <v>0.0</v>
      </c>
      <c r="K452" s="9">
        <v>0.0</v>
      </c>
      <c r="L452" s="9" t="s">
        <v>69</v>
      </c>
      <c r="M452" s="9" t="s">
        <v>55</v>
      </c>
      <c r="R452" s="9" t="s">
        <v>60</v>
      </c>
      <c r="S452" s="9" t="s">
        <v>57</v>
      </c>
      <c r="T452" s="9" t="s">
        <v>61</v>
      </c>
      <c r="V452" s="9">
        <v>71338.0</v>
      </c>
      <c r="W452" s="9">
        <v>0.0</v>
      </c>
      <c r="X452" s="9">
        <v>0.0</v>
      </c>
    </row>
    <row r="453" ht="15.75" customHeight="1">
      <c r="A453" s="9">
        <v>2052206.0</v>
      </c>
      <c r="B453" s="9">
        <v>97798.0</v>
      </c>
      <c r="C453" s="9">
        <v>31142.0</v>
      </c>
      <c r="D453" s="9" t="s">
        <v>52</v>
      </c>
      <c r="E453" s="9" t="s">
        <v>53</v>
      </c>
      <c r="F453" s="9">
        <v>39400.0</v>
      </c>
      <c r="G453" s="9">
        <v>106832.43</v>
      </c>
      <c r="H453" s="9">
        <v>106832.43</v>
      </c>
      <c r="I453" s="9">
        <v>95798.0</v>
      </c>
      <c r="J453" s="9">
        <v>0.0</v>
      </c>
      <c r="K453" s="9">
        <v>0.0</v>
      </c>
      <c r="L453" s="9" t="s">
        <v>69</v>
      </c>
      <c r="M453" s="9" t="s">
        <v>55</v>
      </c>
      <c r="R453" s="9" t="s">
        <v>60</v>
      </c>
      <c r="S453" s="9" t="s">
        <v>57</v>
      </c>
      <c r="T453" s="9" t="s">
        <v>61</v>
      </c>
      <c r="V453" s="9">
        <v>95798.0</v>
      </c>
      <c r="W453" s="9">
        <v>0.0</v>
      </c>
      <c r="X453" s="9">
        <v>0.0</v>
      </c>
    </row>
    <row r="454" ht="15.75" customHeight="1">
      <c r="A454" s="9">
        <v>2052374.0</v>
      </c>
      <c r="B454" s="9">
        <v>4104461.0</v>
      </c>
      <c r="C454" s="9">
        <v>29587.0</v>
      </c>
      <c r="D454" s="9" t="s">
        <v>52</v>
      </c>
      <c r="E454" s="9" t="s">
        <v>53</v>
      </c>
      <c r="F454" s="9">
        <v>52039.0</v>
      </c>
      <c r="G454" s="9">
        <v>4590382.11</v>
      </c>
      <c r="H454" s="9">
        <v>4590382.11</v>
      </c>
      <c r="I454" s="9">
        <v>4564089.08</v>
      </c>
      <c r="J454" s="9">
        <v>0.0</v>
      </c>
      <c r="K454" s="9">
        <v>0.0</v>
      </c>
      <c r="L454" s="9" t="s">
        <v>59</v>
      </c>
      <c r="M454" s="9" t="s">
        <v>65</v>
      </c>
      <c r="N454" s="9">
        <v>40000.0</v>
      </c>
      <c r="O454" s="9">
        <v>40000.0</v>
      </c>
      <c r="R454" s="9" t="s">
        <v>92</v>
      </c>
      <c r="S454" s="9" t="s">
        <v>57</v>
      </c>
      <c r="T454" s="9" t="s">
        <v>93</v>
      </c>
    </row>
    <row r="455" ht="15.75" customHeight="1">
      <c r="A455" s="9">
        <v>2054263.0</v>
      </c>
      <c r="B455" s="9">
        <v>2448119.0</v>
      </c>
      <c r="C455" s="9">
        <v>29581.0</v>
      </c>
      <c r="D455" s="9" t="s">
        <v>52</v>
      </c>
      <c r="E455" s="9" t="s">
        <v>53</v>
      </c>
      <c r="F455" s="9">
        <v>51917.0</v>
      </c>
      <c r="G455" s="9">
        <v>2448119.0</v>
      </c>
      <c r="H455" s="9">
        <v>2448119.0</v>
      </c>
      <c r="I455" s="9">
        <v>2597218.15</v>
      </c>
      <c r="J455" s="9">
        <v>0.0</v>
      </c>
      <c r="K455" s="9">
        <v>0.0</v>
      </c>
      <c r="L455" s="9" t="s">
        <v>69</v>
      </c>
      <c r="M455" s="9" t="s">
        <v>65</v>
      </c>
      <c r="N455" s="9">
        <v>15000.0</v>
      </c>
      <c r="O455" s="9">
        <v>15000.0</v>
      </c>
      <c r="R455" s="9" t="s">
        <v>60</v>
      </c>
      <c r="S455" s="9" t="s">
        <v>57</v>
      </c>
      <c r="T455" s="9" t="s">
        <v>61</v>
      </c>
      <c r="V455" s="9">
        <v>15000.0</v>
      </c>
      <c r="W455" s="9">
        <v>0.0</v>
      </c>
    </row>
    <row r="456" ht="15.75" customHeight="1">
      <c r="A456" s="9">
        <v>2054378.0</v>
      </c>
      <c r="B456" s="9">
        <v>4565815.0</v>
      </c>
      <c r="C456" s="9">
        <v>30027.0</v>
      </c>
      <c r="D456" s="9" t="s">
        <v>52</v>
      </c>
      <c r="E456" s="9" t="s">
        <v>53</v>
      </c>
      <c r="F456" s="9">
        <v>57376.0</v>
      </c>
      <c r="G456" s="9">
        <v>5022395.0</v>
      </c>
      <c r="H456" s="9">
        <v>5022395.0</v>
      </c>
      <c r="I456" s="9">
        <v>5468047.84</v>
      </c>
      <c r="J456" s="9">
        <v>0.0</v>
      </c>
      <c r="K456" s="9">
        <v>0.0</v>
      </c>
      <c r="L456" s="9" t="s">
        <v>69</v>
      </c>
      <c r="M456" s="9" t="s">
        <v>55</v>
      </c>
      <c r="N456" s="9">
        <v>4948040.7</v>
      </c>
      <c r="O456" s="9">
        <v>5195442.74</v>
      </c>
      <c r="P456" s="9">
        <v>251595.29</v>
      </c>
      <c r="Q456" s="9">
        <v>251595.29</v>
      </c>
      <c r="R456" s="9" t="s">
        <v>60</v>
      </c>
      <c r="S456" s="9" t="s">
        <v>57</v>
      </c>
      <c r="T456" s="9" t="s">
        <v>61</v>
      </c>
      <c r="V456" s="9">
        <v>5168170.62</v>
      </c>
      <c r="W456" s="9">
        <v>226435.76</v>
      </c>
      <c r="X456" s="9">
        <v>0.0</v>
      </c>
    </row>
    <row r="457" ht="15.75" customHeight="1">
      <c r="A457" s="9">
        <v>2054495.0</v>
      </c>
      <c r="B457" s="9">
        <v>1550959.0</v>
      </c>
      <c r="C457" s="9">
        <v>30645.0</v>
      </c>
      <c r="D457" s="9" t="s">
        <v>52</v>
      </c>
      <c r="E457" s="9" t="s">
        <v>53</v>
      </c>
      <c r="F457" s="9">
        <v>48182.0</v>
      </c>
      <c r="G457" s="9">
        <v>1550959.0</v>
      </c>
      <c r="H457" s="9">
        <v>1550959.0</v>
      </c>
      <c r="I457" s="9">
        <v>645680.18</v>
      </c>
      <c r="J457" s="9">
        <v>0.0</v>
      </c>
      <c r="K457" s="9">
        <v>0.0</v>
      </c>
      <c r="L457" s="9" t="s">
        <v>59</v>
      </c>
      <c r="M457" s="9" t="s">
        <v>55</v>
      </c>
      <c r="N457" s="9">
        <v>1547397.77</v>
      </c>
      <c r="O457" s="9">
        <v>1430367.68</v>
      </c>
      <c r="P457" s="9">
        <v>62902.35</v>
      </c>
      <c r="Q457" s="9">
        <v>58145.03</v>
      </c>
      <c r="R457" s="9" t="s">
        <v>60</v>
      </c>
      <c r="S457" s="9" t="s">
        <v>57</v>
      </c>
      <c r="T457" s="9" t="s">
        <v>61</v>
      </c>
      <c r="V457" s="9">
        <v>1517855.0</v>
      </c>
      <c r="W457" s="9">
        <v>0.0</v>
      </c>
      <c r="X457" s="9">
        <v>0.0</v>
      </c>
    </row>
    <row r="458" ht="15.75" customHeight="1">
      <c r="A458" s="9">
        <v>2054948.0</v>
      </c>
      <c r="B458" s="9">
        <v>483268.0</v>
      </c>
      <c r="C458" s="9">
        <v>30919.0</v>
      </c>
      <c r="D458" s="9" t="s">
        <v>52</v>
      </c>
      <c r="E458" s="9" t="s">
        <v>53</v>
      </c>
      <c r="F458" s="9">
        <v>49017.0</v>
      </c>
      <c r="G458" s="9">
        <v>483268.0</v>
      </c>
      <c r="H458" s="9">
        <v>483268.0</v>
      </c>
      <c r="I458" s="9">
        <v>0.0</v>
      </c>
      <c r="J458" s="9">
        <v>0.0</v>
      </c>
      <c r="K458" s="9">
        <v>0.0</v>
      </c>
      <c r="L458" s="9" t="s">
        <v>54</v>
      </c>
      <c r="M458" s="9" t="s">
        <v>55</v>
      </c>
      <c r="N458" s="9">
        <v>478192.0</v>
      </c>
      <c r="O458" s="9">
        <v>478192.0</v>
      </c>
      <c r="R458" s="9" t="s">
        <v>60</v>
      </c>
      <c r="S458" s="9" t="s">
        <v>57</v>
      </c>
      <c r="T458" s="9" t="s">
        <v>61</v>
      </c>
      <c r="V458" s="9">
        <v>519301.28</v>
      </c>
      <c r="W458" s="9">
        <v>0.0</v>
      </c>
      <c r="X458" s="9">
        <v>0.0</v>
      </c>
    </row>
    <row r="459" ht="15.75" customHeight="1">
      <c r="A459" s="9">
        <v>2054978.0</v>
      </c>
      <c r="B459" s="9">
        <v>2654396.0</v>
      </c>
      <c r="C459" s="9">
        <v>29934.0</v>
      </c>
      <c r="D459" s="9" t="s">
        <v>52</v>
      </c>
      <c r="E459" s="9" t="s">
        <v>53</v>
      </c>
      <c r="F459" s="9">
        <v>44919.0</v>
      </c>
      <c r="G459" s="9">
        <v>2654396.0</v>
      </c>
      <c r="H459" s="9">
        <v>2654396.0</v>
      </c>
      <c r="I459" s="9">
        <v>0.0</v>
      </c>
      <c r="J459" s="9">
        <v>0.0</v>
      </c>
      <c r="K459" s="9">
        <v>0.0</v>
      </c>
      <c r="L459" s="9" t="s">
        <v>54</v>
      </c>
      <c r="M459" s="9" t="s">
        <v>55</v>
      </c>
      <c r="N459" s="9">
        <v>2568834.4</v>
      </c>
      <c r="O459" s="9">
        <v>2389016.0</v>
      </c>
      <c r="P459" s="9">
        <v>63468.0</v>
      </c>
      <c r="Q459" s="9">
        <v>57121.21</v>
      </c>
      <c r="R459" s="9" t="s">
        <v>60</v>
      </c>
      <c r="S459" s="9" t="s">
        <v>57</v>
      </c>
      <c r="T459" s="9" t="s">
        <v>61</v>
      </c>
      <c r="V459" s="9">
        <v>2389016.35</v>
      </c>
      <c r="W459" s="9">
        <v>0.0</v>
      </c>
      <c r="X459" s="9">
        <v>0.0</v>
      </c>
    </row>
    <row r="460" ht="15.75" customHeight="1">
      <c r="A460" s="9">
        <v>2054980.0</v>
      </c>
      <c r="B460" s="9">
        <v>1210746.0</v>
      </c>
      <c r="C460" s="9">
        <v>29962.0</v>
      </c>
      <c r="D460" s="9" t="s">
        <v>52</v>
      </c>
      <c r="E460" s="9" t="s">
        <v>53</v>
      </c>
      <c r="F460" s="9">
        <v>28481.0</v>
      </c>
      <c r="G460" s="9">
        <v>1210746.0</v>
      </c>
      <c r="H460" s="9">
        <v>1210746.0</v>
      </c>
      <c r="I460" s="9">
        <v>1566823.39</v>
      </c>
      <c r="J460" s="9">
        <v>0.0</v>
      </c>
      <c r="K460" s="9">
        <v>0.0</v>
      </c>
      <c r="L460" s="9" t="s">
        <v>69</v>
      </c>
      <c r="M460" s="9" t="s">
        <v>55</v>
      </c>
      <c r="N460" s="9">
        <v>1363068.21</v>
      </c>
      <c r="O460" s="9">
        <v>1226761.39</v>
      </c>
      <c r="R460" s="9" t="s">
        <v>60</v>
      </c>
      <c r="S460" s="9" t="s">
        <v>57</v>
      </c>
      <c r="T460" s="9" t="s">
        <v>61</v>
      </c>
      <c r="V460" s="9">
        <v>1229637.24</v>
      </c>
      <c r="W460" s="9">
        <v>24588.15</v>
      </c>
      <c r="X460" s="9">
        <v>0.0</v>
      </c>
    </row>
    <row r="461" ht="15.75" customHeight="1">
      <c r="A461" s="9">
        <v>2055095.0</v>
      </c>
      <c r="B461" s="9">
        <v>1559176.0</v>
      </c>
      <c r="C461" s="9">
        <v>30869.0</v>
      </c>
      <c r="D461" s="9" t="s">
        <v>52</v>
      </c>
      <c r="E461" s="9" t="s">
        <v>53</v>
      </c>
      <c r="F461" s="9">
        <v>12569.0</v>
      </c>
      <c r="G461" s="9">
        <v>1559176.0</v>
      </c>
      <c r="H461" s="9">
        <v>1559176.0</v>
      </c>
      <c r="I461" s="9">
        <v>1367099.7</v>
      </c>
      <c r="J461" s="9">
        <v>0.0</v>
      </c>
      <c r="K461" s="9">
        <v>0.0</v>
      </c>
      <c r="L461" s="9" t="s">
        <v>59</v>
      </c>
      <c r="M461" s="9" t="s">
        <v>55</v>
      </c>
      <c r="N461" s="9">
        <v>1734602.56</v>
      </c>
      <c r="O461" s="9">
        <v>1311884.29</v>
      </c>
      <c r="P461" s="9">
        <v>52038.1</v>
      </c>
      <c r="Q461" s="9">
        <v>37935.79</v>
      </c>
      <c r="R461" s="9" t="s">
        <v>60</v>
      </c>
      <c r="S461" s="9" t="s">
        <v>57</v>
      </c>
      <c r="T461" s="9" t="s">
        <v>61</v>
      </c>
      <c r="V461" s="9">
        <v>1407530.93</v>
      </c>
      <c r="W461" s="9">
        <v>0.0</v>
      </c>
      <c r="X461" s="9">
        <v>0.0</v>
      </c>
    </row>
    <row r="462" ht="15.75" customHeight="1">
      <c r="A462" s="9">
        <v>2056550.0</v>
      </c>
      <c r="B462" s="9">
        <v>6586931.0</v>
      </c>
      <c r="C462" s="9">
        <v>30343.0</v>
      </c>
      <c r="D462" s="9" t="s">
        <v>52</v>
      </c>
      <c r="E462" s="9" t="s">
        <v>53</v>
      </c>
      <c r="F462" s="9">
        <v>6189.0</v>
      </c>
      <c r="G462" s="9">
        <v>7225629.54</v>
      </c>
      <c r="H462" s="9">
        <v>7225629.54</v>
      </c>
      <c r="I462" s="9">
        <v>186486.49</v>
      </c>
      <c r="J462" s="9">
        <v>0.0</v>
      </c>
      <c r="K462" s="9">
        <v>0.0</v>
      </c>
      <c r="L462" s="9" t="s">
        <v>59</v>
      </c>
      <c r="M462" s="9" t="s">
        <v>55</v>
      </c>
      <c r="N462" s="9">
        <v>6801104.01</v>
      </c>
      <c r="O462" s="9">
        <v>6801104.01</v>
      </c>
      <c r="P462" s="9">
        <v>6801104.01</v>
      </c>
      <c r="Q462" s="9">
        <v>214234.78</v>
      </c>
      <c r="R462" s="9" t="s">
        <v>60</v>
      </c>
      <c r="S462" s="9" t="s">
        <v>57</v>
      </c>
      <c r="T462" s="9" t="s">
        <v>61</v>
      </c>
      <c r="V462" s="9">
        <v>7176454.55</v>
      </c>
      <c r="W462" s="9">
        <v>0.0</v>
      </c>
      <c r="X462" s="9">
        <v>0.0</v>
      </c>
    </row>
    <row r="463" ht="15.75" customHeight="1">
      <c r="A463" s="9">
        <v>2056601.0</v>
      </c>
      <c r="B463" s="9">
        <v>3945241.0</v>
      </c>
      <c r="C463" s="9">
        <v>37865.0</v>
      </c>
      <c r="D463" s="9" t="s">
        <v>52</v>
      </c>
      <c r="E463" s="9" t="s">
        <v>53</v>
      </c>
      <c r="F463" s="9">
        <v>16389.0</v>
      </c>
      <c r="G463" s="9">
        <v>5123686.12</v>
      </c>
      <c r="H463" s="9">
        <v>5123686.12</v>
      </c>
      <c r="I463" s="9">
        <v>5122466.65</v>
      </c>
      <c r="J463" s="9">
        <v>0.0</v>
      </c>
      <c r="K463" s="9">
        <v>0.0</v>
      </c>
      <c r="L463" s="9" t="s">
        <v>69</v>
      </c>
      <c r="M463" s="9" t="s">
        <v>62</v>
      </c>
      <c r="N463" s="9">
        <v>1519661.84</v>
      </c>
      <c r="O463" s="9">
        <v>1519661.84</v>
      </c>
      <c r="P463" s="9">
        <v>53187.16</v>
      </c>
      <c r="Q463" s="9">
        <v>52000.0</v>
      </c>
      <c r="R463" s="9" t="s">
        <v>60</v>
      </c>
      <c r="S463" s="9" t="s">
        <v>57</v>
      </c>
      <c r="T463" s="9" t="s">
        <v>61</v>
      </c>
      <c r="V463" s="9">
        <v>1519630.62</v>
      </c>
      <c r="W463" s="9">
        <v>52000.0</v>
      </c>
      <c r="X463" s="9">
        <v>0.0</v>
      </c>
    </row>
    <row r="464" ht="15.75" customHeight="1">
      <c r="A464" s="9">
        <v>2039654.0</v>
      </c>
      <c r="B464" s="9">
        <v>88167.0</v>
      </c>
      <c r="C464" s="9">
        <v>30221.0</v>
      </c>
      <c r="D464" s="9" t="s">
        <v>52</v>
      </c>
      <c r="E464" s="9" t="s">
        <v>53</v>
      </c>
      <c r="F464" s="9">
        <v>36035.0</v>
      </c>
      <c r="G464" s="9">
        <v>88167.0</v>
      </c>
      <c r="H464" s="9">
        <v>88167.0</v>
      </c>
      <c r="I464" s="9">
        <v>0.0</v>
      </c>
      <c r="J464" s="9">
        <v>0.0</v>
      </c>
      <c r="K464" s="9">
        <v>0.0</v>
      </c>
      <c r="L464" s="9" t="s">
        <v>54</v>
      </c>
      <c r="M464" s="9" t="s">
        <v>55</v>
      </c>
      <c r="N464" s="9">
        <v>98405.54</v>
      </c>
      <c r="O464" s="9">
        <v>88564.99</v>
      </c>
      <c r="R464" s="9" t="s">
        <v>60</v>
      </c>
      <c r="S464" s="9" t="s">
        <v>57</v>
      </c>
      <c r="T464" s="9" t="s">
        <v>61</v>
      </c>
      <c r="V464" s="9">
        <v>92431.05</v>
      </c>
      <c r="W464" s="9">
        <v>0.0</v>
      </c>
      <c r="X464" s="9">
        <v>0.0</v>
      </c>
    </row>
    <row r="465" ht="15.75" customHeight="1">
      <c r="A465" s="9">
        <v>2039656.0</v>
      </c>
      <c r="B465" s="9">
        <v>98327.0</v>
      </c>
      <c r="C465" s="9">
        <v>30219.0</v>
      </c>
      <c r="D465" s="9" t="s">
        <v>52</v>
      </c>
      <c r="E465" s="9" t="s">
        <v>53</v>
      </c>
      <c r="F465" s="9">
        <v>37324.0</v>
      </c>
      <c r="G465" s="9">
        <v>98327.0</v>
      </c>
      <c r="H465" s="9">
        <v>98327.0</v>
      </c>
      <c r="I465" s="9">
        <v>0.0</v>
      </c>
      <c r="J465" s="9">
        <v>0.0</v>
      </c>
      <c r="K465" s="9">
        <v>0.0</v>
      </c>
      <c r="L465" s="9" t="s">
        <v>54</v>
      </c>
      <c r="M465" s="9" t="s">
        <v>55</v>
      </c>
      <c r="N465" s="9">
        <v>96082.04</v>
      </c>
      <c r="O465" s="9">
        <v>94475.38</v>
      </c>
      <c r="R465" s="9" t="s">
        <v>60</v>
      </c>
      <c r="S465" s="9" t="s">
        <v>57</v>
      </c>
      <c r="T465" s="9" t="s">
        <v>61</v>
      </c>
      <c r="V465" s="9">
        <v>115943.39</v>
      </c>
      <c r="W465" s="9">
        <v>9077.87</v>
      </c>
      <c r="X465" s="9">
        <v>0.0</v>
      </c>
    </row>
    <row r="466" ht="15.75" customHeight="1">
      <c r="A466" s="9">
        <v>2040826.0</v>
      </c>
      <c r="B466" s="9">
        <v>1071148.0</v>
      </c>
      <c r="C466" s="9">
        <v>30388.0</v>
      </c>
      <c r="D466" s="9" t="s">
        <v>52</v>
      </c>
      <c r="E466" s="9" t="s">
        <v>53</v>
      </c>
      <c r="F466" s="9">
        <v>45296.0</v>
      </c>
      <c r="G466" s="9">
        <v>1071148.0</v>
      </c>
      <c r="H466" s="9">
        <v>1071148.0</v>
      </c>
      <c r="I466" s="9">
        <v>1271307.48</v>
      </c>
      <c r="J466" s="9">
        <v>0.0</v>
      </c>
      <c r="K466" s="9">
        <v>0.0</v>
      </c>
      <c r="L466" s="9" t="s">
        <v>59</v>
      </c>
      <c r="M466" s="9" t="s">
        <v>55</v>
      </c>
      <c r="N466" s="9">
        <v>1388860.49</v>
      </c>
      <c r="O466" s="9">
        <v>1085213.43</v>
      </c>
      <c r="P466" s="9">
        <v>32557.0</v>
      </c>
      <c r="Q466" s="9">
        <v>32556.4</v>
      </c>
      <c r="R466" s="9" t="s">
        <v>60</v>
      </c>
      <c r="S466" s="9" t="s">
        <v>57</v>
      </c>
      <c r="T466" s="9" t="s">
        <v>61</v>
      </c>
      <c r="V466" s="9">
        <v>1092713.43</v>
      </c>
      <c r="W466" s="9">
        <v>0.0</v>
      </c>
      <c r="X466" s="9">
        <v>0.0</v>
      </c>
    </row>
    <row r="467" ht="15.75" customHeight="1">
      <c r="A467" s="9">
        <v>2041007.0</v>
      </c>
      <c r="B467" s="9">
        <v>1601384.0</v>
      </c>
      <c r="C467" s="9">
        <v>31009.0</v>
      </c>
      <c r="D467" s="9" t="s">
        <v>52</v>
      </c>
      <c r="E467" s="9" t="s">
        <v>53</v>
      </c>
      <c r="F467" s="9">
        <v>38353.0</v>
      </c>
      <c r="G467" s="9">
        <v>1601384.0</v>
      </c>
      <c r="H467" s="9">
        <v>1538956.14</v>
      </c>
      <c r="I467" s="9">
        <v>1538956.14</v>
      </c>
      <c r="J467" s="9">
        <v>0.0</v>
      </c>
      <c r="K467" s="9">
        <v>0.0</v>
      </c>
      <c r="L467" s="9" t="s">
        <v>69</v>
      </c>
      <c r="M467" s="9" t="s">
        <v>55</v>
      </c>
      <c r="R467" s="9" t="s">
        <v>60</v>
      </c>
      <c r="S467" s="9" t="s">
        <v>57</v>
      </c>
      <c r="T467" s="9" t="s">
        <v>61</v>
      </c>
      <c r="V467" s="9">
        <v>1541854.14</v>
      </c>
      <c r="W467" s="9">
        <v>0.0</v>
      </c>
      <c r="X467" s="9">
        <v>0.0</v>
      </c>
    </row>
    <row r="468" ht="15.75" customHeight="1">
      <c r="A468" s="9">
        <v>2041009.0</v>
      </c>
      <c r="B468" s="9">
        <v>1998784.0</v>
      </c>
      <c r="C468" s="9">
        <v>31007.0</v>
      </c>
      <c r="D468" s="9" t="s">
        <v>52</v>
      </c>
      <c r="E468" s="9" t="s">
        <v>53</v>
      </c>
      <c r="F468" s="9">
        <v>38774.0</v>
      </c>
      <c r="G468" s="9">
        <v>1998784.0</v>
      </c>
      <c r="H468" s="9">
        <v>2042135.53</v>
      </c>
      <c r="I468" s="9">
        <v>1967283.88</v>
      </c>
      <c r="J468" s="9">
        <v>0.0</v>
      </c>
      <c r="K468" s="9">
        <v>0.0</v>
      </c>
      <c r="L468" s="9" t="s">
        <v>69</v>
      </c>
      <c r="M468" s="9" t="s">
        <v>55</v>
      </c>
      <c r="R468" s="9" t="s">
        <v>60</v>
      </c>
      <c r="S468" s="9" t="s">
        <v>57</v>
      </c>
      <c r="T468" s="9" t="s">
        <v>61</v>
      </c>
      <c r="V468" s="9">
        <v>1967205.58</v>
      </c>
      <c r="W468" s="9">
        <v>0.0</v>
      </c>
      <c r="X468" s="9">
        <v>0.0</v>
      </c>
    </row>
    <row r="469" ht="15.75" customHeight="1">
      <c r="A469" s="9">
        <v>2041209.0</v>
      </c>
      <c r="B469" s="9">
        <v>33266.0</v>
      </c>
      <c r="C469" s="9">
        <v>31225.0</v>
      </c>
      <c r="D469" s="9" t="s">
        <v>52</v>
      </c>
      <c r="E469" s="9" t="s">
        <v>53</v>
      </c>
      <c r="F469" s="9">
        <v>38017.0</v>
      </c>
      <c r="G469" s="9">
        <v>33266.0</v>
      </c>
      <c r="H469" s="9">
        <v>33266.0</v>
      </c>
      <c r="I469" s="9">
        <v>0.0</v>
      </c>
      <c r="J469" s="9">
        <v>0.0</v>
      </c>
      <c r="K469" s="9">
        <v>0.0</v>
      </c>
      <c r="L469" s="9" t="s">
        <v>54</v>
      </c>
      <c r="M469" s="9" t="s">
        <v>55</v>
      </c>
      <c r="R469" s="9" t="s">
        <v>60</v>
      </c>
      <c r="S469" s="9" t="s">
        <v>57</v>
      </c>
      <c r="T469" s="9" t="s">
        <v>61</v>
      </c>
      <c r="V469" s="9">
        <v>46344.17</v>
      </c>
      <c r="W469" s="9">
        <v>0.0</v>
      </c>
      <c r="X469" s="9">
        <v>0.0</v>
      </c>
    </row>
    <row r="470" ht="15.75" customHeight="1">
      <c r="A470" s="9">
        <v>2041811.0</v>
      </c>
      <c r="B470" s="9">
        <v>747558.0</v>
      </c>
      <c r="C470" s="9">
        <v>31167.0</v>
      </c>
      <c r="D470" s="9" t="s">
        <v>52</v>
      </c>
      <c r="E470" s="9" t="s">
        <v>53</v>
      </c>
      <c r="F470" s="9">
        <v>45895.0</v>
      </c>
      <c r="G470" s="9">
        <v>747558.0</v>
      </c>
      <c r="H470" s="9">
        <v>747558.0</v>
      </c>
      <c r="I470" s="9">
        <v>0.0</v>
      </c>
      <c r="J470" s="9">
        <v>0.0</v>
      </c>
      <c r="K470" s="9">
        <v>0.0</v>
      </c>
      <c r="L470" s="9" t="s">
        <v>54</v>
      </c>
      <c r="M470" s="9" t="s">
        <v>55</v>
      </c>
      <c r="R470" s="9" t="s">
        <v>60</v>
      </c>
      <c r="S470" s="9" t="s">
        <v>57</v>
      </c>
      <c r="T470" s="9" t="s">
        <v>61</v>
      </c>
      <c r="V470" s="9">
        <v>886461.42</v>
      </c>
      <c r="W470" s="9">
        <v>0.0</v>
      </c>
      <c r="X470" s="9">
        <v>0.0</v>
      </c>
    </row>
    <row r="471" ht="15.75" customHeight="1">
      <c r="A471" s="9">
        <v>2042964.0</v>
      </c>
      <c r="B471" s="9">
        <v>5552860.0</v>
      </c>
      <c r="C471" s="9">
        <v>30590.0</v>
      </c>
      <c r="D471" s="9" t="s">
        <v>52</v>
      </c>
      <c r="E471" s="9" t="s">
        <v>53</v>
      </c>
      <c r="F471" s="9">
        <v>18799.0</v>
      </c>
      <c r="G471" s="9">
        <v>5552860.0</v>
      </c>
      <c r="H471" s="9">
        <v>5552860.0</v>
      </c>
      <c r="I471" s="9">
        <v>162000.0</v>
      </c>
      <c r="J471" s="9">
        <v>0.0</v>
      </c>
      <c r="K471" s="9">
        <v>0.0</v>
      </c>
      <c r="L471" s="9" t="s">
        <v>59</v>
      </c>
      <c r="M471" s="9" t="s">
        <v>55</v>
      </c>
      <c r="N471" s="9">
        <v>5552860.0</v>
      </c>
      <c r="O471" s="9">
        <v>5552860.0</v>
      </c>
      <c r="P471" s="9">
        <v>205000.0</v>
      </c>
      <c r="Q471" s="9">
        <v>184500.0</v>
      </c>
      <c r="R471" s="9" t="s">
        <v>94</v>
      </c>
      <c r="S471" s="9" t="s">
        <v>57</v>
      </c>
      <c r="T471" s="9" t="s">
        <v>95</v>
      </c>
    </row>
    <row r="472" ht="15.75" customHeight="1">
      <c r="A472" s="9">
        <v>2043881.0</v>
      </c>
      <c r="B472" s="9">
        <v>977633.0</v>
      </c>
      <c r="C472" s="9">
        <v>30229.0</v>
      </c>
      <c r="D472" s="9" t="s">
        <v>52</v>
      </c>
      <c r="E472" s="9" t="s">
        <v>53</v>
      </c>
      <c r="F472" s="9">
        <v>41330.0</v>
      </c>
      <c r="G472" s="9">
        <v>2112955.0</v>
      </c>
      <c r="H472" s="9">
        <v>2112955.0</v>
      </c>
      <c r="I472" s="9">
        <v>2074799.99</v>
      </c>
      <c r="J472" s="9">
        <v>0.0</v>
      </c>
      <c r="K472" s="9">
        <v>0.0</v>
      </c>
      <c r="L472" s="9" t="s">
        <v>69</v>
      </c>
      <c r="M472" s="9" t="s">
        <v>55</v>
      </c>
      <c r="N472" s="9">
        <v>2028436.54</v>
      </c>
      <c r="O472" s="9">
        <v>2000000.0</v>
      </c>
      <c r="P472" s="9">
        <v>76834.71</v>
      </c>
      <c r="Q472" s="9">
        <v>76000.0</v>
      </c>
      <c r="R472" s="9" t="s">
        <v>60</v>
      </c>
      <c r="S472" s="9" t="s">
        <v>57</v>
      </c>
      <c r="T472" s="9" t="s">
        <v>61</v>
      </c>
      <c r="V472" s="9">
        <v>2000000.0</v>
      </c>
      <c r="W472" s="9">
        <v>76000.0</v>
      </c>
      <c r="X472" s="9">
        <v>0.0</v>
      </c>
    </row>
    <row r="473" ht="15.75" customHeight="1">
      <c r="A473" s="9">
        <v>2043964.0</v>
      </c>
      <c r="B473" s="9">
        <v>3676862.0</v>
      </c>
      <c r="C473" s="9">
        <v>31001.0</v>
      </c>
      <c r="D473" s="9" t="s">
        <v>52</v>
      </c>
      <c r="E473" s="9" t="s">
        <v>53</v>
      </c>
      <c r="F473" s="9">
        <v>45350.0</v>
      </c>
      <c r="G473" s="9">
        <v>3676862.0</v>
      </c>
      <c r="H473" s="9">
        <v>3391726.35</v>
      </c>
      <c r="I473" s="9">
        <v>3391726.35</v>
      </c>
      <c r="J473" s="9">
        <v>0.0</v>
      </c>
      <c r="K473" s="9">
        <v>0.0</v>
      </c>
      <c r="L473" s="9" t="s">
        <v>69</v>
      </c>
      <c r="M473" s="9" t="s">
        <v>55</v>
      </c>
      <c r="R473" s="9" t="s">
        <v>60</v>
      </c>
      <c r="S473" s="9" t="s">
        <v>57</v>
      </c>
      <c r="T473" s="9" t="s">
        <v>61</v>
      </c>
      <c r="V473" s="9">
        <v>3391726.35</v>
      </c>
      <c r="W473" s="9">
        <v>0.0</v>
      </c>
      <c r="X473" s="9">
        <v>0.0</v>
      </c>
    </row>
    <row r="474" ht="15.75" customHeight="1">
      <c r="A474" s="9">
        <v>2044700.0</v>
      </c>
      <c r="B474" s="9">
        <v>950000.0</v>
      </c>
      <c r="C474" s="9">
        <v>30598.0</v>
      </c>
      <c r="D474" s="9" t="s">
        <v>52</v>
      </c>
      <c r="E474" s="9" t="s">
        <v>53</v>
      </c>
      <c r="F474" s="9">
        <v>49934.0</v>
      </c>
      <c r="G474" s="9">
        <v>950000.0</v>
      </c>
      <c r="H474" s="9">
        <v>950000.0</v>
      </c>
      <c r="I474" s="9">
        <v>1081787.96</v>
      </c>
      <c r="J474" s="9">
        <v>0.0</v>
      </c>
      <c r="K474" s="9">
        <v>0.0</v>
      </c>
      <c r="L474" s="9" t="s">
        <v>59</v>
      </c>
      <c r="M474" s="9" t="s">
        <v>55</v>
      </c>
      <c r="N474" s="9">
        <v>937000.0</v>
      </c>
      <c r="O474" s="9">
        <v>843300.0</v>
      </c>
      <c r="P474" s="9">
        <v>15050.0</v>
      </c>
      <c r="Q474" s="9">
        <v>15050.0</v>
      </c>
      <c r="R474" s="9" t="s">
        <v>60</v>
      </c>
      <c r="S474" s="9" t="s">
        <v>57</v>
      </c>
      <c r="T474" s="9" t="s">
        <v>61</v>
      </c>
      <c r="V474" s="9">
        <v>1256716.62</v>
      </c>
      <c r="W474" s="9">
        <v>0.0</v>
      </c>
      <c r="X474" s="9">
        <v>0.0</v>
      </c>
    </row>
    <row r="475" ht="15.75" customHeight="1">
      <c r="A475" s="9">
        <v>2044719.0</v>
      </c>
      <c r="B475" s="9">
        <v>1757466.0</v>
      </c>
      <c r="C475" s="9">
        <v>31110.0</v>
      </c>
      <c r="D475" s="9" t="s">
        <v>52</v>
      </c>
      <c r="E475" s="9" t="s">
        <v>53</v>
      </c>
      <c r="F475" s="9">
        <v>45331.0</v>
      </c>
      <c r="G475" s="9">
        <v>1757466.0</v>
      </c>
      <c r="H475" s="9">
        <v>1757466.0</v>
      </c>
      <c r="I475" s="9">
        <v>1990452.68</v>
      </c>
      <c r="J475" s="9">
        <v>0.0</v>
      </c>
      <c r="K475" s="9">
        <v>0.0</v>
      </c>
      <c r="L475" s="9" t="s">
        <v>69</v>
      </c>
      <c r="M475" s="9" t="s">
        <v>55</v>
      </c>
      <c r="R475" s="9" t="s">
        <v>60</v>
      </c>
      <c r="S475" s="9" t="s">
        <v>57</v>
      </c>
      <c r="T475" s="9" t="s">
        <v>61</v>
      </c>
      <c r="V475" s="9">
        <v>1988300.22</v>
      </c>
      <c r="W475" s="9">
        <v>0.0</v>
      </c>
      <c r="X475" s="9">
        <v>0.0</v>
      </c>
    </row>
    <row r="476" ht="15.75" customHeight="1">
      <c r="A476" s="9">
        <v>2045134.0</v>
      </c>
      <c r="B476" s="9">
        <v>1981373.0</v>
      </c>
      <c r="C476" s="9">
        <v>31203.0</v>
      </c>
      <c r="D476" s="9" t="s">
        <v>52</v>
      </c>
      <c r="E476" s="9" t="s">
        <v>53</v>
      </c>
      <c r="F476" s="9">
        <v>47146.0</v>
      </c>
      <c r="G476" s="9">
        <v>2854073.0</v>
      </c>
      <c r="H476" s="9">
        <v>2854073.0</v>
      </c>
      <c r="I476" s="9">
        <v>0.0</v>
      </c>
      <c r="J476" s="9">
        <v>0.0</v>
      </c>
      <c r="K476" s="9">
        <v>0.0</v>
      </c>
      <c r="L476" s="9" t="s">
        <v>69</v>
      </c>
      <c r="M476" s="9" t="s">
        <v>55</v>
      </c>
      <c r="R476" s="9" t="s">
        <v>60</v>
      </c>
      <c r="S476" s="9" t="s">
        <v>57</v>
      </c>
      <c r="T476" s="9" t="s">
        <v>61</v>
      </c>
      <c r="V476" s="9">
        <v>2069253.38</v>
      </c>
      <c r="W476" s="9">
        <v>0.0</v>
      </c>
      <c r="X476" s="9">
        <v>0.0</v>
      </c>
    </row>
    <row r="477" ht="15.75" customHeight="1">
      <c r="A477" s="9">
        <v>2045719.0</v>
      </c>
      <c r="B477" s="9">
        <v>6366154.0</v>
      </c>
      <c r="C477" s="9">
        <v>29664.0</v>
      </c>
      <c r="D477" s="9" t="s">
        <v>52</v>
      </c>
      <c r="E477" s="9" t="s">
        <v>53</v>
      </c>
      <c r="F477" s="9">
        <v>53910.0</v>
      </c>
      <c r="G477" s="9">
        <v>6366154.0</v>
      </c>
      <c r="H477" s="9">
        <v>6716803.7</v>
      </c>
      <c r="I477" s="9">
        <v>6712803.7</v>
      </c>
      <c r="J477" s="9">
        <v>0.0</v>
      </c>
      <c r="K477" s="9">
        <v>0.0</v>
      </c>
      <c r="L477" s="9" t="s">
        <v>59</v>
      </c>
      <c r="M477" s="9" t="s">
        <v>65</v>
      </c>
      <c r="N477" s="9">
        <v>400000.0</v>
      </c>
      <c r="O477" s="9">
        <v>290000.0</v>
      </c>
      <c r="R477" s="9" t="s">
        <v>92</v>
      </c>
      <c r="S477" s="9" t="s">
        <v>57</v>
      </c>
      <c r="T477" s="9" t="s">
        <v>93</v>
      </c>
      <c r="V477" s="9">
        <v>0.0</v>
      </c>
      <c r="W477" s="9">
        <v>0.0</v>
      </c>
    </row>
    <row r="478" ht="15.75" customHeight="1">
      <c r="A478" s="9">
        <v>2047093.0</v>
      </c>
      <c r="B478" s="9">
        <v>1225425.0</v>
      </c>
      <c r="C478" s="9">
        <v>37987.0</v>
      </c>
      <c r="D478" s="9" t="s">
        <v>52</v>
      </c>
      <c r="E478" s="9" t="s">
        <v>53</v>
      </c>
      <c r="F478" s="9">
        <v>54048.0</v>
      </c>
      <c r="G478" s="9">
        <v>1.4684732E7</v>
      </c>
      <c r="H478" s="9">
        <v>1.4684732E7</v>
      </c>
      <c r="I478" s="9">
        <v>1262872.09</v>
      </c>
      <c r="J478" s="9">
        <v>0.0</v>
      </c>
      <c r="K478" s="9">
        <v>0.0</v>
      </c>
      <c r="L478" s="9" t="s">
        <v>69</v>
      </c>
      <c r="M478" s="9" t="s">
        <v>74</v>
      </c>
      <c r="R478" s="9" t="s">
        <v>85</v>
      </c>
      <c r="S478" s="9" t="s">
        <v>67</v>
      </c>
      <c r="T478" s="9" t="s">
        <v>86</v>
      </c>
    </row>
    <row r="479" ht="15.75" customHeight="1">
      <c r="A479" s="9">
        <v>2047110.0</v>
      </c>
      <c r="B479" s="9">
        <v>64576.0</v>
      </c>
      <c r="C479" s="9">
        <v>30924.0</v>
      </c>
      <c r="D479" s="9" t="s">
        <v>52</v>
      </c>
      <c r="E479" s="9" t="s">
        <v>53</v>
      </c>
      <c r="F479" s="9">
        <v>48449.0</v>
      </c>
      <c r="G479" s="9">
        <v>64576.0</v>
      </c>
      <c r="H479" s="9">
        <v>64576.0</v>
      </c>
      <c r="I479" s="9">
        <v>64436.24</v>
      </c>
      <c r="J479" s="9">
        <v>0.0</v>
      </c>
      <c r="K479" s="9">
        <v>0.0</v>
      </c>
      <c r="L479" s="9" t="s">
        <v>59</v>
      </c>
      <c r="M479" s="9" t="s">
        <v>55</v>
      </c>
      <c r="N479" s="9">
        <v>63076.79</v>
      </c>
      <c r="O479" s="9">
        <v>66229.8</v>
      </c>
      <c r="R479" s="9" t="s">
        <v>60</v>
      </c>
      <c r="S479" s="9" t="s">
        <v>57</v>
      </c>
      <c r="T479" s="9" t="s">
        <v>61</v>
      </c>
      <c r="V479" s="9">
        <v>66419.71</v>
      </c>
      <c r="W479" s="9">
        <v>0.0</v>
      </c>
      <c r="X479" s="9">
        <v>0.0</v>
      </c>
    </row>
    <row r="480" ht="15.75" customHeight="1">
      <c r="A480" s="9">
        <v>2047391.0</v>
      </c>
      <c r="B480" s="9">
        <v>6999675.0</v>
      </c>
      <c r="C480" s="9">
        <v>30239.0</v>
      </c>
      <c r="D480" s="9" t="s">
        <v>52</v>
      </c>
      <c r="E480" s="9" t="s">
        <v>53</v>
      </c>
      <c r="F480" s="9">
        <v>59505.0</v>
      </c>
      <c r="G480" s="9">
        <v>6999675.0</v>
      </c>
      <c r="H480" s="9">
        <v>6999675.0</v>
      </c>
      <c r="I480" s="9">
        <v>6938906.08</v>
      </c>
      <c r="J480" s="9">
        <v>0.0</v>
      </c>
      <c r="K480" s="9">
        <v>0.0</v>
      </c>
      <c r="L480" s="9" t="s">
        <v>69</v>
      </c>
      <c r="M480" s="9" t="s">
        <v>55</v>
      </c>
      <c r="N480" s="9">
        <v>6726957.12</v>
      </c>
      <c r="O480" s="9">
        <v>6766957.1</v>
      </c>
      <c r="P480" s="9">
        <v>143717.0</v>
      </c>
      <c r="Q480" s="9">
        <v>143717.0</v>
      </c>
      <c r="R480" s="9" t="s">
        <v>60</v>
      </c>
      <c r="S480" s="9" t="s">
        <v>57</v>
      </c>
      <c r="T480" s="9" t="s">
        <v>61</v>
      </c>
      <c r="V480" s="9">
        <v>6773631.45</v>
      </c>
      <c r="W480" s="9">
        <v>165274.55</v>
      </c>
      <c r="X480" s="9">
        <v>0.0</v>
      </c>
    </row>
    <row r="481" ht="15.75" customHeight="1">
      <c r="A481" s="9">
        <v>2047410.0</v>
      </c>
      <c r="B481" s="9">
        <v>498602.0</v>
      </c>
      <c r="C481" s="9">
        <v>30772.0</v>
      </c>
      <c r="D481" s="9" t="s">
        <v>52</v>
      </c>
      <c r="E481" s="9" t="s">
        <v>53</v>
      </c>
      <c r="F481" s="9">
        <v>42511.0</v>
      </c>
      <c r="G481" s="9">
        <v>498602.0</v>
      </c>
      <c r="H481" s="9">
        <v>498602.0</v>
      </c>
      <c r="I481" s="9">
        <v>397301.35</v>
      </c>
      <c r="J481" s="9">
        <v>0.0</v>
      </c>
      <c r="K481" s="9">
        <v>0.0</v>
      </c>
      <c r="L481" s="9" t="s">
        <v>59</v>
      </c>
      <c r="M481" s="9" t="s">
        <v>55</v>
      </c>
      <c r="N481" s="9">
        <v>321770.1</v>
      </c>
      <c r="O481" s="9">
        <v>289593.09</v>
      </c>
      <c r="R481" s="9" t="s">
        <v>60</v>
      </c>
      <c r="S481" s="9" t="s">
        <v>57</v>
      </c>
      <c r="T481" s="9" t="s">
        <v>61</v>
      </c>
    </row>
    <row r="482" ht="15.75" customHeight="1">
      <c r="A482" s="9">
        <v>2050248.0</v>
      </c>
      <c r="B482" s="9">
        <v>1468368.0</v>
      </c>
      <c r="C482" s="9">
        <v>30514.0</v>
      </c>
      <c r="D482" s="9" t="s">
        <v>52</v>
      </c>
      <c r="E482" s="9" t="s">
        <v>53</v>
      </c>
      <c r="F482" s="9">
        <v>51787.0</v>
      </c>
      <c r="G482" s="9">
        <v>1468368.0</v>
      </c>
      <c r="H482" s="9">
        <v>1468368.0</v>
      </c>
      <c r="I482" s="9">
        <v>72802.0</v>
      </c>
      <c r="J482" s="9">
        <v>0.0</v>
      </c>
      <c r="K482" s="9">
        <v>0.0</v>
      </c>
      <c r="L482" s="9" t="s">
        <v>69</v>
      </c>
      <c r="M482" s="9" t="s">
        <v>55</v>
      </c>
      <c r="N482" s="9">
        <v>1232679.35</v>
      </c>
      <c r="O482" s="9">
        <v>1285982.45</v>
      </c>
      <c r="P482" s="9">
        <v>104500.0</v>
      </c>
      <c r="Q482" s="9">
        <v>104500.0</v>
      </c>
      <c r="R482" s="9" t="s">
        <v>72</v>
      </c>
      <c r="S482" s="9" t="s">
        <v>57</v>
      </c>
      <c r="T482" s="9" t="s">
        <v>73</v>
      </c>
      <c r="V482" s="9">
        <v>0.0</v>
      </c>
      <c r="W482" s="9">
        <v>104500.0</v>
      </c>
      <c r="X482" s="9">
        <v>0.0</v>
      </c>
    </row>
    <row r="483" ht="15.75" customHeight="1">
      <c r="A483" s="9">
        <v>2050284.0</v>
      </c>
      <c r="B483" s="9">
        <v>377875.0</v>
      </c>
      <c r="C483" s="9">
        <v>30399.0</v>
      </c>
      <c r="D483" s="9" t="s">
        <v>52</v>
      </c>
      <c r="E483" s="9" t="s">
        <v>53</v>
      </c>
      <c r="F483" s="9">
        <v>39065.0</v>
      </c>
      <c r="G483" s="9">
        <v>377875.0</v>
      </c>
      <c r="H483" s="9">
        <v>15120.0</v>
      </c>
      <c r="I483" s="9">
        <v>15120.0</v>
      </c>
      <c r="J483" s="9">
        <v>0.0</v>
      </c>
      <c r="K483" s="9">
        <v>0.0</v>
      </c>
      <c r="L483" s="9" t="s">
        <v>69</v>
      </c>
      <c r="M483" s="9" t="s">
        <v>55</v>
      </c>
      <c r="N483" s="9">
        <v>371929.0</v>
      </c>
      <c r="O483" s="9">
        <v>334736.11</v>
      </c>
      <c r="R483" s="9" t="s">
        <v>60</v>
      </c>
      <c r="S483" s="9" t="s">
        <v>57</v>
      </c>
      <c r="T483" s="9" t="s">
        <v>61</v>
      </c>
    </row>
    <row r="484" ht="15.75" customHeight="1">
      <c r="A484" s="9">
        <v>2050350.0</v>
      </c>
      <c r="B484" s="9">
        <v>5970432.0</v>
      </c>
      <c r="C484" s="9">
        <v>31020.0</v>
      </c>
      <c r="D484" s="9" t="s">
        <v>52</v>
      </c>
      <c r="E484" s="9" t="s">
        <v>53</v>
      </c>
      <c r="F484" s="9">
        <v>45351.0</v>
      </c>
      <c r="G484" s="9">
        <v>5970432.0</v>
      </c>
      <c r="H484" s="9">
        <v>4701935.32</v>
      </c>
      <c r="I484" s="9">
        <v>4129319.32</v>
      </c>
      <c r="J484" s="9">
        <v>0.0</v>
      </c>
      <c r="K484" s="9">
        <v>171785.0</v>
      </c>
      <c r="L484" s="9" t="s">
        <v>59</v>
      </c>
      <c r="M484" s="9" t="s">
        <v>55</v>
      </c>
      <c r="R484" s="9" t="s">
        <v>72</v>
      </c>
      <c r="S484" s="9" t="s">
        <v>57</v>
      </c>
      <c r="T484" s="9" t="s">
        <v>73</v>
      </c>
      <c r="V484" s="9">
        <v>4129319.32</v>
      </c>
      <c r="W484" s="9">
        <v>40000.0</v>
      </c>
      <c r="X484" s="9">
        <v>0.0</v>
      </c>
    </row>
    <row r="485" ht="15.75" customHeight="1">
      <c r="A485" s="9">
        <v>2052205.0</v>
      </c>
      <c r="B485" s="9">
        <v>78132.0</v>
      </c>
      <c r="C485" s="9">
        <v>30334.0</v>
      </c>
      <c r="D485" s="9" t="s">
        <v>52</v>
      </c>
      <c r="E485" s="9" t="s">
        <v>53</v>
      </c>
      <c r="F485" s="9">
        <v>38970.0</v>
      </c>
      <c r="G485" s="9">
        <v>78132.0</v>
      </c>
      <c r="H485" s="9">
        <v>78132.0</v>
      </c>
      <c r="I485" s="9">
        <v>78132.0</v>
      </c>
      <c r="J485" s="9">
        <v>0.0</v>
      </c>
      <c r="K485" s="9">
        <v>0.0</v>
      </c>
      <c r="L485" s="9" t="s">
        <v>69</v>
      </c>
      <c r="M485" s="9" t="s">
        <v>55</v>
      </c>
      <c r="N485" s="9">
        <v>78132.0</v>
      </c>
      <c r="O485" s="9">
        <v>78132.0</v>
      </c>
      <c r="R485" s="9" t="s">
        <v>60</v>
      </c>
      <c r="S485" s="9" t="s">
        <v>57</v>
      </c>
      <c r="T485" s="9" t="s">
        <v>61</v>
      </c>
      <c r="V485" s="9">
        <v>78132.0</v>
      </c>
      <c r="W485" s="9">
        <v>0.0</v>
      </c>
      <c r="X485" s="9">
        <v>0.0</v>
      </c>
    </row>
    <row r="486" ht="15.75" customHeight="1">
      <c r="A486" s="9">
        <v>2050324.0</v>
      </c>
      <c r="B486" s="9">
        <v>1580539.0</v>
      </c>
      <c r="C486" s="9">
        <v>29550.0</v>
      </c>
      <c r="D486" s="9" t="s">
        <v>52</v>
      </c>
      <c r="E486" s="9" t="s">
        <v>53</v>
      </c>
      <c r="F486" s="9">
        <v>48011.0</v>
      </c>
      <c r="G486" s="9">
        <v>0.0</v>
      </c>
      <c r="M486" s="9" t="s">
        <v>65</v>
      </c>
      <c r="N486" s="9">
        <v>20000.0</v>
      </c>
      <c r="O486" s="9">
        <v>20000.0</v>
      </c>
      <c r="R486" s="9" t="s">
        <v>60</v>
      </c>
      <c r="S486" s="9" t="s">
        <v>57</v>
      </c>
      <c r="T486" s="9" t="s">
        <v>61</v>
      </c>
    </row>
    <row r="487" ht="15.75" customHeight="1">
      <c r="A487" s="9">
        <v>2050342.0</v>
      </c>
      <c r="B487" s="9">
        <v>988922.0</v>
      </c>
      <c r="C487" s="9">
        <v>30361.0</v>
      </c>
      <c r="D487" s="9" t="s">
        <v>52</v>
      </c>
      <c r="E487" s="9" t="s">
        <v>53</v>
      </c>
      <c r="F487" s="9">
        <v>53123.0</v>
      </c>
      <c r="G487" s="9">
        <v>1033873.0</v>
      </c>
      <c r="H487" s="9">
        <v>1033873.0</v>
      </c>
      <c r="I487" s="9">
        <v>0.0</v>
      </c>
      <c r="J487" s="9">
        <v>0.0</v>
      </c>
      <c r="K487" s="9">
        <v>0.0</v>
      </c>
      <c r="L487" s="9" t="s">
        <v>54</v>
      </c>
      <c r="M487" s="9" t="s">
        <v>55</v>
      </c>
      <c r="N487" s="9">
        <v>993284.2</v>
      </c>
      <c r="O487" s="9">
        <v>993284.2</v>
      </c>
      <c r="P487" s="9">
        <v>44951.0</v>
      </c>
      <c r="Q487" s="9">
        <v>44951.0</v>
      </c>
      <c r="R487" s="9" t="s">
        <v>60</v>
      </c>
      <c r="S487" s="9" t="s">
        <v>57</v>
      </c>
      <c r="T487" s="9" t="s">
        <v>61</v>
      </c>
      <c r="V487" s="9">
        <v>1002407.0</v>
      </c>
      <c r="W487" s="9">
        <v>31465.7</v>
      </c>
      <c r="X487" s="9">
        <v>0.0</v>
      </c>
    </row>
    <row r="488" ht="15.75" customHeight="1">
      <c r="A488" s="9">
        <v>2051092.0</v>
      </c>
      <c r="B488" s="9">
        <v>1208216.0</v>
      </c>
      <c r="C488" s="9">
        <v>31245.0</v>
      </c>
      <c r="D488" s="9" t="s">
        <v>52</v>
      </c>
      <c r="E488" s="9" t="s">
        <v>53</v>
      </c>
      <c r="F488" s="9">
        <v>49890.0</v>
      </c>
      <c r="G488" s="9">
        <v>1208216.0</v>
      </c>
      <c r="H488" s="9">
        <v>1208216.0</v>
      </c>
      <c r="I488" s="9">
        <v>1201529.33</v>
      </c>
      <c r="J488" s="9">
        <v>0.0</v>
      </c>
      <c r="K488" s="9">
        <v>0.0</v>
      </c>
      <c r="L488" s="9" t="s">
        <v>69</v>
      </c>
      <c r="M488" s="9" t="s">
        <v>55</v>
      </c>
      <c r="R488" s="9" t="s">
        <v>56</v>
      </c>
      <c r="S488" s="9" t="s">
        <v>57</v>
      </c>
      <c r="T488" s="9" t="s">
        <v>58</v>
      </c>
      <c r="V488" s="9">
        <v>1197995.0</v>
      </c>
      <c r="W488" s="9">
        <v>0.0</v>
      </c>
      <c r="X488" s="9">
        <v>0.0</v>
      </c>
    </row>
    <row r="489" ht="15.75" customHeight="1">
      <c r="A489" s="9">
        <v>2051377.0</v>
      </c>
      <c r="B489" s="9">
        <v>4200000.0</v>
      </c>
      <c r="C489" s="9">
        <v>37144.0</v>
      </c>
      <c r="D489" s="9" t="s">
        <v>52</v>
      </c>
      <c r="E489" s="9" t="s">
        <v>53</v>
      </c>
      <c r="F489" s="9">
        <v>57833.0</v>
      </c>
      <c r="G489" s="9">
        <v>1.774236185E7</v>
      </c>
      <c r="H489" s="9">
        <v>1.774212077E7</v>
      </c>
      <c r="I489" s="9">
        <v>1.774212077E7</v>
      </c>
      <c r="J489" s="9">
        <v>0.0</v>
      </c>
      <c r="K489" s="9">
        <v>0.0</v>
      </c>
      <c r="L489" s="9" t="s">
        <v>69</v>
      </c>
      <c r="M489" s="9" t="s">
        <v>62</v>
      </c>
      <c r="N489" s="9">
        <v>1.4286696E7</v>
      </c>
      <c r="O489" s="9">
        <v>1.4286696E7</v>
      </c>
      <c r="P489" s="9">
        <v>541468.0</v>
      </c>
      <c r="Q489" s="9">
        <v>541468.0</v>
      </c>
      <c r="R489" s="9" t="s">
        <v>60</v>
      </c>
      <c r="S489" s="9" t="s">
        <v>57</v>
      </c>
      <c r="T489" s="9" t="s">
        <v>61</v>
      </c>
      <c r="V489" s="9">
        <v>1.428643486E7</v>
      </c>
      <c r="W489" s="9">
        <v>541468.0</v>
      </c>
      <c r="X489" s="9">
        <v>0.0</v>
      </c>
    </row>
    <row r="490" ht="15.75" customHeight="1">
      <c r="A490" s="9">
        <v>2051913.0</v>
      </c>
      <c r="B490" s="9">
        <v>401794.0</v>
      </c>
      <c r="C490" s="9">
        <v>31037.0</v>
      </c>
      <c r="D490" s="9" t="s">
        <v>52</v>
      </c>
      <c r="E490" s="9" t="s">
        <v>53</v>
      </c>
      <c r="F490" s="9">
        <v>49306.0</v>
      </c>
      <c r="G490" s="9">
        <v>401794.0</v>
      </c>
      <c r="H490" s="9">
        <v>401794.0</v>
      </c>
      <c r="I490" s="9">
        <v>360322.98</v>
      </c>
      <c r="J490" s="9">
        <v>0.0</v>
      </c>
      <c r="K490" s="9">
        <v>0.0</v>
      </c>
      <c r="L490" s="9" t="s">
        <v>59</v>
      </c>
      <c r="M490" s="9" t="s">
        <v>55</v>
      </c>
      <c r="R490" s="9" t="s">
        <v>60</v>
      </c>
      <c r="S490" s="9" t="s">
        <v>57</v>
      </c>
      <c r="T490" s="9" t="s">
        <v>61</v>
      </c>
      <c r="V490" s="9">
        <v>366490.45</v>
      </c>
      <c r="W490" s="9">
        <v>0.0</v>
      </c>
      <c r="X490" s="9">
        <v>0.0</v>
      </c>
    </row>
    <row r="491" ht="15.75" customHeight="1">
      <c r="A491" s="9">
        <v>2051914.0</v>
      </c>
      <c r="B491" s="9">
        <v>4851335.0</v>
      </c>
      <c r="C491" s="9">
        <v>30005.0</v>
      </c>
      <c r="D491" s="9" t="s">
        <v>52</v>
      </c>
      <c r="E491" s="9" t="s">
        <v>53</v>
      </c>
      <c r="F491" s="9">
        <v>44082.0</v>
      </c>
      <c r="G491" s="9">
        <v>3294327.16</v>
      </c>
      <c r="H491" s="9">
        <v>3294327.16</v>
      </c>
      <c r="I491" s="9">
        <v>3977075.03</v>
      </c>
      <c r="J491" s="9">
        <v>0.0</v>
      </c>
      <c r="K491" s="9">
        <v>0.0</v>
      </c>
      <c r="L491" s="9" t="s">
        <v>59</v>
      </c>
      <c r="M491" s="9" t="s">
        <v>55</v>
      </c>
      <c r="N491" s="9">
        <v>3022962.64</v>
      </c>
      <c r="O491" s="9">
        <v>2720666.38</v>
      </c>
      <c r="P491" s="9">
        <v>73812.73</v>
      </c>
      <c r="Q491" s="9">
        <v>66431.46</v>
      </c>
      <c r="R491" s="9" t="s">
        <v>56</v>
      </c>
      <c r="S491" s="9" t="s">
        <v>57</v>
      </c>
      <c r="T491" s="9" t="s">
        <v>58</v>
      </c>
      <c r="V491" s="9">
        <v>2929536.36</v>
      </c>
      <c r="W491" s="9">
        <v>0.0</v>
      </c>
      <c r="X491" s="9">
        <v>0.0</v>
      </c>
    </row>
    <row r="492" ht="15.75" customHeight="1">
      <c r="A492" s="9">
        <v>2052045.0</v>
      </c>
      <c r="B492" s="9">
        <v>564739.0</v>
      </c>
      <c r="C492" s="9">
        <v>31248.0</v>
      </c>
      <c r="D492" s="9" t="s">
        <v>52</v>
      </c>
      <c r="E492" s="9" t="s">
        <v>53</v>
      </c>
      <c r="F492" s="9">
        <v>58710.0</v>
      </c>
      <c r="G492" s="9">
        <v>564739.0</v>
      </c>
      <c r="H492" s="9">
        <v>564739.0</v>
      </c>
      <c r="I492" s="9">
        <v>0.0</v>
      </c>
      <c r="J492" s="9">
        <v>0.0</v>
      </c>
      <c r="K492" s="9">
        <v>0.0</v>
      </c>
      <c r="L492" s="9" t="s">
        <v>54</v>
      </c>
      <c r="M492" s="9" t="s">
        <v>55</v>
      </c>
      <c r="R492" s="9" t="s">
        <v>75</v>
      </c>
      <c r="S492" s="9" t="s">
        <v>57</v>
      </c>
      <c r="T492" s="9" t="s">
        <v>76</v>
      </c>
    </row>
    <row r="493" ht="15.75" customHeight="1">
      <c r="A493" s="9">
        <v>2052046.0</v>
      </c>
      <c r="B493" s="9">
        <v>852982.0</v>
      </c>
      <c r="C493" s="9">
        <v>31247.0</v>
      </c>
      <c r="D493" s="9" t="s">
        <v>52</v>
      </c>
      <c r="E493" s="9" t="s">
        <v>53</v>
      </c>
      <c r="F493" s="9">
        <v>58659.0</v>
      </c>
      <c r="G493" s="9">
        <v>852982.0</v>
      </c>
      <c r="H493" s="9">
        <v>852982.0</v>
      </c>
      <c r="I493" s="9">
        <v>21355.0</v>
      </c>
      <c r="J493" s="9">
        <v>0.0</v>
      </c>
      <c r="K493" s="9">
        <v>0.0</v>
      </c>
      <c r="L493" s="9" t="s">
        <v>54</v>
      </c>
      <c r="M493" s="9" t="s">
        <v>55</v>
      </c>
      <c r="R493" s="9" t="s">
        <v>75</v>
      </c>
      <c r="S493" s="9" t="s">
        <v>57</v>
      </c>
      <c r="T493" s="9" t="s">
        <v>76</v>
      </c>
    </row>
    <row r="494" ht="15.75" customHeight="1">
      <c r="A494" s="9">
        <v>2052245.0</v>
      </c>
      <c r="B494" s="9">
        <v>196590.0</v>
      </c>
      <c r="C494" s="9">
        <v>30648.0</v>
      </c>
      <c r="D494" s="9" t="s">
        <v>52</v>
      </c>
      <c r="E494" s="9" t="s">
        <v>53</v>
      </c>
      <c r="F494" s="9">
        <v>48320.0</v>
      </c>
      <c r="G494" s="9">
        <v>196590.0</v>
      </c>
      <c r="H494" s="9">
        <v>196590.0</v>
      </c>
      <c r="I494" s="9">
        <v>136331.09</v>
      </c>
      <c r="J494" s="9">
        <v>0.0</v>
      </c>
      <c r="K494" s="9">
        <v>0.0</v>
      </c>
      <c r="L494" s="9" t="s">
        <v>69</v>
      </c>
      <c r="M494" s="9" t="s">
        <v>55</v>
      </c>
      <c r="N494" s="9">
        <v>196994.84</v>
      </c>
      <c r="O494" s="9">
        <v>182096.06</v>
      </c>
      <c r="R494" s="9" t="s">
        <v>60</v>
      </c>
      <c r="S494" s="9" t="s">
        <v>57</v>
      </c>
      <c r="T494" s="9" t="s">
        <v>61</v>
      </c>
      <c r="V494" s="9">
        <v>197571.84</v>
      </c>
      <c r="W494" s="9">
        <v>0.0</v>
      </c>
      <c r="X494" s="9">
        <v>0.0</v>
      </c>
    </row>
    <row r="495" ht="15.75" customHeight="1">
      <c r="A495" s="9">
        <v>2052246.0</v>
      </c>
      <c r="B495" s="9">
        <v>662812.0</v>
      </c>
      <c r="C495" s="9">
        <v>30704.0</v>
      </c>
      <c r="D495" s="9" t="s">
        <v>52</v>
      </c>
      <c r="E495" s="9" t="s">
        <v>53</v>
      </c>
      <c r="F495" s="9">
        <v>52937.0</v>
      </c>
      <c r="G495" s="9">
        <v>1022046.01</v>
      </c>
      <c r="H495" s="9">
        <v>888434.2</v>
      </c>
      <c r="I495" s="9">
        <v>888434.2</v>
      </c>
      <c r="J495" s="9">
        <v>0.0</v>
      </c>
      <c r="K495" s="9">
        <v>0.0</v>
      </c>
      <c r="L495" s="9" t="s">
        <v>69</v>
      </c>
      <c r="M495" s="9" t="s">
        <v>55</v>
      </c>
      <c r="N495" s="9">
        <v>932626.61</v>
      </c>
      <c r="O495" s="9">
        <v>839363.95</v>
      </c>
      <c r="P495" s="9">
        <v>57900.0</v>
      </c>
      <c r="Q495" s="9">
        <v>57900.0</v>
      </c>
      <c r="R495" s="9" t="s">
        <v>60</v>
      </c>
      <c r="S495" s="9" t="s">
        <v>57</v>
      </c>
      <c r="T495" s="9" t="s">
        <v>61</v>
      </c>
      <c r="V495" s="9">
        <v>839364.0</v>
      </c>
      <c r="W495" s="9">
        <v>49070.25</v>
      </c>
      <c r="X495" s="9">
        <v>0.0</v>
      </c>
    </row>
    <row r="496" ht="15.75" customHeight="1">
      <c r="A496" s="9">
        <v>2054303.0</v>
      </c>
      <c r="B496" s="9">
        <v>410094.0</v>
      </c>
      <c r="C496" s="9">
        <v>30176.0</v>
      </c>
      <c r="D496" s="9" t="s">
        <v>52</v>
      </c>
      <c r="E496" s="9" t="s">
        <v>53</v>
      </c>
      <c r="F496" s="9">
        <v>50124.0</v>
      </c>
      <c r="G496" s="9">
        <v>410094.0</v>
      </c>
      <c r="H496" s="9">
        <v>410094.0</v>
      </c>
      <c r="I496" s="9">
        <v>220047.0</v>
      </c>
      <c r="J496" s="9">
        <v>0.0</v>
      </c>
      <c r="K496" s="9">
        <v>0.0</v>
      </c>
      <c r="L496" s="9" t="s">
        <v>69</v>
      </c>
      <c r="M496" s="9" t="s">
        <v>55</v>
      </c>
      <c r="N496" s="9">
        <v>427145.58</v>
      </c>
      <c r="O496" s="9">
        <v>448340.31</v>
      </c>
      <c r="P496" s="9">
        <v>427145.58</v>
      </c>
      <c r="Q496" s="9">
        <v>12000.0</v>
      </c>
      <c r="R496" s="9" t="s">
        <v>60</v>
      </c>
      <c r="S496" s="9" t="s">
        <v>57</v>
      </c>
      <c r="T496" s="9" t="s">
        <v>61</v>
      </c>
      <c r="V496" s="9">
        <v>427145.58</v>
      </c>
      <c r="W496" s="9">
        <v>12000.0</v>
      </c>
      <c r="X496" s="9">
        <v>0.0</v>
      </c>
    </row>
    <row r="497" ht="15.75" customHeight="1">
      <c r="A497" s="9">
        <v>2054318.0</v>
      </c>
      <c r="B497" s="9">
        <v>5560154.0</v>
      </c>
      <c r="C497" s="9">
        <v>33359.0</v>
      </c>
      <c r="D497" s="9" t="s">
        <v>52</v>
      </c>
      <c r="E497" s="9" t="s">
        <v>53</v>
      </c>
      <c r="F497" s="9">
        <v>46754.0</v>
      </c>
      <c r="G497" s="9">
        <v>8486300.0</v>
      </c>
      <c r="H497" s="9">
        <v>8486300.0</v>
      </c>
      <c r="I497" s="9">
        <v>7469586.96</v>
      </c>
      <c r="J497" s="9">
        <v>0.0</v>
      </c>
      <c r="K497" s="9">
        <v>0.0</v>
      </c>
      <c r="L497" s="9" t="s">
        <v>59</v>
      </c>
      <c r="M497" s="9" t="s">
        <v>62</v>
      </c>
      <c r="N497" s="9">
        <v>2380629.0</v>
      </c>
      <c r="O497" s="9">
        <v>2380628.55</v>
      </c>
      <c r="P497" s="9">
        <v>75000.0</v>
      </c>
      <c r="Q497" s="9">
        <v>75000.0</v>
      </c>
      <c r="R497" s="9" t="s">
        <v>60</v>
      </c>
      <c r="S497" s="9" t="s">
        <v>57</v>
      </c>
      <c r="T497" s="9" t="s">
        <v>61</v>
      </c>
      <c r="V497" s="9">
        <v>2440211.11</v>
      </c>
      <c r="W497" s="9">
        <v>75000.0</v>
      </c>
      <c r="X497" s="9">
        <v>0.0</v>
      </c>
    </row>
    <row r="498" ht="15.75" customHeight="1">
      <c r="A498" s="9">
        <v>2054336.0</v>
      </c>
      <c r="B498" s="9">
        <v>2452655.0</v>
      </c>
      <c r="C498" s="9">
        <v>30553.0</v>
      </c>
      <c r="D498" s="9" t="s">
        <v>52</v>
      </c>
      <c r="E498" s="9" t="s">
        <v>53</v>
      </c>
      <c r="F498" s="9">
        <v>60700.0</v>
      </c>
      <c r="G498" s="9">
        <v>2678602.66</v>
      </c>
      <c r="H498" s="9">
        <v>2678602.66</v>
      </c>
      <c r="I498" s="9">
        <v>2690175.9</v>
      </c>
      <c r="J498" s="9">
        <v>0.0</v>
      </c>
      <c r="K498" s="9">
        <v>0.0</v>
      </c>
      <c r="L498" s="9" t="s">
        <v>69</v>
      </c>
      <c r="M498" s="9" t="s">
        <v>55</v>
      </c>
      <c r="N498" s="9">
        <v>2488018.96</v>
      </c>
      <c r="O498" s="9">
        <v>2488018.96</v>
      </c>
      <c r="P498" s="9">
        <v>124666.7</v>
      </c>
      <c r="Q498" s="9">
        <v>124666.7</v>
      </c>
      <c r="R498" s="9" t="s">
        <v>72</v>
      </c>
      <c r="S498" s="9" t="s">
        <v>57</v>
      </c>
      <c r="T498" s="9" t="s">
        <v>73</v>
      </c>
      <c r="V498" s="9">
        <v>2558382.98</v>
      </c>
      <c r="W498" s="9">
        <v>124666.7</v>
      </c>
      <c r="X498" s="9">
        <v>0.0</v>
      </c>
    </row>
    <row r="499" ht="15.75" customHeight="1">
      <c r="A499" s="9">
        <v>2054354.0</v>
      </c>
      <c r="B499" s="9">
        <v>1049500.0</v>
      </c>
      <c r="C499" s="9">
        <v>29729.0</v>
      </c>
      <c r="D499" s="9" t="s">
        <v>52</v>
      </c>
      <c r="E499" s="9" t="s">
        <v>53</v>
      </c>
      <c r="F499" s="9">
        <v>54357.0</v>
      </c>
      <c r="G499" s="9">
        <v>1049500.0</v>
      </c>
      <c r="H499" s="9">
        <v>1049500.0</v>
      </c>
      <c r="I499" s="9">
        <v>0.0</v>
      </c>
      <c r="J499" s="9">
        <v>0.0</v>
      </c>
      <c r="K499" s="9">
        <v>0.0</v>
      </c>
      <c r="L499" s="9" t="s">
        <v>54</v>
      </c>
      <c r="M499" s="9" t="s">
        <v>65</v>
      </c>
      <c r="N499" s="9">
        <v>31485.0</v>
      </c>
      <c r="O499" s="9">
        <v>31485.0</v>
      </c>
      <c r="R499" s="9" t="s">
        <v>60</v>
      </c>
      <c r="S499" s="9" t="s">
        <v>57</v>
      </c>
      <c r="T499" s="9" t="s">
        <v>61</v>
      </c>
      <c r="V499" s="9">
        <v>31485.0</v>
      </c>
      <c r="W499" s="9">
        <v>0.0</v>
      </c>
    </row>
    <row r="500" ht="15.75" customHeight="1">
      <c r="A500" s="9">
        <v>2055858.0</v>
      </c>
      <c r="B500" s="9">
        <v>2.8143232E7</v>
      </c>
      <c r="C500" s="9">
        <v>30022.0</v>
      </c>
      <c r="D500" s="9" t="s">
        <v>52</v>
      </c>
      <c r="E500" s="9" t="s">
        <v>53</v>
      </c>
      <c r="F500" s="9">
        <v>55506.0</v>
      </c>
      <c r="G500" s="9">
        <v>5.0338051E7</v>
      </c>
      <c r="H500" s="9">
        <v>6.919575993E7</v>
      </c>
      <c r="I500" s="9">
        <v>6.505641173E7</v>
      </c>
      <c r="J500" s="9">
        <v>166515.95</v>
      </c>
      <c r="K500" s="9">
        <v>3328834.0</v>
      </c>
      <c r="L500" s="9" t="s">
        <v>59</v>
      </c>
      <c r="M500" s="9" t="s">
        <v>55</v>
      </c>
      <c r="N500" s="9">
        <v>2.163391716E7</v>
      </c>
      <c r="O500" s="9">
        <v>2.162805922E7</v>
      </c>
      <c r="P500" s="9">
        <v>258141.46</v>
      </c>
      <c r="Q500" s="9">
        <v>258141.46</v>
      </c>
      <c r="R500" s="9" t="s">
        <v>106</v>
      </c>
      <c r="S500" s="9" t="s">
        <v>82</v>
      </c>
      <c r="T500" s="9" t="s">
        <v>107</v>
      </c>
      <c r="U500" s="9" t="s">
        <v>108</v>
      </c>
    </row>
    <row r="501" ht="15.75" customHeight="1">
      <c r="A501" s="9">
        <v>2056440.0</v>
      </c>
      <c r="B501" s="9">
        <v>1.7039054E7</v>
      </c>
      <c r="C501" s="9">
        <v>30798.0</v>
      </c>
      <c r="D501" s="9" t="s">
        <v>52</v>
      </c>
      <c r="E501" s="9" t="s">
        <v>53</v>
      </c>
      <c r="F501" s="9">
        <v>62328.0</v>
      </c>
      <c r="G501" s="9">
        <v>2.17822516E7</v>
      </c>
      <c r="H501" s="9">
        <v>3.975824766E7</v>
      </c>
      <c r="I501" s="9">
        <v>2.808417358E7</v>
      </c>
      <c r="J501" s="9">
        <v>0.0</v>
      </c>
      <c r="K501" s="9">
        <v>0.0</v>
      </c>
      <c r="L501" s="9" t="s">
        <v>59</v>
      </c>
      <c r="M501" s="9" t="s">
        <v>55</v>
      </c>
      <c r="N501" s="9">
        <v>2.05831318E7</v>
      </c>
      <c r="O501" s="9">
        <v>2.05831318E7</v>
      </c>
      <c r="P501" s="9">
        <v>660425.0</v>
      </c>
      <c r="Q501" s="9">
        <v>594382.5</v>
      </c>
      <c r="R501" s="9" t="s">
        <v>96</v>
      </c>
      <c r="S501" s="9" t="s">
        <v>78</v>
      </c>
      <c r="T501" s="9" t="s">
        <v>79</v>
      </c>
      <c r="U501" s="9" t="s">
        <v>97</v>
      </c>
    </row>
    <row r="502" ht="15.75" customHeight="1">
      <c r="A502" s="9">
        <v>2056443.0</v>
      </c>
      <c r="B502" s="9">
        <v>2.0412346E7</v>
      </c>
      <c r="C502" s="9">
        <v>30446.0</v>
      </c>
      <c r="D502" s="9" t="s">
        <v>52</v>
      </c>
      <c r="E502" s="9" t="s">
        <v>53</v>
      </c>
      <c r="F502" s="9">
        <v>46517.0</v>
      </c>
      <c r="G502" s="9">
        <v>2.2358927E7</v>
      </c>
      <c r="H502" s="9">
        <v>2.2358927E7</v>
      </c>
      <c r="I502" s="9">
        <v>0.0</v>
      </c>
      <c r="J502" s="9">
        <v>0.0</v>
      </c>
      <c r="K502" s="9">
        <v>0.0</v>
      </c>
      <c r="L502" s="9" t="s">
        <v>54</v>
      </c>
      <c r="M502" s="9" t="s">
        <v>55</v>
      </c>
      <c r="N502" s="9">
        <v>2.184018815E7</v>
      </c>
      <c r="O502" s="9">
        <v>2.129418345E7</v>
      </c>
      <c r="P502" s="9">
        <v>2.184018815E7</v>
      </c>
      <c r="Q502" s="9">
        <v>321786.0</v>
      </c>
      <c r="R502" s="9" t="s">
        <v>60</v>
      </c>
      <c r="S502" s="9" t="s">
        <v>57</v>
      </c>
      <c r="T502" s="9" t="s">
        <v>61</v>
      </c>
      <c r="V502" s="9">
        <v>2.227224929E7</v>
      </c>
      <c r="W502" s="9">
        <v>0.0</v>
      </c>
      <c r="X502" s="9">
        <v>0.0</v>
      </c>
    </row>
    <row r="503" ht="15.75" customHeight="1">
      <c r="A503" s="9">
        <v>2057179.0</v>
      </c>
      <c r="B503" s="9">
        <v>3353534.0</v>
      </c>
      <c r="C503" s="9">
        <v>29865.0</v>
      </c>
      <c r="D503" s="9" t="s">
        <v>52</v>
      </c>
      <c r="E503" s="9" t="s">
        <v>53</v>
      </c>
      <c r="F503" s="9">
        <v>50731.0</v>
      </c>
      <c r="G503" s="9">
        <v>3353534.0</v>
      </c>
      <c r="H503" s="9">
        <v>3353534.0</v>
      </c>
      <c r="I503" s="9">
        <v>3474667.95</v>
      </c>
      <c r="J503" s="9">
        <v>0.0</v>
      </c>
      <c r="K503" s="9">
        <v>0.0</v>
      </c>
      <c r="L503" s="9" t="s">
        <v>69</v>
      </c>
      <c r="M503" s="9" t="s">
        <v>55</v>
      </c>
      <c r="N503" s="9">
        <v>3274552.0</v>
      </c>
      <c r="O503" s="9">
        <v>3274552.46</v>
      </c>
      <c r="R503" s="9" t="s">
        <v>56</v>
      </c>
      <c r="S503" s="9" t="s">
        <v>57</v>
      </c>
      <c r="T503" s="9" t="s">
        <v>58</v>
      </c>
      <c r="V503" s="9">
        <v>3031775.23</v>
      </c>
      <c r="W503" s="9">
        <v>0.0</v>
      </c>
      <c r="X503" s="9">
        <v>0.0</v>
      </c>
    </row>
    <row r="504" ht="15.75" customHeight="1">
      <c r="A504" s="9">
        <v>2057312.0</v>
      </c>
      <c r="B504" s="9">
        <v>1291298.0</v>
      </c>
      <c r="C504" s="9">
        <v>31251.0</v>
      </c>
      <c r="D504" s="9" t="s">
        <v>52</v>
      </c>
      <c r="E504" s="9" t="s">
        <v>53</v>
      </c>
      <c r="F504" s="9">
        <v>64125.0</v>
      </c>
      <c r="G504" s="9">
        <v>1291298.0</v>
      </c>
      <c r="H504" s="9">
        <v>1291298.0</v>
      </c>
      <c r="I504" s="9">
        <v>21114.0</v>
      </c>
      <c r="J504" s="9">
        <v>0.0</v>
      </c>
      <c r="K504" s="9">
        <v>0.0</v>
      </c>
      <c r="L504" s="9" t="s">
        <v>54</v>
      </c>
      <c r="M504" s="9" t="s">
        <v>55</v>
      </c>
      <c r="R504" s="9" t="s">
        <v>75</v>
      </c>
      <c r="S504" s="9" t="s">
        <v>57</v>
      </c>
      <c r="T504" s="9" t="s">
        <v>76</v>
      </c>
    </row>
    <row r="505" ht="15.75" customHeight="1">
      <c r="A505" s="9">
        <v>2058097.0</v>
      </c>
      <c r="B505" s="9">
        <v>187800.0</v>
      </c>
      <c r="C505" s="9">
        <v>31185.0</v>
      </c>
      <c r="D505" s="9" t="s">
        <v>52</v>
      </c>
      <c r="E505" s="9" t="s">
        <v>53</v>
      </c>
      <c r="F505" s="9">
        <v>58493.0</v>
      </c>
      <c r="G505" s="9">
        <v>187800.0</v>
      </c>
      <c r="H505" s="9">
        <v>187800.0</v>
      </c>
      <c r="I505" s="9">
        <v>202165.83</v>
      </c>
      <c r="J505" s="9">
        <v>0.0</v>
      </c>
      <c r="K505" s="9">
        <v>0.0</v>
      </c>
      <c r="L505" s="9" t="s">
        <v>59</v>
      </c>
      <c r="M505" s="9" t="s">
        <v>55</v>
      </c>
      <c r="N505" s="9">
        <v>202576.57</v>
      </c>
      <c r="O505" s="9">
        <v>182318.91</v>
      </c>
      <c r="R505" s="9" t="s">
        <v>60</v>
      </c>
      <c r="S505" s="9" t="s">
        <v>57</v>
      </c>
      <c r="T505" s="9" t="s">
        <v>61</v>
      </c>
      <c r="V505" s="9">
        <v>182318.91</v>
      </c>
      <c r="W505" s="9">
        <v>5481.09</v>
      </c>
      <c r="X505" s="9">
        <v>0.0</v>
      </c>
    </row>
    <row r="506" ht="15.75" customHeight="1">
      <c r="A506" s="9">
        <v>2058415.0</v>
      </c>
      <c r="B506" s="9">
        <v>137957.0</v>
      </c>
      <c r="C506" s="9">
        <v>31120.0</v>
      </c>
      <c r="D506" s="9" t="s">
        <v>52</v>
      </c>
      <c r="E506" s="9" t="s">
        <v>53</v>
      </c>
      <c r="F506" s="9">
        <v>51524.0</v>
      </c>
      <c r="G506" s="9">
        <v>137957.0</v>
      </c>
      <c r="H506" s="9">
        <v>137957.0</v>
      </c>
      <c r="I506" s="9">
        <v>160464.0</v>
      </c>
      <c r="J506" s="9">
        <v>0.0</v>
      </c>
      <c r="K506" s="9">
        <v>0.0</v>
      </c>
      <c r="L506" s="9" t="s">
        <v>69</v>
      </c>
      <c r="M506" s="9" t="s">
        <v>55</v>
      </c>
      <c r="R506" s="9" t="s">
        <v>60</v>
      </c>
      <c r="S506" s="9" t="s">
        <v>57</v>
      </c>
      <c r="T506" s="9" t="s">
        <v>61</v>
      </c>
      <c r="V506" s="9">
        <v>160464.0</v>
      </c>
      <c r="W506" s="9">
        <v>0.0</v>
      </c>
      <c r="X506" s="9">
        <v>0.0</v>
      </c>
    </row>
    <row r="507" ht="15.75" customHeight="1">
      <c r="A507" s="9">
        <v>2058716.0</v>
      </c>
      <c r="B507" s="9">
        <v>830046.0</v>
      </c>
      <c r="C507" s="9">
        <v>30992.0</v>
      </c>
      <c r="D507" s="9" t="s">
        <v>52</v>
      </c>
      <c r="E507" s="9" t="s">
        <v>53</v>
      </c>
      <c r="F507" s="9">
        <v>55698.0</v>
      </c>
      <c r="G507" s="9">
        <v>830046.0</v>
      </c>
      <c r="H507" s="9">
        <v>830046.0</v>
      </c>
      <c r="I507" s="9">
        <v>664037.4</v>
      </c>
      <c r="J507" s="9">
        <v>0.0</v>
      </c>
      <c r="K507" s="9">
        <v>0.0</v>
      </c>
      <c r="L507" s="9" t="s">
        <v>69</v>
      </c>
      <c r="M507" s="9" t="s">
        <v>55</v>
      </c>
      <c r="R507" s="9" t="s">
        <v>60</v>
      </c>
      <c r="S507" s="9" t="s">
        <v>57</v>
      </c>
      <c r="T507" s="9" t="s">
        <v>61</v>
      </c>
      <c r="V507" s="9">
        <v>653958.07</v>
      </c>
      <c r="W507" s="9">
        <v>10079.33</v>
      </c>
      <c r="X507" s="9">
        <v>0.0</v>
      </c>
    </row>
    <row r="508" ht="15.75" customHeight="1">
      <c r="A508" s="9">
        <v>2059636.0</v>
      </c>
      <c r="B508" s="9">
        <v>3361556.0</v>
      </c>
      <c r="C508" s="9">
        <v>31174.0</v>
      </c>
      <c r="D508" s="9" t="s">
        <v>52</v>
      </c>
      <c r="E508" s="9" t="s">
        <v>53</v>
      </c>
      <c r="F508" s="9">
        <v>37025.0</v>
      </c>
      <c r="G508" s="9">
        <v>3323159.6</v>
      </c>
      <c r="H508" s="9">
        <v>3323159.6</v>
      </c>
      <c r="I508" s="9">
        <v>3292022.14</v>
      </c>
      <c r="J508" s="9">
        <v>0.0</v>
      </c>
      <c r="K508" s="9">
        <v>0.0</v>
      </c>
      <c r="L508" s="9" t="s">
        <v>69</v>
      </c>
      <c r="M508" s="9" t="s">
        <v>55</v>
      </c>
      <c r="R508" s="9" t="s">
        <v>60</v>
      </c>
      <c r="S508" s="9" t="s">
        <v>57</v>
      </c>
      <c r="T508" s="9" t="s">
        <v>61</v>
      </c>
      <c r="V508" s="9">
        <v>3194763.13</v>
      </c>
      <c r="W508" s="9">
        <v>67700.0</v>
      </c>
      <c r="X508" s="9">
        <v>0.0</v>
      </c>
    </row>
    <row r="509" ht="15.75" customHeight="1">
      <c r="A509" s="9">
        <v>2063429.0</v>
      </c>
      <c r="B509" s="9">
        <v>3412956.0</v>
      </c>
      <c r="C509" s="9">
        <v>32258.0</v>
      </c>
      <c r="D509" s="9" t="s">
        <v>52</v>
      </c>
      <c r="E509" s="9" t="s">
        <v>53</v>
      </c>
      <c r="F509" s="9">
        <v>44482.0</v>
      </c>
      <c r="G509" s="9">
        <v>4192059.06</v>
      </c>
      <c r="H509" s="9">
        <v>4192059.06</v>
      </c>
      <c r="I509" s="9">
        <v>4192058.42</v>
      </c>
      <c r="J509" s="9">
        <v>0.0</v>
      </c>
      <c r="K509" s="9">
        <v>0.0</v>
      </c>
      <c r="L509" s="9" t="s">
        <v>59</v>
      </c>
      <c r="M509" s="9" t="s">
        <v>55</v>
      </c>
      <c r="N509" s="9">
        <v>3848841.65</v>
      </c>
      <c r="O509" s="9">
        <v>3848841.65</v>
      </c>
      <c r="P509" s="9">
        <v>91351.0</v>
      </c>
      <c r="Q509" s="9">
        <v>91351.0</v>
      </c>
      <c r="R509" s="9" t="s">
        <v>60</v>
      </c>
      <c r="S509" s="9" t="s">
        <v>57</v>
      </c>
      <c r="T509" s="9" t="s">
        <v>61</v>
      </c>
      <c r="V509" s="9">
        <v>3914001.29</v>
      </c>
      <c r="W509" s="9">
        <v>72855.51</v>
      </c>
      <c r="X509" s="9">
        <v>0.0</v>
      </c>
    </row>
    <row r="510" ht="15.75" customHeight="1">
      <c r="A510" s="9">
        <v>2064965.0</v>
      </c>
      <c r="B510" s="9">
        <v>98668.0</v>
      </c>
      <c r="C510" s="9">
        <v>30511.0</v>
      </c>
      <c r="D510" s="9" t="s">
        <v>52</v>
      </c>
      <c r="E510" s="9" t="s">
        <v>53</v>
      </c>
      <c r="F510" s="9">
        <v>50244.0</v>
      </c>
      <c r="G510" s="9">
        <v>98668.0</v>
      </c>
      <c r="H510" s="9">
        <v>98668.0</v>
      </c>
      <c r="I510" s="9">
        <v>0.0</v>
      </c>
      <c r="J510" s="9">
        <v>0.0</v>
      </c>
      <c r="K510" s="9">
        <v>0.0</v>
      </c>
      <c r="L510" s="9" t="s">
        <v>54</v>
      </c>
      <c r="M510" s="9" t="s">
        <v>55</v>
      </c>
      <c r="N510" s="9">
        <v>98668.0</v>
      </c>
      <c r="O510" s="9">
        <v>108041.46</v>
      </c>
      <c r="P510" s="9">
        <v>98668.0</v>
      </c>
      <c r="Q510" s="9">
        <v>0.0</v>
      </c>
      <c r="R510" s="9" t="s">
        <v>75</v>
      </c>
      <c r="S510" s="9" t="s">
        <v>57</v>
      </c>
      <c r="T510" s="9" t="s">
        <v>76</v>
      </c>
    </row>
    <row r="511" ht="15.75" customHeight="1">
      <c r="A511" s="9">
        <v>2064997.0</v>
      </c>
      <c r="B511" s="9">
        <v>631290.0</v>
      </c>
      <c r="C511" s="9">
        <v>30986.0</v>
      </c>
      <c r="D511" s="9" t="s">
        <v>52</v>
      </c>
      <c r="E511" s="9" t="s">
        <v>53</v>
      </c>
      <c r="F511" s="9">
        <v>50721.0</v>
      </c>
      <c r="G511" s="9">
        <v>631290.0</v>
      </c>
      <c r="H511" s="9">
        <v>631289.83</v>
      </c>
      <c r="I511" s="9">
        <v>223243.77</v>
      </c>
      <c r="J511" s="9">
        <v>0.0</v>
      </c>
      <c r="K511" s="9">
        <v>0.0</v>
      </c>
      <c r="L511" s="9" t="s">
        <v>69</v>
      </c>
      <c r="M511" s="9" t="s">
        <v>55</v>
      </c>
      <c r="R511" s="9" t="s">
        <v>60</v>
      </c>
      <c r="S511" s="9" t="s">
        <v>57</v>
      </c>
      <c r="T511" s="9" t="s">
        <v>61</v>
      </c>
      <c r="V511" s="9">
        <v>545550.0</v>
      </c>
      <c r="W511" s="9">
        <v>0.0</v>
      </c>
      <c r="X511" s="9">
        <v>0.0</v>
      </c>
    </row>
    <row r="512" ht="15.75" customHeight="1">
      <c r="A512" s="9">
        <v>2065116.0</v>
      </c>
      <c r="B512" s="9">
        <v>648661.0</v>
      </c>
      <c r="C512" s="9">
        <v>29917.0</v>
      </c>
      <c r="D512" s="9" t="s">
        <v>52</v>
      </c>
      <c r="E512" s="9" t="s">
        <v>53</v>
      </c>
      <c r="F512" s="9">
        <v>51982.0</v>
      </c>
      <c r="G512" s="9">
        <v>648661.0</v>
      </c>
      <c r="H512" s="9">
        <v>648661.0</v>
      </c>
      <c r="I512" s="9">
        <v>147371.72</v>
      </c>
      <c r="J512" s="9">
        <v>0.0</v>
      </c>
      <c r="K512" s="9">
        <v>0.0</v>
      </c>
      <c r="L512" s="9" t="s">
        <v>59</v>
      </c>
      <c r="M512" s="9" t="s">
        <v>55</v>
      </c>
      <c r="N512" s="9">
        <v>720734.45</v>
      </c>
      <c r="O512" s="9">
        <v>720734.45</v>
      </c>
      <c r="P512" s="9">
        <v>20900.0</v>
      </c>
      <c r="Q512" s="9">
        <v>20900.0</v>
      </c>
      <c r="R512" s="9" t="s">
        <v>60</v>
      </c>
      <c r="S512" s="9" t="s">
        <v>57</v>
      </c>
      <c r="T512" s="9" t="s">
        <v>61</v>
      </c>
      <c r="V512" s="9">
        <v>720734.45</v>
      </c>
      <c r="W512" s="9">
        <v>0.0</v>
      </c>
      <c r="X512" s="9">
        <v>0.0</v>
      </c>
    </row>
    <row r="513" ht="15.75" customHeight="1">
      <c r="A513" s="9">
        <v>2065151.0</v>
      </c>
      <c r="B513" s="9">
        <v>1528430.0</v>
      </c>
      <c r="C513" s="9">
        <v>30445.0</v>
      </c>
      <c r="D513" s="9" t="s">
        <v>52</v>
      </c>
      <c r="E513" s="9" t="s">
        <v>53</v>
      </c>
      <c r="F513" s="9">
        <v>52488.0</v>
      </c>
      <c r="G513" s="9">
        <v>1528430.0</v>
      </c>
      <c r="H513" s="9">
        <v>1528430.0</v>
      </c>
      <c r="I513" s="9">
        <v>36031.54</v>
      </c>
      <c r="J513" s="9">
        <v>0.0</v>
      </c>
      <c r="K513" s="9">
        <v>0.0</v>
      </c>
      <c r="L513" s="9" t="s">
        <v>59</v>
      </c>
      <c r="M513" s="9" t="s">
        <v>55</v>
      </c>
      <c r="N513" s="9">
        <v>1720396.86</v>
      </c>
      <c r="O513" s="9">
        <v>1720396.86</v>
      </c>
      <c r="P513" s="9">
        <v>50000.0</v>
      </c>
      <c r="Q513" s="9">
        <v>50000.0</v>
      </c>
      <c r="R513" s="9" t="s">
        <v>60</v>
      </c>
      <c r="S513" s="9" t="s">
        <v>57</v>
      </c>
      <c r="T513" s="9" t="s">
        <v>61</v>
      </c>
      <c r="V513" s="9">
        <v>1889456.93</v>
      </c>
      <c r="W513" s="9">
        <v>0.0</v>
      </c>
      <c r="X513" s="9">
        <v>0.0</v>
      </c>
    </row>
    <row r="514" ht="15.75" customHeight="1">
      <c r="A514" s="9">
        <v>2065166.0</v>
      </c>
      <c r="B514" s="9">
        <v>1999277.0</v>
      </c>
      <c r="C514" s="9">
        <v>29593.0</v>
      </c>
      <c r="D514" s="9" t="s">
        <v>52</v>
      </c>
      <c r="E514" s="9" t="s">
        <v>53</v>
      </c>
      <c r="F514" s="9">
        <v>52778.0</v>
      </c>
      <c r="G514" s="9">
        <v>1999277.0</v>
      </c>
      <c r="H514" s="9">
        <v>1999277.0</v>
      </c>
      <c r="I514" s="9">
        <v>0.0</v>
      </c>
      <c r="J514" s="9">
        <v>0.0</v>
      </c>
      <c r="K514" s="9">
        <v>0.0</v>
      </c>
      <c r="L514" s="9" t="s">
        <v>54</v>
      </c>
      <c r="M514" s="9" t="s">
        <v>65</v>
      </c>
      <c r="N514" s="9">
        <v>40000.0</v>
      </c>
      <c r="O514" s="9">
        <v>40000.0</v>
      </c>
      <c r="R514" s="9" t="s">
        <v>92</v>
      </c>
      <c r="S514" s="9" t="s">
        <v>57</v>
      </c>
      <c r="T514" s="9" t="s">
        <v>93</v>
      </c>
    </row>
    <row r="515" ht="15.75" customHeight="1">
      <c r="A515" s="9">
        <v>2065416.0</v>
      </c>
      <c r="B515" s="9">
        <v>1977445.0</v>
      </c>
      <c r="C515" s="9">
        <v>30422.0</v>
      </c>
      <c r="D515" s="9" t="s">
        <v>52</v>
      </c>
      <c r="E515" s="9" t="s">
        <v>53</v>
      </c>
      <c r="F515" s="9">
        <v>56113.0</v>
      </c>
      <c r="G515" s="9">
        <v>2157000.01</v>
      </c>
      <c r="H515" s="9">
        <v>2157000.01</v>
      </c>
      <c r="I515" s="9">
        <v>2353833.26</v>
      </c>
      <c r="J515" s="9">
        <v>0.0</v>
      </c>
      <c r="K515" s="9">
        <v>0.0</v>
      </c>
      <c r="L515" s="9" t="s">
        <v>59</v>
      </c>
      <c r="M515" s="9" t="s">
        <v>55</v>
      </c>
      <c r="N515" s="9">
        <v>2193638.0</v>
      </c>
      <c r="O515" s="9">
        <v>2183033.7</v>
      </c>
      <c r="P515" s="9">
        <v>2193638.0</v>
      </c>
      <c r="Q515" s="9">
        <v>120000.0</v>
      </c>
      <c r="R515" s="9" t="s">
        <v>60</v>
      </c>
      <c r="S515" s="9" t="s">
        <v>57</v>
      </c>
      <c r="T515" s="9" t="s">
        <v>61</v>
      </c>
      <c r="V515" s="9">
        <v>2183033.7</v>
      </c>
      <c r="W515" s="9">
        <v>120000.0</v>
      </c>
      <c r="X515" s="9">
        <v>0.0</v>
      </c>
    </row>
    <row r="516" ht="15.75" customHeight="1">
      <c r="A516" s="9">
        <v>2065669.0</v>
      </c>
      <c r="B516" s="9">
        <v>1918112.0</v>
      </c>
      <c r="C516" s="9">
        <v>30424.0</v>
      </c>
      <c r="D516" s="9" t="s">
        <v>52</v>
      </c>
      <c r="E516" s="9" t="s">
        <v>53</v>
      </c>
      <c r="F516" s="9">
        <v>58488.0</v>
      </c>
      <c r="G516" s="9">
        <v>2109520.0</v>
      </c>
      <c r="H516" s="9">
        <v>2109520.0</v>
      </c>
      <c r="I516" s="9">
        <v>2090585.12</v>
      </c>
      <c r="J516" s="9">
        <v>0.0</v>
      </c>
      <c r="K516" s="9">
        <v>0.0</v>
      </c>
      <c r="L516" s="9" t="s">
        <v>59</v>
      </c>
      <c r="M516" s="9" t="s">
        <v>55</v>
      </c>
      <c r="N516" s="9">
        <v>2018679.39</v>
      </c>
      <c r="O516" s="9">
        <v>2018679.39</v>
      </c>
      <c r="P516" s="9">
        <v>90840.57</v>
      </c>
      <c r="Q516" s="9">
        <v>81756.52</v>
      </c>
      <c r="R516" s="9" t="s">
        <v>60</v>
      </c>
      <c r="S516" s="9" t="s">
        <v>57</v>
      </c>
      <c r="T516" s="9" t="s">
        <v>61</v>
      </c>
      <c r="V516" s="9">
        <v>2010036.56</v>
      </c>
      <c r="W516" s="9">
        <v>0.0</v>
      </c>
      <c r="X516" s="9">
        <v>0.0</v>
      </c>
    </row>
    <row r="517" ht="15.75" customHeight="1">
      <c r="A517" s="9">
        <v>2065766.0</v>
      </c>
      <c r="B517" s="9">
        <v>706803.0</v>
      </c>
      <c r="C517" s="9">
        <v>31125.0</v>
      </c>
      <c r="D517" s="9" t="s">
        <v>52</v>
      </c>
      <c r="E517" s="9" t="s">
        <v>53</v>
      </c>
      <c r="F517" s="9">
        <v>59188.0</v>
      </c>
      <c r="G517" s="9">
        <v>706803.0</v>
      </c>
      <c r="H517" s="9">
        <v>706803.0</v>
      </c>
      <c r="I517" s="9">
        <v>599059.95</v>
      </c>
      <c r="J517" s="9">
        <v>0.0</v>
      </c>
      <c r="K517" s="9">
        <v>0.0</v>
      </c>
      <c r="L517" s="9" t="s">
        <v>69</v>
      </c>
      <c r="M517" s="9" t="s">
        <v>55</v>
      </c>
      <c r="R517" s="9" t="s">
        <v>60</v>
      </c>
      <c r="S517" s="9" t="s">
        <v>57</v>
      </c>
      <c r="T517" s="9" t="s">
        <v>61</v>
      </c>
      <c r="V517" s="9">
        <v>599059.95</v>
      </c>
      <c r="W517" s="9">
        <v>8100.0</v>
      </c>
      <c r="X517" s="9">
        <v>0.0</v>
      </c>
    </row>
    <row r="518" ht="15.75" customHeight="1">
      <c r="A518" s="9">
        <v>2065816.0</v>
      </c>
      <c r="B518" s="9">
        <v>1878171.0</v>
      </c>
      <c r="C518" s="9">
        <v>31208.0</v>
      </c>
      <c r="D518" s="9" t="s">
        <v>52</v>
      </c>
      <c r="E518" s="9" t="s">
        <v>53</v>
      </c>
      <c r="F518" s="9">
        <v>59641.0</v>
      </c>
      <c r="G518" s="9">
        <v>1878171.0</v>
      </c>
      <c r="H518" s="9">
        <v>1878171.0</v>
      </c>
      <c r="I518" s="9">
        <v>824220.69</v>
      </c>
      <c r="J518" s="9">
        <v>0.0</v>
      </c>
      <c r="K518" s="9">
        <v>0.0</v>
      </c>
      <c r="L518" s="9" t="s">
        <v>59</v>
      </c>
      <c r="M518" s="9" t="s">
        <v>55</v>
      </c>
      <c r="R518" s="9" t="s">
        <v>60</v>
      </c>
      <c r="S518" s="9" t="s">
        <v>57</v>
      </c>
      <c r="T518" s="9" t="s">
        <v>61</v>
      </c>
      <c r="V518" s="9">
        <v>824220.69</v>
      </c>
      <c r="W518" s="9">
        <v>0.0</v>
      </c>
      <c r="X518" s="9">
        <v>0.0</v>
      </c>
    </row>
    <row r="519" ht="15.75" customHeight="1">
      <c r="A519" s="9">
        <v>2065902.0</v>
      </c>
      <c r="B519" s="9">
        <v>2777252.0</v>
      </c>
      <c r="C519" s="9">
        <v>29764.0</v>
      </c>
      <c r="D519" s="9" t="s">
        <v>52</v>
      </c>
      <c r="E519" s="9" t="s">
        <v>53</v>
      </c>
      <c r="F519" s="9">
        <v>60341.0</v>
      </c>
      <c r="G519" s="9">
        <v>2777252.0</v>
      </c>
      <c r="H519" s="9">
        <v>2777252.0</v>
      </c>
      <c r="I519" s="9">
        <v>645549.91</v>
      </c>
      <c r="J519" s="9">
        <v>0.0</v>
      </c>
      <c r="K519" s="9">
        <v>0.0</v>
      </c>
      <c r="L519" s="9" t="s">
        <v>69</v>
      </c>
      <c r="M519" s="9" t="s">
        <v>65</v>
      </c>
      <c r="N519" s="9">
        <v>125744.0</v>
      </c>
      <c r="O519" s="9">
        <v>125744.0</v>
      </c>
      <c r="R519" s="9" t="s">
        <v>60</v>
      </c>
      <c r="S519" s="9" t="s">
        <v>57</v>
      </c>
      <c r="T519" s="9" t="s">
        <v>61</v>
      </c>
      <c r="V519" s="9">
        <v>125743.8</v>
      </c>
      <c r="W519" s="9">
        <v>0.0</v>
      </c>
    </row>
    <row r="520" ht="15.75" customHeight="1">
      <c r="A520" s="9">
        <v>2066019.0</v>
      </c>
      <c r="B520" s="9">
        <v>151239.0</v>
      </c>
      <c r="C520" s="9">
        <v>31123.0</v>
      </c>
      <c r="D520" s="9" t="s">
        <v>52</v>
      </c>
      <c r="E520" s="9" t="s">
        <v>53</v>
      </c>
      <c r="F520" s="9">
        <v>61261.0</v>
      </c>
      <c r="G520" s="9">
        <v>151239.0</v>
      </c>
      <c r="H520" s="9">
        <v>151239.0</v>
      </c>
      <c r="I520" s="9">
        <v>0.0</v>
      </c>
      <c r="J520" s="9">
        <v>0.0</v>
      </c>
      <c r="K520" s="9">
        <v>0.0</v>
      </c>
      <c r="L520" s="9" t="s">
        <v>54</v>
      </c>
      <c r="M520" s="9" t="s">
        <v>55</v>
      </c>
      <c r="R520" s="9" t="s">
        <v>60</v>
      </c>
      <c r="S520" s="9" t="s">
        <v>57</v>
      </c>
      <c r="T520" s="9" t="s">
        <v>61</v>
      </c>
      <c r="V520" s="9">
        <v>146702.0</v>
      </c>
      <c r="W520" s="9">
        <v>0.0</v>
      </c>
      <c r="X520" s="9">
        <v>0.0</v>
      </c>
    </row>
    <row r="521" ht="15.75" customHeight="1">
      <c r="A521" s="9">
        <v>2066033.0</v>
      </c>
      <c r="B521" s="9">
        <v>822219.0</v>
      </c>
      <c r="C521" s="9">
        <v>31121.0</v>
      </c>
      <c r="D521" s="9" t="s">
        <v>52</v>
      </c>
      <c r="E521" s="9" t="s">
        <v>53</v>
      </c>
      <c r="F521" s="9">
        <v>61286.0</v>
      </c>
      <c r="G521" s="9">
        <v>822219.0</v>
      </c>
      <c r="H521" s="9">
        <v>822219.0</v>
      </c>
      <c r="I521" s="9">
        <v>33836.63</v>
      </c>
      <c r="J521" s="9">
        <v>0.0</v>
      </c>
      <c r="K521" s="9">
        <v>0.0</v>
      </c>
      <c r="L521" s="9" t="s">
        <v>69</v>
      </c>
      <c r="M521" s="9" t="s">
        <v>55</v>
      </c>
      <c r="R521" s="9" t="s">
        <v>60</v>
      </c>
      <c r="S521" s="9" t="s">
        <v>57</v>
      </c>
      <c r="T521" s="9" t="s">
        <v>61</v>
      </c>
      <c r="V521" s="9">
        <v>658620.33</v>
      </c>
      <c r="W521" s="9">
        <v>0.0</v>
      </c>
      <c r="X521" s="9">
        <v>0.0</v>
      </c>
    </row>
    <row r="522" ht="15.75" customHeight="1">
      <c r="A522" s="9">
        <v>2066434.0</v>
      </c>
      <c r="B522" s="9">
        <v>5835566.0</v>
      </c>
      <c r="C522" s="9">
        <v>30441.0</v>
      </c>
      <c r="D522" s="9" t="s">
        <v>52</v>
      </c>
      <c r="E522" s="9" t="s">
        <v>53</v>
      </c>
      <c r="F522" s="9">
        <v>62325.0</v>
      </c>
      <c r="G522" s="9">
        <v>4340849.88</v>
      </c>
      <c r="H522" s="9">
        <v>4340849.88</v>
      </c>
      <c r="I522" s="9">
        <v>4349738.89</v>
      </c>
      <c r="J522" s="9">
        <v>0.0</v>
      </c>
      <c r="K522" s="9">
        <v>0.0</v>
      </c>
      <c r="L522" s="9" t="s">
        <v>59</v>
      </c>
      <c r="M522" s="9" t="s">
        <v>55</v>
      </c>
      <c r="N522" s="9">
        <v>4131274.98</v>
      </c>
      <c r="O522" s="9">
        <v>4131274.98</v>
      </c>
      <c r="P522" s="9">
        <v>102413.96</v>
      </c>
      <c r="Q522" s="9">
        <v>102413.96</v>
      </c>
      <c r="R522" s="9" t="s">
        <v>60</v>
      </c>
      <c r="S522" s="9" t="s">
        <v>57</v>
      </c>
      <c r="T522" s="9" t="s">
        <v>61</v>
      </c>
      <c r="V522" s="9">
        <v>4139114.99</v>
      </c>
      <c r="W522" s="9">
        <v>103008.34</v>
      </c>
      <c r="X522" s="9">
        <v>0.0</v>
      </c>
    </row>
    <row r="523" ht="15.75" customHeight="1">
      <c r="A523" s="9">
        <v>2066669.0</v>
      </c>
      <c r="B523" s="9">
        <v>2523932.0</v>
      </c>
      <c r="C523" s="9">
        <v>30523.0</v>
      </c>
      <c r="D523" s="9" t="s">
        <v>52</v>
      </c>
      <c r="E523" s="9" t="s">
        <v>53</v>
      </c>
      <c r="F523" s="9">
        <v>62992.0</v>
      </c>
      <c r="G523" s="9">
        <v>2523932.0</v>
      </c>
      <c r="H523" s="9">
        <v>2523932.0</v>
      </c>
      <c r="I523" s="9">
        <v>2558211.87</v>
      </c>
      <c r="J523" s="9">
        <v>0.0</v>
      </c>
      <c r="K523" s="9">
        <v>0.0</v>
      </c>
      <c r="L523" s="9" t="s">
        <v>69</v>
      </c>
      <c r="M523" s="9" t="s">
        <v>55</v>
      </c>
      <c r="N523" s="9">
        <v>2320190.33</v>
      </c>
      <c r="O523" s="9">
        <v>2320190.33</v>
      </c>
      <c r="P523" s="9">
        <v>64732.0</v>
      </c>
      <c r="Q523" s="9">
        <v>64732.0</v>
      </c>
      <c r="R523" s="9" t="s">
        <v>75</v>
      </c>
      <c r="S523" s="9" t="s">
        <v>57</v>
      </c>
      <c r="T523" s="9" t="s">
        <v>76</v>
      </c>
    </row>
    <row r="524" ht="15.75" customHeight="1">
      <c r="A524" s="9">
        <v>2066938.0</v>
      </c>
      <c r="B524" s="9">
        <v>737019.0</v>
      </c>
      <c r="C524" s="9">
        <v>29725.0</v>
      </c>
      <c r="D524" s="9" t="s">
        <v>52</v>
      </c>
      <c r="E524" s="9" t="s">
        <v>53</v>
      </c>
      <c r="F524" s="9">
        <v>63876.0</v>
      </c>
      <c r="G524" s="9">
        <v>737019.0</v>
      </c>
      <c r="H524" s="9">
        <v>737019.0</v>
      </c>
      <c r="I524" s="9">
        <v>0.0</v>
      </c>
      <c r="J524" s="9">
        <v>0.0</v>
      </c>
      <c r="K524" s="9">
        <v>0.0</v>
      </c>
      <c r="L524" s="9" t="s">
        <v>54</v>
      </c>
      <c r="M524" s="9" t="s">
        <v>65</v>
      </c>
      <c r="N524" s="9">
        <v>82480.0</v>
      </c>
      <c r="O524" s="9">
        <v>90728.0</v>
      </c>
      <c r="R524" s="9" t="s">
        <v>60</v>
      </c>
      <c r="S524" s="9" t="s">
        <v>57</v>
      </c>
      <c r="T524" s="9" t="s">
        <v>61</v>
      </c>
      <c r="V524" s="9">
        <v>29480.0</v>
      </c>
      <c r="W524" s="9">
        <v>0.0</v>
      </c>
    </row>
    <row r="525" ht="15.75" customHeight="1">
      <c r="A525" s="9">
        <v>2067006.0</v>
      </c>
      <c r="B525" s="9">
        <v>2090427.0</v>
      </c>
      <c r="C525" s="9">
        <v>31194.0</v>
      </c>
      <c r="D525" s="9" t="s">
        <v>52</v>
      </c>
      <c r="E525" s="9" t="s">
        <v>53</v>
      </c>
      <c r="F525" s="9">
        <v>64212.0</v>
      </c>
      <c r="G525" s="9">
        <v>2090427.0</v>
      </c>
      <c r="H525" s="9">
        <v>2090427.0</v>
      </c>
      <c r="I525" s="9">
        <v>2746400.03</v>
      </c>
      <c r="J525" s="9">
        <v>0.0</v>
      </c>
      <c r="K525" s="9">
        <v>0.0</v>
      </c>
      <c r="L525" s="9" t="s">
        <v>59</v>
      </c>
      <c r="M525" s="9" t="s">
        <v>55</v>
      </c>
      <c r="R525" s="9" t="s">
        <v>75</v>
      </c>
      <c r="S525" s="9" t="s">
        <v>57</v>
      </c>
      <c r="T525" s="9" t="s">
        <v>76</v>
      </c>
    </row>
    <row r="526" ht="15.75" customHeight="1">
      <c r="A526" s="9">
        <v>2068241.0</v>
      </c>
      <c r="B526" s="9">
        <v>448866.0</v>
      </c>
      <c r="C526" s="9">
        <v>29743.0</v>
      </c>
      <c r="D526" s="9" t="s">
        <v>52</v>
      </c>
      <c r="E526" s="9" t="s">
        <v>53</v>
      </c>
      <c r="F526" s="9">
        <v>68315.0</v>
      </c>
      <c r="G526" s="9">
        <v>448866.0</v>
      </c>
      <c r="H526" s="9">
        <v>448866.0</v>
      </c>
      <c r="I526" s="9">
        <v>17955.0</v>
      </c>
      <c r="J526" s="9">
        <v>0.0</v>
      </c>
      <c r="K526" s="9">
        <v>0.0</v>
      </c>
      <c r="L526" s="9" t="s">
        <v>69</v>
      </c>
      <c r="M526" s="9" t="s">
        <v>65</v>
      </c>
      <c r="N526" s="9">
        <v>17455.0</v>
      </c>
      <c r="O526" s="9">
        <v>17955.0</v>
      </c>
      <c r="R526" s="9" t="s">
        <v>60</v>
      </c>
      <c r="S526" s="9" t="s">
        <v>57</v>
      </c>
      <c r="T526" s="9" t="s">
        <v>61</v>
      </c>
      <c r="V526" s="9">
        <v>17955.0</v>
      </c>
      <c r="W526" s="9">
        <v>0.0</v>
      </c>
    </row>
    <row r="527" ht="15.75" customHeight="1">
      <c r="A527" s="9">
        <v>2069377.0</v>
      </c>
      <c r="B527" s="9">
        <v>3889674.0</v>
      </c>
      <c r="C527" s="9">
        <v>30536.0</v>
      </c>
      <c r="D527" s="9" t="s">
        <v>52</v>
      </c>
      <c r="E527" s="9" t="s">
        <v>53</v>
      </c>
      <c r="F527" s="9">
        <v>71457.0</v>
      </c>
      <c r="G527" s="9">
        <v>4040142.69</v>
      </c>
      <c r="H527" s="9">
        <v>4040142.69</v>
      </c>
      <c r="I527" s="9">
        <v>4040143.0</v>
      </c>
      <c r="J527" s="9">
        <v>0.0</v>
      </c>
      <c r="K527" s="9">
        <v>0.0</v>
      </c>
      <c r="L527" s="9" t="s">
        <v>69</v>
      </c>
      <c r="M527" s="9" t="s">
        <v>55</v>
      </c>
      <c r="N527" s="9">
        <v>3679382.83</v>
      </c>
      <c r="O527" s="9">
        <v>3679382.82</v>
      </c>
      <c r="P527" s="9">
        <v>3679382.83</v>
      </c>
      <c r="Q527" s="9">
        <v>257659.86</v>
      </c>
      <c r="R527" s="9" t="s">
        <v>56</v>
      </c>
      <c r="S527" s="9" t="s">
        <v>57</v>
      </c>
      <c r="T527" s="9" t="s">
        <v>58</v>
      </c>
      <c r="V527" s="9">
        <v>3566735.42</v>
      </c>
      <c r="W527" s="9">
        <v>280562.96</v>
      </c>
      <c r="X527" s="9">
        <v>0.0</v>
      </c>
    </row>
    <row r="528" ht="15.75" customHeight="1">
      <c r="A528" s="9">
        <v>2071717.0</v>
      </c>
      <c r="B528" s="9">
        <v>3513909.0</v>
      </c>
      <c r="C528" s="9">
        <v>29915.0</v>
      </c>
      <c r="D528" s="9" t="s">
        <v>52</v>
      </c>
      <c r="E528" s="9" t="s">
        <v>53</v>
      </c>
      <c r="F528" s="9">
        <v>77866.0</v>
      </c>
      <c r="G528" s="9">
        <v>3513909.0</v>
      </c>
      <c r="H528" s="9">
        <v>3513909.0</v>
      </c>
      <c r="I528" s="9">
        <v>0.0</v>
      </c>
      <c r="J528" s="9">
        <v>0.0</v>
      </c>
      <c r="K528" s="9">
        <v>0.0</v>
      </c>
      <c r="L528" s="9" t="s">
        <v>54</v>
      </c>
      <c r="M528" s="9" t="s">
        <v>55</v>
      </c>
      <c r="N528" s="9">
        <v>3014249.44</v>
      </c>
      <c r="O528" s="9">
        <v>3165000.0</v>
      </c>
      <c r="P528" s="9">
        <v>50000.0</v>
      </c>
      <c r="Q528" s="9">
        <v>50000.0</v>
      </c>
      <c r="R528" s="9" t="s">
        <v>60</v>
      </c>
      <c r="S528" s="9" t="s">
        <v>57</v>
      </c>
      <c r="T528" s="9" t="s">
        <v>61</v>
      </c>
      <c r="V528" s="9">
        <v>3161323.08</v>
      </c>
      <c r="W528" s="9">
        <v>31578.0</v>
      </c>
      <c r="X528" s="9">
        <v>0.0</v>
      </c>
    </row>
    <row r="529" ht="15.75" customHeight="1">
      <c r="A529" s="9">
        <v>2071768.0</v>
      </c>
      <c r="B529" s="9">
        <v>1717435.0</v>
      </c>
      <c r="C529" s="9">
        <v>29914.0</v>
      </c>
      <c r="D529" s="9" t="s">
        <v>52</v>
      </c>
      <c r="E529" s="9" t="s">
        <v>53</v>
      </c>
      <c r="F529" s="9">
        <v>78033.0</v>
      </c>
      <c r="G529" s="9">
        <v>1717435.0</v>
      </c>
      <c r="H529" s="9">
        <v>1717435.0</v>
      </c>
      <c r="I529" s="9">
        <v>0.0</v>
      </c>
      <c r="J529" s="9">
        <v>0.0</v>
      </c>
      <c r="K529" s="9">
        <v>0.0</v>
      </c>
      <c r="L529" s="9" t="s">
        <v>54</v>
      </c>
      <c r="M529" s="9" t="s">
        <v>55</v>
      </c>
      <c r="N529" s="9">
        <v>1420909.73</v>
      </c>
      <c r="O529" s="9">
        <v>1420909.73</v>
      </c>
      <c r="P529" s="9">
        <v>30000.0</v>
      </c>
      <c r="Q529" s="9">
        <v>30000.0</v>
      </c>
      <c r="R529" s="9" t="s">
        <v>60</v>
      </c>
      <c r="S529" s="9" t="s">
        <v>57</v>
      </c>
      <c r="T529" s="9" t="s">
        <v>61</v>
      </c>
      <c r="V529" s="9">
        <v>1420910.0</v>
      </c>
      <c r="W529" s="9">
        <v>30000.0</v>
      </c>
      <c r="X529" s="9">
        <v>0.0</v>
      </c>
    </row>
    <row r="530" ht="15.75" customHeight="1">
      <c r="A530" s="9">
        <v>2028888.0</v>
      </c>
      <c r="B530" s="9">
        <v>1999750.0</v>
      </c>
      <c r="C530" s="9">
        <v>31036.0</v>
      </c>
      <c r="D530" s="9" t="s">
        <v>52</v>
      </c>
      <c r="E530" s="9" t="s">
        <v>53</v>
      </c>
      <c r="F530" s="9">
        <v>30513.0</v>
      </c>
      <c r="G530" s="9">
        <v>1999750.0</v>
      </c>
      <c r="H530" s="9">
        <v>1999750.0</v>
      </c>
      <c r="I530" s="9">
        <v>3061857.85</v>
      </c>
      <c r="J530" s="9">
        <v>0.0</v>
      </c>
      <c r="K530" s="9">
        <v>0.0</v>
      </c>
      <c r="L530" s="9" t="s">
        <v>59</v>
      </c>
      <c r="M530" s="9" t="s">
        <v>55</v>
      </c>
      <c r="R530" s="9" t="s">
        <v>60</v>
      </c>
      <c r="S530" s="9" t="s">
        <v>57</v>
      </c>
      <c r="T530" s="9" t="s">
        <v>61</v>
      </c>
      <c r="V530" s="9">
        <v>3061857.85</v>
      </c>
      <c r="W530" s="9">
        <v>0.0</v>
      </c>
      <c r="X530" s="9">
        <v>0.0</v>
      </c>
    </row>
    <row r="531" ht="15.75" customHeight="1">
      <c r="A531" s="9">
        <v>2029020.0</v>
      </c>
      <c r="B531" s="9">
        <v>2858751.0</v>
      </c>
      <c r="C531" s="9">
        <v>30477.0</v>
      </c>
      <c r="D531" s="9" t="s">
        <v>52</v>
      </c>
      <c r="E531" s="9" t="s">
        <v>53</v>
      </c>
      <c r="F531" s="9">
        <v>28479.0</v>
      </c>
      <c r="G531" s="9">
        <v>3688904.72</v>
      </c>
      <c r="H531" s="9">
        <v>3688904.72</v>
      </c>
      <c r="I531" s="9">
        <v>393189.17</v>
      </c>
      <c r="J531" s="9">
        <v>0.0</v>
      </c>
      <c r="K531" s="9">
        <v>0.0</v>
      </c>
      <c r="L531" s="9" t="s">
        <v>54</v>
      </c>
      <c r="M531" s="9" t="s">
        <v>55</v>
      </c>
      <c r="N531" s="9">
        <v>3581460.89</v>
      </c>
      <c r="O531" s="9">
        <v>3581460.89</v>
      </c>
      <c r="P531" s="9">
        <v>107443.83</v>
      </c>
      <c r="Q531" s="9">
        <v>107443.83</v>
      </c>
      <c r="R531" s="9" t="s">
        <v>60</v>
      </c>
      <c r="S531" s="9" t="s">
        <v>57</v>
      </c>
      <c r="T531" s="9" t="s">
        <v>61</v>
      </c>
      <c r="V531" s="9">
        <v>3526830.17</v>
      </c>
      <c r="W531" s="9">
        <v>107443.83</v>
      </c>
      <c r="X531" s="9">
        <v>0.0</v>
      </c>
    </row>
    <row r="532" ht="15.75" customHeight="1">
      <c r="A532" s="9">
        <v>2029513.0</v>
      </c>
      <c r="B532" s="9">
        <v>1063966.0</v>
      </c>
      <c r="C532" s="9">
        <v>31160.0</v>
      </c>
      <c r="D532" s="9" t="s">
        <v>52</v>
      </c>
      <c r="E532" s="9" t="s">
        <v>53</v>
      </c>
      <c r="F532" s="9">
        <v>28205.0</v>
      </c>
      <c r="G532" s="9">
        <v>1063966.0</v>
      </c>
      <c r="H532" s="9">
        <v>1063966.0</v>
      </c>
      <c r="I532" s="9">
        <v>0.0</v>
      </c>
      <c r="J532" s="9">
        <v>0.0</v>
      </c>
      <c r="K532" s="9">
        <v>0.0</v>
      </c>
      <c r="L532" s="9" t="s">
        <v>54</v>
      </c>
      <c r="M532" s="9" t="s">
        <v>55</v>
      </c>
      <c r="R532" s="9" t="s">
        <v>60</v>
      </c>
      <c r="S532" s="9" t="s">
        <v>57</v>
      </c>
      <c r="T532" s="9" t="s">
        <v>61</v>
      </c>
      <c r="V532" s="9">
        <v>1171237.0</v>
      </c>
      <c r="W532" s="9">
        <v>0.0</v>
      </c>
      <c r="X532" s="9">
        <v>0.0</v>
      </c>
    </row>
    <row r="533" ht="15.75" customHeight="1">
      <c r="A533" s="9">
        <v>2029613.0</v>
      </c>
      <c r="B533" s="9">
        <v>1404561.0</v>
      </c>
      <c r="C533" s="9">
        <v>30690.0</v>
      </c>
      <c r="D533" s="9" t="s">
        <v>52</v>
      </c>
      <c r="E533" s="9" t="s">
        <v>53</v>
      </c>
      <c r="F533" s="9">
        <v>30727.0</v>
      </c>
      <c r="G533" s="9">
        <v>1404561.0</v>
      </c>
      <c r="H533" s="9">
        <v>1404561.0</v>
      </c>
      <c r="I533" s="9">
        <v>2378752.8</v>
      </c>
      <c r="J533" s="9">
        <v>0.0</v>
      </c>
      <c r="K533" s="9">
        <v>0.0</v>
      </c>
      <c r="L533" s="9" t="s">
        <v>59</v>
      </c>
      <c r="M533" s="9" t="s">
        <v>55</v>
      </c>
      <c r="N533" s="9">
        <v>1343283.14</v>
      </c>
      <c r="O533" s="9">
        <v>1343283.14</v>
      </c>
      <c r="P533" s="9">
        <v>1343283.14</v>
      </c>
      <c r="Q533" s="9">
        <v>13086.34</v>
      </c>
      <c r="R533" s="9" t="s">
        <v>77</v>
      </c>
      <c r="S533" s="9" t="s">
        <v>78</v>
      </c>
      <c r="T533" s="9" t="s">
        <v>79</v>
      </c>
      <c r="U533" s="9" t="s">
        <v>80</v>
      </c>
      <c r="V533" s="9">
        <v>1343283.14</v>
      </c>
      <c r="W533" s="9">
        <v>0.0</v>
      </c>
      <c r="X533" s="9">
        <v>0.0</v>
      </c>
    </row>
    <row r="534" ht="15.75" customHeight="1">
      <c r="A534" s="9">
        <v>2030549.0</v>
      </c>
      <c r="B534" s="9">
        <v>1333264.0</v>
      </c>
      <c r="C534" s="9">
        <v>30641.0</v>
      </c>
      <c r="D534" s="9" t="s">
        <v>52</v>
      </c>
      <c r="E534" s="9" t="s">
        <v>53</v>
      </c>
      <c r="F534" s="9">
        <v>31050.0</v>
      </c>
      <c r="G534" s="9">
        <v>1333264.0</v>
      </c>
      <c r="H534" s="9">
        <v>1333264.0</v>
      </c>
      <c r="I534" s="9">
        <v>1225635.12</v>
      </c>
      <c r="J534" s="9">
        <v>0.0</v>
      </c>
      <c r="K534" s="9">
        <v>0.0</v>
      </c>
      <c r="L534" s="9" t="s">
        <v>69</v>
      </c>
      <c r="M534" s="9" t="s">
        <v>55</v>
      </c>
      <c r="N534" s="9">
        <v>1339422.77</v>
      </c>
      <c r="O534" s="9">
        <v>1185185.72</v>
      </c>
      <c r="P534" s="9">
        <v>37734.0</v>
      </c>
      <c r="Q534" s="9">
        <v>37734.0</v>
      </c>
      <c r="R534" s="9" t="s">
        <v>75</v>
      </c>
      <c r="S534" s="9" t="s">
        <v>57</v>
      </c>
      <c r="T534" s="9" t="s">
        <v>76</v>
      </c>
    </row>
    <row r="535" ht="15.75" customHeight="1">
      <c r="A535" s="9">
        <v>2030551.0</v>
      </c>
      <c r="B535" s="9">
        <v>1074686.0</v>
      </c>
      <c r="C535" s="9">
        <v>30716.0</v>
      </c>
      <c r="D535" s="9" t="s">
        <v>52</v>
      </c>
      <c r="E535" s="9" t="s">
        <v>53</v>
      </c>
      <c r="F535" s="9">
        <v>23761.0</v>
      </c>
      <c r="G535" s="9">
        <v>1074686.0</v>
      </c>
      <c r="H535" s="9">
        <v>1074686.0</v>
      </c>
      <c r="I535" s="9">
        <v>0.0</v>
      </c>
      <c r="J535" s="9">
        <v>0.0</v>
      </c>
      <c r="K535" s="9">
        <v>0.0</v>
      </c>
      <c r="L535" s="9" t="s">
        <v>54</v>
      </c>
      <c r="M535" s="9" t="s">
        <v>55</v>
      </c>
      <c r="N535" s="9">
        <v>861867.0</v>
      </c>
      <c r="O535" s="9">
        <v>935127.56</v>
      </c>
      <c r="P535" s="9">
        <v>35486.0</v>
      </c>
      <c r="Q535" s="9">
        <v>31937.4</v>
      </c>
      <c r="R535" s="9" t="s">
        <v>60</v>
      </c>
      <c r="S535" s="9" t="s">
        <v>57</v>
      </c>
      <c r="T535" s="9" t="s">
        <v>61</v>
      </c>
      <c r="V535" s="9">
        <v>861867.0</v>
      </c>
      <c r="W535" s="9">
        <v>0.0</v>
      </c>
      <c r="X535" s="9">
        <v>0.0</v>
      </c>
    </row>
    <row r="536" ht="15.75" customHeight="1">
      <c r="A536" s="9">
        <v>2030558.0</v>
      </c>
      <c r="B536" s="9">
        <v>1526122.0</v>
      </c>
      <c r="C536" s="9">
        <v>30724.0</v>
      </c>
      <c r="D536" s="9" t="s">
        <v>52</v>
      </c>
      <c r="E536" s="9" t="s">
        <v>53</v>
      </c>
      <c r="F536" s="9">
        <v>28492.0</v>
      </c>
      <c r="G536" s="9">
        <v>1526122.0</v>
      </c>
      <c r="H536" s="9">
        <v>1526122.0</v>
      </c>
      <c r="I536" s="9">
        <v>1803518.81</v>
      </c>
      <c r="J536" s="9">
        <v>0.0</v>
      </c>
      <c r="K536" s="9">
        <v>0.0</v>
      </c>
      <c r="L536" s="9" t="s">
        <v>69</v>
      </c>
      <c r="M536" s="9" t="s">
        <v>55</v>
      </c>
      <c r="N536" s="9">
        <v>1737583.33</v>
      </c>
      <c r="O536" s="9">
        <v>1526122.0</v>
      </c>
      <c r="P536" s="9">
        <v>34231.67</v>
      </c>
      <c r="Q536" s="9">
        <v>30808.51</v>
      </c>
      <c r="R536" s="9" t="s">
        <v>60</v>
      </c>
      <c r="S536" s="9" t="s">
        <v>57</v>
      </c>
      <c r="T536" s="9" t="s">
        <v>61</v>
      </c>
      <c r="V536" s="9">
        <v>1764620.29</v>
      </c>
      <c r="W536" s="9">
        <v>0.0</v>
      </c>
      <c r="X536" s="9">
        <v>0.0</v>
      </c>
    </row>
    <row r="537" ht="15.75" customHeight="1">
      <c r="A537" s="9">
        <v>2030560.0</v>
      </c>
      <c r="B537" s="9">
        <v>1429802.0</v>
      </c>
      <c r="C537" s="9">
        <v>30736.0</v>
      </c>
      <c r="D537" s="9" t="s">
        <v>52</v>
      </c>
      <c r="E537" s="9" t="s">
        <v>53</v>
      </c>
      <c r="F537" s="9">
        <v>31260.0</v>
      </c>
      <c r="G537" s="9">
        <v>1429802.0</v>
      </c>
      <c r="H537" s="9">
        <v>1429802.0</v>
      </c>
      <c r="I537" s="9">
        <v>0.0</v>
      </c>
      <c r="J537" s="9">
        <v>0.0</v>
      </c>
      <c r="K537" s="9">
        <v>0.0</v>
      </c>
      <c r="L537" s="9" t="s">
        <v>54</v>
      </c>
      <c r="M537" s="9" t="s">
        <v>55</v>
      </c>
      <c r="N537" s="9">
        <v>1561172.8</v>
      </c>
      <c r="O537" s="9">
        <v>1405055.52</v>
      </c>
      <c r="P537" s="9">
        <v>50000.0</v>
      </c>
      <c r="Q537" s="9">
        <v>45000.0</v>
      </c>
      <c r="R537" s="9" t="s">
        <v>60</v>
      </c>
      <c r="S537" s="9" t="s">
        <v>57</v>
      </c>
      <c r="T537" s="9" t="s">
        <v>61</v>
      </c>
      <c r="V537" s="9">
        <v>1405055.53</v>
      </c>
      <c r="W537" s="9">
        <v>0.0</v>
      </c>
      <c r="X537" s="9">
        <v>0.0</v>
      </c>
    </row>
    <row r="538" ht="15.75" customHeight="1">
      <c r="A538" s="9">
        <v>2030585.0</v>
      </c>
      <c r="B538" s="9">
        <v>657413.0</v>
      </c>
      <c r="C538" s="9">
        <v>30281.0</v>
      </c>
      <c r="D538" s="9" t="s">
        <v>52</v>
      </c>
      <c r="E538" s="9" t="s">
        <v>53</v>
      </c>
      <c r="F538" s="9">
        <v>2971.0</v>
      </c>
      <c r="G538" s="9">
        <v>657413.0</v>
      </c>
      <c r="H538" s="9">
        <v>657413.0</v>
      </c>
      <c r="I538" s="9">
        <v>595722.4</v>
      </c>
      <c r="J538" s="9">
        <v>0.0</v>
      </c>
      <c r="K538" s="9">
        <v>0.0</v>
      </c>
      <c r="L538" s="9" t="s">
        <v>59</v>
      </c>
      <c r="M538" s="9" t="s">
        <v>55</v>
      </c>
      <c r="N538" s="9">
        <v>627519.19</v>
      </c>
      <c r="O538" s="9">
        <v>564767.28</v>
      </c>
      <c r="P538" s="9">
        <v>627519.19</v>
      </c>
      <c r="Q538" s="9">
        <v>0.0</v>
      </c>
      <c r="R538" s="9" t="s">
        <v>60</v>
      </c>
      <c r="S538" s="9" t="s">
        <v>57</v>
      </c>
      <c r="T538" s="9" t="s">
        <v>61</v>
      </c>
      <c r="V538" s="9">
        <v>564767.28</v>
      </c>
      <c r="W538" s="9">
        <v>0.0</v>
      </c>
      <c r="X538" s="9">
        <v>0.0</v>
      </c>
    </row>
    <row r="539" ht="15.75" customHeight="1">
      <c r="A539" s="9">
        <v>2030592.0</v>
      </c>
      <c r="B539" s="9">
        <v>1102076.0</v>
      </c>
      <c r="C539" s="9">
        <v>30292.0</v>
      </c>
      <c r="D539" s="9" t="s">
        <v>52</v>
      </c>
      <c r="E539" s="9" t="s">
        <v>53</v>
      </c>
      <c r="F539" s="9">
        <v>7360.0</v>
      </c>
      <c r="G539" s="9">
        <v>1102076.0</v>
      </c>
      <c r="H539" s="9">
        <v>1102076.0</v>
      </c>
      <c r="I539" s="9">
        <v>1088394.74</v>
      </c>
      <c r="J539" s="9">
        <v>0.0</v>
      </c>
      <c r="K539" s="9">
        <v>0.0</v>
      </c>
      <c r="L539" s="9" t="s">
        <v>59</v>
      </c>
      <c r="M539" s="9" t="s">
        <v>55</v>
      </c>
      <c r="N539" s="9">
        <v>1321907.85</v>
      </c>
      <c r="O539" s="9">
        <v>1189717.07</v>
      </c>
      <c r="P539" s="9">
        <v>1321907.85</v>
      </c>
      <c r="Q539" s="9">
        <v>0.0</v>
      </c>
      <c r="R539" s="9" t="s">
        <v>60</v>
      </c>
      <c r="S539" s="9" t="s">
        <v>57</v>
      </c>
      <c r="T539" s="9" t="s">
        <v>61</v>
      </c>
      <c r="V539" s="9">
        <v>1127034.93</v>
      </c>
      <c r="W539" s="9">
        <v>0.0</v>
      </c>
      <c r="X539" s="9">
        <v>0.0</v>
      </c>
    </row>
    <row r="540" ht="15.75" customHeight="1">
      <c r="A540" s="9">
        <v>2030724.0</v>
      </c>
      <c r="B540" s="9">
        <v>1747374.0</v>
      </c>
      <c r="C540" s="9">
        <v>30288.0</v>
      </c>
      <c r="D540" s="9" t="s">
        <v>52</v>
      </c>
      <c r="E540" s="9" t="s">
        <v>53</v>
      </c>
      <c r="F540" s="9">
        <v>34720.0</v>
      </c>
      <c r="G540" s="9">
        <v>1747374.0</v>
      </c>
      <c r="H540" s="9">
        <v>1747374.0</v>
      </c>
      <c r="I540" s="9">
        <v>0.0</v>
      </c>
      <c r="J540" s="9">
        <v>0.0</v>
      </c>
      <c r="K540" s="9">
        <v>0.0</v>
      </c>
      <c r="L540" s="9" t="s">
        <v>54</v>
      </c>
      <c r="M540" s="9" t="s">
        <v>55</v>
      </c>
      <c r="N540" s="9">
        <v>1694953.0</v>
      </c>
      <c r="O540" s="9">
        <v>1860788.0</v>
      </c>
      <c r="R540" s="9" t="s">
        <v>60</v>
      </c>
      <c r="S540" s="9" t="s">
        <v>57</v>
      </c>
      <c r="T540" s="9" t="s">
        <v>61</v>
      </c>
      <c r="V540" s="9">
        <v>1747373.9</v>
      </c>
      <c r="W540" s="9">
        <v>5860.0</v>
      </c>
      <c r="X540" s="9">
        <v>0.0</v>
      </c>
    </row>
    <row r="541" ht="15.75" customHeight="1">
      <c r="A541" s="9">
        <v>2031630.0</v>
      </c>
      <c r="B541" s="9">
        <v>3.9215512E7</v>
      </c>
      <c r="C541" s="9">
        <v>29671.0</v>
      </c>
      <c r="D541" s="9" t="s">
        <v>52</v>
      </c>
      <c r="E541" s="9" t="s">
        <v>53</v>
      </c>
      <c r="F541" s="9">
        <v>11557.0</v>
      </c>
      <c r="G541" s="9">
        <v>3.943270587E7</v>
      </c>
      <c r="H541" s="9">
        <v>3.702017332E7</v>
      </c>
      <c r="I541" s="9">
        <v>3.655984887E7</v>
      </c>
      <c r="J541" s="9">
        <v>0.0</v>
      </c>
      <c r="K541" s="9">
        <v>0.0</v>
      </c>
      <c r="L541" s="9" t="s">
        <v>69</v>
      </c>
      <c r="M541" s="9" t="s">
        <v>65</v>
      </c>
      <c r="N541" s="9">
        <v>0.0</v>
      </c>
      <c r="O541" s="9">
        <v>548261.02</v>
      </c>
      <c r="R541" s="9" t="s">
        <v>60</v>
      </c>
      <c r="S541" s="9" t="s">
        <v>57</v>
      </c>
      <c r="T541" s="9" t="s">
        <v>61</v>
      </c>
      <c r="V541" s="9">
        <v>548261.02</v>
      </c>
      <c r="W541" s="9">
        <v>0.0</v>
      </c>
    </row>
    <row r="542" ht="15.75" customHeight="1">
      <c r="A542" s="9">
        <v>2033291.0</v>
      </c>
      <c r="B542" s="9">
        <v>788852.0</v>
      </c>
      <c r="C542" s="9">
        <v>29618.0</v>
      </c>
      <c r="D542" s="9" t="s">
        <v>52</v>
      </c>
      <c r="E542" s="9" t="s">
        <v>53</v>
      </c>
      <c r="F542" s="9">
        <v>31493.0</v>
      </c>
      <c r="G542" s="9">
        <v>788852.0</v>
      </c>
      <c r="H542" s="9">
        <v>788852.0</v>
      </c>
      <c r="I542" s="9">
        <v>0.0</v>
      </c>
      <c r="J542" s="9">
        <v>0.0</v>
      </c>
      <c r="K542" s="9">
        <v>0.0</v>
      </c>
      <c r="L542" s="9" t="s">
        <v>54</v>
      </c>
      <c r="M542" s="9" t="s">
        <v>65</v>
      </c>
      <c r="N542" s="9">
        <v>0.0</v>
      </c>
      <c r="O542" s="9">
        <v>0.0</v>
      </c>
      <c r="R542" s="9" t="s">
        <v>60</v>
      </c>
      <c r="S542" s="9" t="s">
        <v>57</v>
      </c>
      <c r="T542" s="9" t="s">
        <v>61</v>
      </c>
    </row>
    <row r="543" ht="15.75" customHeight="1">
      <c r="A543" s="9">
        <v>2034061.0</v>
      </c>
      <c r="B543" s="9">
        <v>445640.0</v>
      </c>
      <c r="C543" s="9">
        <v>30290.0</v>
      </c>
      <c r="D543" s="9" t="s">
        <v>52</v>
      </c>
      <c r="E543" s="9" t="s">
        <v>53</v>
      </c>
      <c r="F543" s="9">
        <v>35616.0</v>
      </c>
      <c r="G543" s="9">
        <v>445640.0</v>
      </c>
      <c r="H543" s="9">
        <v>445640.0</v>
      </c>
      <c r="I543" s="9">
        <v>0.0</v>
      </c>
      <c r="J543" s="9">
        <v>0.0</v>
      </c>
      <c r="K543" s="9">
        <v>0.0</v>
      </c>
      <c r="L543" s="9" t="s">
        <v>54</v>
      </c>
      <c r="M543" s="9" t="s">
        <v>55</v>
      </c>
      <c r="N543" s="9">
        <v>437000.0</v>
      </c>
      <c r="O543" s="9">
        <v>393300.0</v>
      </c>
      <c r="R543" s="9" t="s">
        <v>75</v>
      </c>
      <c r="S543" s="9" t="s">
        <v>57</v>
      </c>
      <c r="T543" s="9" t="s">
        <v>76</v>
      </c>
    </row>
    <row r="544" ht="15.75" customHeight="1">
      <c r="A544" s="9">
        <v>2034693.0</v>
      </c>
      <c r="B544" s="9">
        <v>1477462.0</v>
      </c>
      <c r="C544" s="9">
        <v>30767.0</v>
      </c>
      <c r="D544" s="9" t="s">
        <v>52</v>
      </c>
      <c r="E544" s="9" t="s">
        <v>53</v>
      </c>
      <c r="F544" s="9">
        <v>31693.0</v>
      </c>
      <c r="G544" s="9">
        <v>1477462.0</v>
      </c>
      <c r="H544" s="9">
        <v>1477462.0</v>
      </c>
      <c r="I544" s="9">
        <v>178113.73</v>
      </c>
      <c r="J544" s="9">
        <v>0.0</v>
      </c>
      <c r="K544" s="9">
        <v>0.0</v>
      </c>
      <c r="L544" s="9" t="s">
        <v>69</v>
      </c>
      <c r="M544" s="9" t="s">
        <v>55</v>
      </c>
      <c r="N544" s="9">
        <v>1504315.14</v>
      </c>
      <c r="O544" s="9">
        <v>1594574.05</v>
      </c>
      <c r="R544" s="9" t="s">
        <v>60</v>
      </c>
      <c r="S544" s="9" t="s">
        <v>57</v>
      </c>
      <c r="T544" s="9" t="s">
        <v>61</v>
      </c>
      <c r="V544" s="9">
        <v>1650921.25</v>
      </c>
      <c r="W544" s="9">
        <v>88166.67</v>
      </c>
      <c r="X544" s="9">
        <v>0.0</v>
      </c>
    </row>
    <row r="545" ht="15.75" customHeight="1">
      <c r="A545" s="9">
        <v>2035263.0</v>
      </c>
      <c r="B545" s="9">
        <v>1177864.0</v>
      </c>
      <c r="C545" s="9">
        <v>30769.0</v>
      </c>
      <c r="D545" s="9" t="s">
        <v>52</v>
      </c>
      <c r="E545" s="9" t="s">
        <v>53</v>
      </c>
      <c r="F545" s="9">
        <v>36585.0</v>
      </c>
      <c r="G545" s="9">
        <v>1177864.0</v>
      </c>
      <c r="H545" s="9">
        <v>1177864.0</v>
      </c>
      <c r="I545" s="9">
        <v>151935.87</v>
      </c>
      <c r="J545" s="9">
        <v>0.0</v>
      </c>
      <c r="K545" s="9">
        <v>0.0</v>
      </c>
      <c r="L545" s="9" t="s">
        <v>69</v>
      </c>
      <c r="M545" s="9" t="s">
        <v>55</v>
      </c>
      <c r="N545" s="9">
        <v>1043258.63</v>
      </c>
      <c r="O545" s="9">
        <v>1103533.43</v>
      </c>
      <c r="R545" s="9" t="s">
        <v>60</v>
      </c>
      <c r="S545" s="9" t="s">
        <v>57</v>
      </c>
      <c r="T545" s="9" t="s">
        <v>61</v>
      </c>
      <c r="V545" s="9">
        <v>1202251.18</v>
      </c>
      <c r="W545" s="9">
        <v>0.0</v>
      </c>
      <c r="X545" s="9">
        <v>0.0</v>
      </c>
    </row>
    <row r="546" ht="15.75" customHeight="1">
      <c r="A546" s="9">
        <v>2035265.0</v>
      </c>
      <c r="B546" s="9">
        <v>494516.0</v>
      </c>
      <c r="C546" s="9">
        <v>30768.0</v>
      </c>
      <c r="D546" s="9" t="s">
        <v>52</v>
      </c>
      <c r="E546" s="9" t="s">
        <v>53</v>
      </c>
      <c r="F546" s="9">
        <v>34043.0</v>
      </c>
      <c r="G546" s="9">
        <v>494516.0</v>
      </c>
      <c r="H546" s="9">
        <v>494516.0</v>
      </c>
      <c r="I546" s="9">
        <v>46483.12</v>
      </c>
      <c r="J546" s="9">
        <v>0.0</v>
      </c>
      <c r="K546" s="9">
        <v>0.0</v>
      </c>
      <c r="L546" s="9" t="s">
        <v>69</v>
      </c>
      <c r="M546" s="9" t="s">
        <v>55</v>
      </c>
      <c r="N546" s="9">
        <v>435521.82</v>
      </c>
      <c r="O546" s="9">
        <v>470363.57</v>
      </c>
      <c r="R546" s="9" t="s">
        <v>60</v>
      </c>
      <c r="S546" s="9" t="s">
        <v>57</v>
      </c>
      <c r="T546" s="9" t="s">
        <v>61</v>
      </c>
      <c r="V546" s="9">
        <v>482065.21</v>
      </c>
      <c r="W546" s="9">
        <v>0.0</v>
      </c>
      <c r="X546" s="9">
        <v>36036.24</v>
      </c>
    </row>
    <row r="547" ht="15.75" customHeight="1">
      <c r="A547" s="9">
        <v>2038373.0</v>
      </c>
      <c r="B547" s="9">
        <v>605277.0</v>
      </c>
      <c r="C547" s="9">
        <v>30738.0</v>
      </c>
      <c r="D547" s="9" t="s">
        <v>52</v>
      </c>
      <c r="E547" s="9" t="s">
        <v>53</v>
      </c>
      <c r="F547" s="9">
        <v>33253.0</v>
      </c>
      <c r="G547" s="9">
        <v>605277.0</v>
      </c>
      <c r="H547" s="9">
        <v>605277.0</v>
      </c>
      <c r="I547" s="9">
        <v>691608.31</v>
      </c>
      <c r="J547" s="9">
        <v>0.0</v>
      </c>
      <c r="K547" s="9">
        <v>0.0</v>
      </c>
      <c r="L547" s="9" t="s">
        <v>69</v>
      </c>
      <c r="M547" s="9" t="s">
        <v>55</v>
      </c>
      <c r="N547" s="9">
        <v>568793.0</v>
      </c>
      <c r="O547" s="9">
        <v>511914.0</v>
      </c>
      <c r="R547" s="9" t="s">
        <v>60</v>
      </c>
      <c r="S547" s="9" t="s">
        <v>57</v>
      </c>
      <c r="T547" s="9" t="s">
        <v>61</v>
      </c>
      <c r="V547" s="9">
        <v>550562.09</v>
      </c>
      <c r="W547" s="9">
        <v>0.0</v>
      </c>
      <c r="X547" s="9">
        <v>0.0</v>
      </c>
    </row>
    <row r="548" ht="15.75" customHeight="1">
      <c r="A548" s="9">
        <v>2040084.0</v>
      </c>
      <c r="B548" s="9">
        <v>1999828.0</v>
      </c>
      <c r="C548" s="9">
        <v>30700.0</v>
      </c>
      <c r="D548" s="9" t="s">
        <v>52</v>
      </c>
      <c r="E548" s="9" t="s">
        <v>53</v>
      </c>
      <c r="F548" s="9">
        <v>36702.0</v>
      </c>
      <c r="G548" s="9">
        <v>1999828.0</v>
      </c>
      <c r="H548" s="9">
        <v>1999828.0</v>
      </c>
      <c r="I548" s="9">
        <v>1471388.74</v>
      </c>
      <c r="J548" s="9">
        <v>0.0</v>
      </c>
      <c r="K548" s="9">
        <v>0.0</v>
      </c>
      <c r="L548" s="9" t="s">
        <v>59</v>
      </c>
      <c r="M548" s="9" t="s">
        <v>55</v>
      </c>
      <c r="N548" s="9">
        <v>853042.23</v>
      </c>
      <c r="O548" s="9">
        <v>767738.1</v>
      </c>
      <c r="P548" s="9">
        <v>25450.0</v>
      </c>
      <c r="Q548" s="9">
        <v>25450.0</v>
      </c>
      <c r="R548" s="9" t="s">
        <v>72</v>
      </c>
      <c r="S548" s="9" t="s">
        <v>57</v>
      </c>
      <c r="T548" s="9" t="s">
        <v>73</v>
      </c>
      <c r="V548" s="9">
        <v>435865.34</v>
      </c>
      <c r="W548" s="9">
        <v>33283.4</v>
      </c>
      <c r="X548" s="9">
        <v>0.0</v>
      </c>
    </row>
    <row r="549" ht="15.75" customHeight="1">
      <c r="A549" s="9">
        <v>2040386.0</v>
      </c>
      <c r="B549" s="9">
        <v>1.8597865E7</v>
      </c>
      <c r="C549" s="9">
        <v>30679.0</v>
      </c>
      <c r="D549" s="9" t="s">
        <v>52</v>
      </c>
      <c r="E549" s="9" t="s">
        <v>53</v>
      </c>
      <c r="F549" s="9">
        <v>35364.0</v>
      </c>
      <c r="G549" s="9">
        <v>3.0428257E7</v>
      </c>
      <c r="H549" s="9">
        <v>3.0428257E7</v>
      </c>
      <c r="I549" s="9">
        <v>2213318.0</v>
      </c>
      <c r="J549" s="9">
        <v>0.0</v>
      </c>
      <c r="K549" s="9">
        <v>0.0</v>
      </c>
      <c r="L549" s="9" t="s">
        <v>54</v>
      </c>
      <c r="M549" s="9" t="s">
        <v>55</v>
      </c>
      <c r="N549" s="9">
        <v>1.684837662E7</v>
      </c>
      <c r="O549" s="9">
        <v>1.763903999E7</v>
      </c>
      <c r="P549" s="9">
        <v>716488.29</v>
      </c>
      <c r="Q549" s="9">
        <v>644839.47</v>
      </c>
      <c r="R549" s="9" t="s">
        <v>60</v>
      </c>
      <c r="S549" s="9" t="s">
        <v>57</v>
      </c>
      <c r="T549" s="9" t="s">
        <v>61</v>
      </c>
      <c r="V549" s="9">
        <v>2.452543814E7</v>
      </c>
      <c r="W549" s="9">
        <v>1102430.33</v>
      </c>
      <c r="X549" s="9">
        <v>0.0</v>
      </c>
    </row>
    <row r="550" ht="15.75" customHeight="1">
      <c r="A550" s="9">
        <v>2041011.0</v>
      </c>
      <c r="B550" s="9">
        <v>833260.0</v>
      </c>
      <c r="C550" s="9">
        <v>31003.0</v>
      </c>
      <c r="D550" s="9" t="s">
        <v>52</v>
      </c>
      <c r="E550" s="9" t="s">
        <v>53</v>
      </c>
      <c r="F550" s="9">
        <v>44577.0</v>
      </c>
      <c r="G550" s="9">
        <v>1077037.5</v>
      </c>
      <c r="H550" s="9">
        <v>1095793.55</v>
      </c>
      <c r="I550" s="9">
        <v>946118.24</v>
      </c>
      <c r="J550" s="9">
        <v>0.0</v>
      </c>
      <c r="K550" s="9">
        <v>0.0</v>
      </c>
      <c r="L550" s="9" t="s">
        <v>69</v>
      </c>
      <c r="M550" s="9" t="s">
        <v>55</v>
      </c>
      <c r="R550" s="9" t="s">
        <v>60</v>
      </c>
      <c r="S550" s="9" t="s">
        <v>57</v>
      </c>
      <c r="T550" s="9" t="s">
        <v>61</v>
      </c>
      <c r="V550" s="9">
        <v>946118.24</v>
      </c>
      <c r="W550" s="9">
        <v>0.0</v>
      </c>
      <c r="X550" s="9">
        <v>0.0</v>
      </c>
    </row>
    <row r="551" ht="15.75" customHeight="1">
      <c r="A551" s="9">
        <v>2052222.0</v>
      </c>
      <c r="B551" s="9">
        <v>142193.0</v>
      </c>
      <c r="C551" s="9">
        <v>31151.0</v>
      </c>
      <c r="D551" s="9" t="s">
        <v>52</v>
      </c>
      <c r="E551" s="9" t="s">
        <v>53</v>
      </c>
      <c r="F551" s="9">
        <v>39729.0</v>
      </c>
      <c r="G551" s="9">
        <v>182010.0</v>
      </c>
      <c r="H551" s="9">
        <v>182010.0</v>
      </c>
      <c r="I551" s="9">
        <v>174017.78</v>
      </c>
      <c r="J551" s="9">
        <v>0.0</v>
      </c>
      <c r="K551" s="9">
        <v>0.0</v>
      </c>
      <c r="L551" s="9" t="s">
        <v>69</v>
      </c>
      <c r="M551" s="9" t="s">
        <v>55</v>
      </c>
      <c r="R551" s="9" t="s">
        <v>60</v>
      </c>
      <c r="S551" s="9" t="s">
        <v>57</v>
      </c>
      <c r="T551" s="9" t="s">
        <v>61</v>
      </c>
      <c r="V551" s="9">
        <v>169790.88</v>
      </c>
      <c r="W551" s="9">
        <v>0.0</v>
      </c>
      <c r="X551" s="9">
        <v>0.0</v>
      </c>
    </row>
    <row r="552" ht="15.75" customHeight="1">
      <c r="A552" s="9">
        <v>2052758.0</v>
      </c>
      <c r="B552" s="9">
        <v>9949789.0</v>
      </c>
      <c r="C552" s="9">
        <v>30534.0</v>
      </c>
      <c r="D552" s="9" t="s">
        <v>52</v>
      </c>
      <c r="E552" s="9" t="s">
        <v>53</v>
      </c>
      <c r="F552" s="9">
        <v>53993.0</v>
      </c>
      <c r="G552" s="9">
        <v>1.192782626E7</v>
      </c>
      <c r="H552" s="9">
        <v>1.192782626E7</v>
      </c>
      <c r="I552" s="9">
        <v>1.089420764E7</v>
      </c>
      <c r="J552" s="9">
        <v>0.0</v>
      </c>
      <c r="K552" s="9">
        <v>0.0</v>
      </c>
      <c r="L552" s="9" t="s">
        <v>69</v>
      </c>
      <c r="M552" s="9" t="s">
        <v>55</v>
      </c>
      <c r="N552" s="9">
        <v>9980047.43</v>
      </c>
      <c r="O552" s="9">
        <v>1.038432743E7</v>
      </c>
      <c r="P552" s="9">
        <v>449200.0</v>
      </c>
      <c r="Q552" s="9">
        <v>404280.0</v>
      </c>
      <c r="R552" s="9" t="s">
        <v>63</v>
      </c>
      <c r="S552" s="9" t="s">
        <v>63</v>
      </c>
      <c r="V552" s="9">
        <v>0.0</v>
      </c>
      <c r="W552" s="9">
        <v>0.0</v>
      </c>
      <c r="X552" s="9">
        <v>0.0</v>
      </c>
    </row>
    <row r="553" ht="15.75" customHeight="1">
      <c r="A553" s="9">
        <v>2053792.0</v>
      </c>
      <c r="B553" s="9">
        <v>1317157.0</v>
      </c>
      <c r="C553" s="9">
        <v>29572.0</v>
      </c>
      <c r="D553" s="9" t="s">
        <v>52</v>
      </c>
      <c r="E553" s="9" t="s">
        <v>53</v>
      </c>
      <c r="F553" s="9">
        <v>59084.0</v>
      </c>
      <c r="G553" s="9">
        <v>0.0</v>
      </c>
      <c r="M553" s="9" t="s">
        <v>65</v>
      </c>
      <c r="N553" s="9">
        <v>20000.0</v>
      </c>
      <c r="O553" s="9">
        <v>20000.0</v>
      </c>
      <c r="R553" s="9" t="s">
        <v>60</v>
      </c>
      <c r="S553" s="9" t="s">
        <v>57</v>
      </c>
      <c r="T553" s="9" t="s">
        <v>61</v>
      </c>
    </row>
    <row r="554" ht="15.75" customHeight="1">
      <c r="A554" s="9">
        <v>2054245.0</v>
      </c>
      <c r="B554" s="9">
        <v>5640868.0</v>
      </c>
      <c r="C554" s="9">
        <v>38234.0</v>
      </c>
      <c r="D554" s="9" t="s">
        <v>52</v>
      </c>
      <c r="E554" s="9" t="s">
        <v>53</v>
      </c>
      <c r="F554" s="9">
        <v>58040.0</v>
      </c>
      <c r="G554" s="9">
        <v>9605692.0</v>
      </c>
      <c r="H554" s="9">
        <v>9605692.0</v>
      </c>
      <c r="I554" s="9">
        <v>9535469.4</v>
      </c>
      <c r="J554" s="9">
        <v>0.0</v>
      </c>
      <c r="K554" s="9">
        <v>0.0</v>
      </c>
      <c r="L554" s="9" t="s">
        <v>59</v>
      </c>
      <c r="M554" s="9" t="s">
        <v>62</v>
      </c>
      <c r="N554" s="9">
        <v>4249846.57</v>
      </c>
      <c r="O554" s="9">
        <v>4249846.57</v>
      </c>
      <c r="P554" s="9">
        <v>185135.83</v>
      </c>
      <c r="Q554" s="9">
        <v>185135.83</v>
      </c>
      <c r="R554" s="9" t="s">
        <v>56</v>
      </c>
      <c r="S554" s="9" t="s">
        <v>57</v>
      </c>
      <c r="T554" s="9" t="s">
        <v>58</v>
      </c>
      <c r="V554" s="9">
        <v>4249846.57</v>
      </c>
      <c r="W554" s="9">
        <v>185135.0</v>
      </c>
      <c r="X554" s="9">
        <v>0.0</v>
      </c>
    </row>
    <row r="555" ht="15.75" customHeight="1">
      <c r="A555" s="9">
        <v>2054279.0</v>
      </c>
      <c r="B555" s="9">
        <v>700317.0</v>
      </c>
      <c r="C555" s="9">
        <v>30485.0</v>
      </c>
      <c r="D555" s="9" t="s">
        <v>52</v>
      </c>
      <c r="E555" s="9" t="s">
        <v>53</v>
      </c>
      <c r="F555" s="9">
        <v>47129.0</v>
      </c>
      <c r="G555" s="9">
        <v>700317.0</v>
      </c>
      <c r="H555" s="9">
        <v>700317.0</v>
      </c>
      <c r="I555" s="9">
        <v>70842.05</v>
      </c>
      <c r="J555" s="9">
        <v>3320.0</v>
      </c>
      <c r="K555" s="9">
        <v>3320.0</v>
      </c>
      <c r="L555" s="9" t="s">
        <v>59</v>
      </c>
      <c r="M555" s="9" t="s">
        <v>55</v>
      </c>
      <c r="N555" s="9">
        <v>667817.0</v>
      </c>
      <c r="O555" s="9">
        <v>601035.3</v>
      </c>
      <c r="P555" s="9">
        <v>667817.0</v>
      </c>
      <c r="Q555" s="9">
        <v>12000.0</v>
      </c>
      <c r="R555" s="9" t="s">
        <v>60</v>
      </c>
      <c r="S555" s="9" t="s">
        <v>57</v>
      </c>
      <c r="T555" s="9" t="s">
        <v>61</v>
      </c>
      <c r="V555" s="9">
        <v>684332.14</v>
      </c>
      <c r="W555" s="9">
        <v>15984.86</v>
      </c>
      <c r="X555" s="9">
        <v>0.0</v>
      </c>
    </row>
    <row r="556" ht="15.75" customHeight="1">
      <c r="A556" s="9">
        <v>2054294.0</v>
      </c>
      <c r="B556" s="9">
        <v>136100.0</v>
      </c>
      <c r="C556" s="9">
        <v>31119.0</v>
      </c>
      <c r="D556" s="9" t="s">
        <v>52</v>
      </c>
      <c r="E556" s="9" t="s">
        <v>53</v>
      </c>
      <c r="F556" s="9">
        <v>42655.0</v>
      </c>
      <c r="G556" s="9">
        <v>136100.0</v>
      </c>
      <c r="H556" s="9">
        <v>136100.0</v>
      </c>
      <c r="I556" s="9">
        <v>0.0</v>
      </c>
      <c r="J556" s="9">
        <v>0.0</v>
      </c>
      <c r="K556" s="9">
        <v>0.0</v>
      </c>
      <c r="L556" s="9" t="s">
        <v>54</v>
      </c>
      <c r="M556" s="9" t="s">
        <v>55</v>
      </c>
      <c r="R556" s="9" t="s">
        <v>60</v>
      </c>
      <c r="S556" s="9" t="s">
        <v>57</v>
      </c>
      <c r="T556" s="9" t="s">
        <v>61</v>
      </c>
      <c r="V556" s="9">
        <v>141806.4</v>
      </c>
      <c r="W556" s="9">
        <v>0.0</v>
      </c>
      <c r="X556" s="9">
        <v>0.0</v>
      </c>
    </row>
    <row r="557" ht="15.75" customHeight="1">
      <c r="A557" s="9">
        <v>2054309.0</v>
      </c>
      <c r="B557" s="9">
        <v>1748890.0</v>
      </c>
      <c r="C557" s="9">
        <v>29595.0</v>
      </c>
      <c r="D557" s="9" t="s">
        <v>52</v>
      </c>
      <c r="E557" s="9" t="s">
        <v>53</v>
      </c>
      <c r="F557" s="9">
        <v>57185.0</v>
      </c>
      <c r="G557" s="9">
        <v>1748890.0</v>
      </c>
      <c r="H557" s="9">
        <v>1748890.0</v>
      </c>
      <c r="I557" s="9">
        <v>0.0</v>
      </c>
      <c r="J557" s="9">
        <v>0.0</v>
      </c>
      <c r="K557" s="9">
        <v>0.0</v>
      </c>
      <c r="L557" s="9" t="s">
        <v>54</v>
      </c>
      <c r="M557" s="9" t="s">
        <v>65</v>
      </c>
      <c r="N557" s="9">
        <v>50000.0</v>
      </c>
      <c r="O557" s="9">
        <v>49850.0</v>
      </c>
      <c r="R557" s="9" t="s">
        <v>60</v>
      </c>
      <c r="S557" s="9" t="s">
        <v>57</v>
      </c>
      <c r="T557" s="9" t="s">
        <v>61</v>
      </c>
      <c r="V557" s="9">
        <v>35000.0</v>
      </c>
      <c r="W557" s="9">
        <v>0.0</v>
      </c>
    </row>
    <row r="558" ht="15.75" customHeight="1">
      <c r="A558" s="9">
        <v>2054460.0</v>
      </c>
      <c r="B558" s="9">
        <v>283776.0</v>
      </c>
      <c r="C558" s="9">
        <v>30707.0</v>
      </c>
      <c r="D558" s="9" t="s">
        <v>52</v>
      </c>
      <c r="E558" s="9" t="s">
        <v>53</v>
      </c>
      <c r="F558" s="9">
        <v>50326.0</v>
      </c>
      <c r="G558" s="9">
        <v>996405.0</v>
      </c>
      <c r="H558" s="9">
        <v>965915.63</v>
      </c>
      <c r="I558" s="9">
        <v>965915.63</v>
      </c>
      <c r="J558" s="9">
        <v>0.0</v>
      </c>
      <c r="K558" s="9">
        <v>0.0</v>
      </c>
      <c r="L558" s="9" t="s">
        <v>69</v>
      </c>
      <c r="M558" s="9" t="s">
        <v>55</v>
      </c>
      <c r="N558" s="9">
        <v>912756.59</v>
      </c>
      <c r="O558" s="9">
        <v>912756.59</v>
      </c>
      <c r="P558" s="9">
        <v>57600.0</v>
      </c>
      <c r="Q558" s="9">
        <v>57600.0</v>
      </c>
      <c r="R558" s="9" t="s">
        <v>60</v>
      </c>
      <c r="S558" s="9" t="s">
        <v>57</v>
      </c>
      <c r="T558" s="9" t="s">
        <v>61</v>
      </c>
      <c r="V558" s="9">
        <v>912757.0</v>
      </c>
      <c r="W558" s="9">
        <v>53159.04</v>
      </c>
      <c r="X558" s="9">
        <v>0.0</v>
      </c>
    </row>
    <row r="559" ht="15.75" customHeight="1">
      <c r="A559" s="9">
        <v>2054462.0</v>
      </c>
      <c r="B559" s="9">
        <v>5865525.0</v>
      </c>
      <c r="C559" s="9">
        <v>30322.0</v>
      </c>
      <c r="D559" s="9" t="s">
        <v>52</v>
      </c>
      <c r="E559" s="9" t="s">
        <v>53</v>
      </c>
      <c r="F559" s="9">
        <v>44854.0</v>
      </c>
      <c r="G559" s="9">
        <v>5865525.0</v>
      </c>
      <c r="H559" s="9">
        <v>5865525.0</v>
      </c>
      <c r="I559" s="9">
        <v>1924144.4</v>
      </c>
      <c r="J559" s="9">
        <v>0.0</v>
      </c>
      <c r="K559" s="9">
        <v>0.0</v>
      </c>
      <c r="L559" s="9" t="s">
        <v>69</v>
      </c>
      <c r="M559" s="9" t="s">
        <v>55</v>
      </c>
      <c r="N559" s="9">
        <v>5323253.72</v>
      </c>
      <c r="O559" s="9">
        <v>5323253.72</v>
      </c>
      <c r="P559" s="9">
        <v>300000.0</v>
      </c>
      <c r="Q559" s="9">
        <v>270000.0</v>
      </c>
      <c r="R559" s="9" t="s">
        <v>60</v>
      </c>
      <c r="S559" s="9" t="s">
        <v>57</v>
      </c>
      <c r="T559" s="9" t="s">
        <v>61</v>
      </c>
      <c r="V559" s="9">
        <v>5323253.72</v>
      </c>
      <c r="W559" s="9">
        <v>125949.62</v>
      </c>
      <c r="X559" s="9">
        <v>0.0</v>
      </c>
    </row>
    <row r="560" ht="15.75" customHeight="1">
      <c r="A560" s="9">
        <v>2054513.0</v>
      </c>
      <c r="B560" s="9">
        <v>1882750.0</v>
      </c>
      <c r="C560" s="9">
        <v>30231.0</v>
      </c>
      <c r="D560" s="9" t="s">
        <v>52</v>
      </c>
      <c r="E560" s="9" t="s">
        <v>53</v>
      </c>
      <c r="F560" s="9">
        <v>39475.0</v>
      </c>
      <c r="G560" s="9">
        <v>1882750.0</v>
      </c>
      <c r="H560" s="9">
        <v>1882750.0</v>
      </c>
      <c r="I560" s="9">
        <v>0.0</v>
      </c>
      <c r="J560" s="9">
        <v>0.0</v>
      </c>
      <c r="K560" s="9">
        <v>0.0</v>
      </c>
      <c r="L560" s="9" t="s">
        <v>54</v>
      </c>
      <c r="M560" s="9" t="s">
        <v>55</v>
      </c>
      <c r="N560" s="9">
        <v>2082139.41</v>
      </c>
      <c r="O560" s="9">
        <v>2082139.41</v>
      </c>
      <c r="R560" s="9" t="s">
        <v>60</v>
      </c>
      <c r="S560" s="9" t="s">
        <v>57</v>
      </c>
      <c r="T560" s="9" t="s">
        <v>61</v>
      </c>
      <c r="V560" s="9">
        <v>2082139.41</v>
      </c>
      <c r="W560" s="9">
        <v>0.0</v>
      </c>
      <c r="X560" s="9">
        <v>0.0</v>
      </c>
    </row>
    <row r="561" ht="15.75" customHeight="1">
      <c r="A561" s="9">
        <v>2054979.0</v>
      </c>
      <c r="B561" s="9">
        <v>1904320.0</v>
      </c>
      <c r="C561" s="9">
        <v>29933.0</v>
      </c>
      <c r="D561" s="9" t="s">
        <v>52</v>
      </c>
      <c r="E561" s="9" t="s">
        <v>53</v>
      </c>
      <c r="F561" s="9">
        <v>46782.0</v>
      </c>
      <c r="G561" s="9">
        <v>1904320.0</v>
      </c>
      <c r="H561" s="9">
        <v>1904320.0</v>
      </c>
      <c r="I561" s="9">
        <v>0.0</v>
      </c>
      <c r="J561" s="9">
        <v>0.0</v>
      </c>
      <c r="K561" s="9">
        <v>0.0</v>
      </c>
      <c r="L561" s="9" t="s">
        <v>54</v>
      </c>
      <c r="M561" s="9" t="s">
        <v>55</v>
      </c>
      <c r="N561" s="9">
        <v>1830222.07</v>
      </c>
      <c r="O561" s="9">
        <v>1738710.96</v>
      </c>
      <c r="P561" s="9">
        <v>44984.0</v>
      </c>
      <c r="Q561" s="9">
        <v>40485.61</v>
      </c>
      <c r="R561" s="9" t="s">
        <v>60</v>
      </c>
      <c r="S561" s="9" t="s">
        <v>57</v>
      </c>
      <c r="T561" s="9" t="s">
        <v>61</v>
      </c>
      <c r="V561" s="9">
        <v>1632000.0</v>
      </c>
      <c r="W561" s="9">
        <v>0.0</v>
      </c>
      <c r="X561" s="9">
        <v>0.0</v>
      </c>
    </row>
    <row r="562" ht="15.75" customHeight="1">
      <c r="A562" s="9">
        <v>2055279.0</v>
      </c>
      <c r="B562" s="9">
        <v>3984412.0</v>
      </c>
      <c r="C562" s="9">
        <v>30405.0</v>
      </c>
      <c r="D562" s="9" t="s">
        <v>52</v>
      </c>
      <c r="E562" s="9" t="s">
        <v>53</v>
      </c>
      <c r="F562" s="9">
        <v>10014.0</v>
      </c>
      <c r="G562" s="9">
        <v>3984412.0</v>
      </c>
      <c r="H562" s="9">
        <v>3984412.0</v>
      </c>
      <c r="I562" s="9">
        <v>0.0</v>
      </c>
      <c r="J562" s="9">
        <v>0.0</v>
      </c>
      <c r="K562" s="9">
        <v>0.0</v>
      </c>
      <c r="L562" s="9" t="s">
        <v>54</v>
      </c>
      <c r="M562" s="9" t="s">
        <v>55</v>
      </c>
      <c r="N562" s="9">
        <v>4496026.89</v>
      </c>
      <c r="O562" s="9">
        <v>4761214.23</v>
      </c>
      <c r="P562" s="9">
        <v>71326.0</v>
      </c>
      <c r="Q562" s="9">
        <v>64193.4</v>
      </c>
      <c r="R562" s="9" t="s">
        <v>60</v>
      </c>
      <c r="S562" s="9" t="s">
        <v>57</v>
      </c>
      <c r="T562" s="9" t="s">
        <v>61</v>
      </c>
      <c r="V562" s="9">
        <v>5143165.57</v>
      </c>
      <c r="W562" s="9">
        <v>0.0</v>
      </c>
      <c r="X562" s="9">
        <v>0.0</v>
      </c>
    </row>
    <row r="563" ht="15.75" customHeight="1">
      <c r="A563" s="9">
        <v>2056434.0</v>
      </c>
      <c r="B563" s="9">
        <v>1906717.0</v>
      </c>
      <c r="C563" s="9">
        <v>30403.0</v>
      </c>
      <c r="D563" s="9" t="s">
        <v>52</v>
      </c>
      <c r="E563" s="9" t="s">
        <v>53</v>
      </c>
      <c r="F563" s="9">
        <v>57404.0</v>
      </c>
      <c r="G563" s="9">
        <v>1906717.0</v>
      </c>
      <c r="H563" s="9">
        <v>1906717.0</v>
      </c>
      <c r="I563" s="9">
        <v>824498.7</v>
      </c>
      <c r="J563" s="9">
        <v>0.0</v>
      </c>
      <c r="K563" s="9">
        <v>0.0</v>
      </c>
      <c r="L563" s="9" t="s">
        <v>59</v>
      </c>
      <c r="M563" s="9" t="s">
        <v>55</v>
      </c>
      <c r="N563" s="9">
        <v>1856717.0</v>
      </c>
      <c r="O563" s="9">
        <v>1849290.13</v>
      </c>
      <c r="P563" s="9">
        <v>50000.0</v>
      </c>
      <c r="Q563" s="9">
        <v>0.0</v>
      </c>
      <c r="R563" s="9" t="s">
        <v>56</v>
      </c>
      <c r="S563" s="9" t="s">
        <v>57</v>
      </c>
      <c r="T563" s="9" t="s">
        <v>58</v>
      </c>
      <c r="V563" s="9">
        <v>1849290.13</v>
      </c>
      <c r="W563" s="9">
        <v>0.0</v>
      </c>
      <c r="X563" s="9">
        <v>0.0</v>
      </c>
    </row>
    <row r="564" ht="15.75" customHeight="1">
      <c r="A564" s="9">
        <v>2056551.0</v>
      </c>
      <c r="B564" s="9">
        <v>5657939.0</v>
      </c>
      <c r="C564" s="9">
        <v>30345.0</v>
      </c>
      <c r="D564" s="9" t="s">
        <v>52</v>
      </c>
      <c r="E564" s="9" t="s">
        <v>53</v>
      </c>
      <c r="F564" s="9">
        <v>12327.0</v>
      </c>
      <c r="G564" s="9">
        <v>7135966.0</v>
      </c>
      <c r="H564" s="9">
        <v>7135966.0</v>
      </c>
      <c r="I564" s="9">
        <v>7637705.2</v>
      </c>
      <c r="J564" s="9">
        <v>0.0</v>
      </c>
      <c r="K564" s="9">
        <v>0.0</v>
      </c>
      <c r="L564" s="9" t="s">
        <v>59</v>
      </c>
      <c r="M564" s="9" t="s">
        <v>55</v>
      </c>
      <c r="N564" s="9">
        <v>6796158.63</v>
      </c>
      <c r="O564" s="9">
        <v>6796158.63</v>
      </c>
      <c r="P564" s="9">
        <v>339807.93</v>
      </c>
      <c r="Q564" s="9">
        <v>339807.93</v>
      </c>
      <c r="R564" s="9" t="s">
        <v>60</v>
      </c>
      <c r="S564" s="9" t="s">
        <v>57</v>
      </c>
      <c r="T564" s="9" t="s">
        <v>61</v>
      </c>
      <c r="V564" s="9">
        <v>7045102.01</v>
      </c>
      <c r="W564" s="9">
        <v>339807.92</v>
      </c>
      <c r="X564" s="9">
        <v>0.0</v>
      </c>
    </row>
    <row r="565" ht="15.75" customHeight="1">
      <c r="A565" s="9">
        <v>2056600.0</v>
      </c>
      <c r="B565" s="9">
        <v>3924588.0</v>
      </c>
      <c r="C565" s="9">
        <v>30362.0</v>
      </c>
      <c r="D565" s="9" t="s">
        <v>52</v>
      </c>
      <c r="E565" s="9" t="s">
        <v>53</v>
      </c>
      <c r="F565" s="9">
        <v>16358.0</v>
      </c>
      <c r="G565" s="9">
        <v>5046413.47</v>
      </c>
      <c r="H565" s="9">
        <v>5046413.47</v>
      </c>
      <c r="I565" s="9">
        <v>854949.0</v>
      </c>
      <c r="J565" s="9">
        <v>0.0</v>
      </c>
      <c r="K565" s="9">
        <v>0.0</v>
      </c>
      <c r="L565" s="9" t="s">
        <v>59</v>
      </c>
      <c r="M565" s="9" t="s">
        <v>55</v>
      </c>
      <c r="N565" s="9">
        <v>4645185.89</v>
      </c>
      <c r="O565" s="9">
        <v>4505830.31</v>
      </c>
      <c r="P565" s="9">
        <v>232742.53</v>
      </c>
      <c r="Q565" s="9">
        <v>232740.0</v>
      </c>
      <c r="R565" s="9" t="s">
        <v>60</v>
      </c>
      <c r="S565" s="9" t="s">
        <v>57</v>
      </c>
      <c r="T565" s="9" t="s">
        <v>61</v>
      </c>
      <c r="V565" s="9">
        <v>4816356.13</v>
      </c>
      <c r="W565" s="9">
        <v>0.0</v>
      </c>
      <c r="X565" s="9">
        <v>0.0</v>
      </c>
    </row>
    <row r="566" ht="15.75" customHeight="1">
      <c r="A566" s="9">
        <v>2057821.0</v>
      </c>
      <c r="B566" s="9">
        <v>1.9669211E7</v>
      </c>
      <c r="C566" s="9">
        <v>31218.0</v>
      </c>
      <c r="D566" s="9" t="s">
        <v>52</v>
      </c>
      <c r="E566" s="9" t="s">
        <v>53</v>
      </c>
      <c r="F566" s="9">
        <v>40898.0</v>
      </c>
      <c r="G566" s="9">
        <v>2.536168141E7</v>
      </c>
      <c r="H566" s="9">
        <v>2.536168141E7</v>
      </c>
      <c r="I566" s="9">
        <v>2.3880897E7</v>
      </c>
      <c r="J566" s="9">
        <v>0.0</v>
      </c>
      <c r="K566" s="9">
        <v>0.0</v>
      </c>
      <c r="L566" s="9" t="s">
        <v>69</v>
      </c>
      <c r="M566" s="9" t="s">
        <v>55</v>
      </c>
      <c r="R566" s="9" t="s">
        <v>60</v>
      </c>
      <c r="S566" s="9" t="s">
        <v>57</v>
      </c>
      <c r="T566" s="9" t="s">
        <v>61</v>
      </c>
      <c r="V566" s="9">
        <v>2.366276805E7</v>
      </c>
      <c r="W566" s="9">
        <v>0.0</v>
      </c>
      <c r="X566" s="9">
        <v>0.0</v>
      </c>
    </row>
    <row r="567" ht="15.75" customHeight="1">
      <c r="A567" s="9">
        <v>2057938.0</v>
      </c>
      <c r="B567" s="9">
        <v>1023165.0</v>
      </c>
      <c r="C567" s="9">
        <v>30408.0</v>
      </c>
      <c r="D567" s="9" t="s">
        <v>52</v>
      </c>
      <c r="E567" s="9" t="s">
        <v>53</v>
      </c>
      <c r="F567" s="9">
        <v>61875.0</v>
      </c>
      <c r="G567" s="9">
        <v>1023165.0</v>
      </c>
      <c r="H567" s="9">
        <v>1023165.0</v>
      </c>
      <c r="I567" s="9">
        <v>1004970.13</v>
      </c>
      <c r="J567" s="9">
        <v>0.0</v>
      </c>
      <c r="K567" s="9">
        <v>0.0</v>
      </c>
      <c r="L567" s="9" t="s">
        <v>69</v>
      </c>
      <c r="M567" s="9" t="s">
        <v>55</v>
      </c>
      <c r="N567" s="9">
        <v>913238.44</v>
      </c>
      <c r="O567" s="9">
        <v>913238.44</v>
      </c>
      <c r="P567" s="9">
        <v>63926.69</v>
      </c>
      <c r="Q567" s="9">
        <v>63926.69</v>
      </c>
      <c r="R567" s="9" t="s">
        <v>60</v>
      </c>
      <c r="S567" s="9" t="s">
        <v>57</v>
      </c>
      <c r="T567" s="9" t="s">
        <v>61</v>
      </c>
      <c r="V567" s="9">
        <v>900543.54</v>
      </c>
      <c r="W567" s="9">
        <v>0.0</v>
      </c>
      <c r="X567" s="9">
        <v>0.0</v>
      </c>
    </row>
    <row r="568" ht="15.75" customHeight="1">
      <c r="A568" s="9">
        <v>2059340.0</v>
      </c>
      <c r="B568" s="9">
        <v>289356.0</v>
      </c>
      <c r="C568" s="9">
        <v>31057.0</v>
      </c>
      <c r="D568" s="9" t="s">
        <v>52</v>
      </c>
      <c r="E568" s="9" t="s">
        <v>53</v>
      </c>
      <c r="F568" s="9">
        <v>65800.0</v>
      </c>
      <c r="G568" s="9">
        <v>289356.0</v>
      </c>
      <c r="H568" s="9">
        <v>289356.0</v>
      </c>
      <c r="I568" s="9">
        <v>0.0</v>
      </c>
      <c r="J568" s="9">
        <v>0.0</v>
      </c>
      <c r="K568" s="9">
        <v>0.0</v>
      </c>
      <c r="L568" s="9" t="s">
        <v>54</v>
      </c>
      <c r="M568" s="9" t="s">
        <v>55</v>
      </c>
      <c r="R568" s="9" t="s">
        <v>60</v>
      </c>
      <c r="S568" s="9" t="s">
        <v>57</v>
      </c>
      <c r="T568" s="9" t="s">
        <v>61</v>
      </c>
      <c r="V568" s="9">
        <v>252551.69</v>
      </c>
      <c r="W568" s="9">
        <v>0.0</v>
      </c>
      <c r="X568" s="9">
        <v>0.0</v>
      </c>
    </row>
    <row r="569" ht="15.75" customHeight="1">
      <c r="A569" s="9">
        <v>2059993.0</v>
      </c>
      <c r="B569" s="9">
        <v>1879312.0</v>
      </c>
      <c r="C569" s="9">
        <v>30257.0</v>
      </c>
      <c r="D569" s="9" t="s">
        <v>52</v>
      </c>
      <c r="E569" s="9" t="s">
        <v>53</v>
      </c>
      <c r="F569" s="9">
        <v>51297.0</v>
      </c>
      <c r="G569" s="9">
        <v>2442712.0</v>
      </c>
      <c r="H569" s="9">
        <v>2582013.36</v>
      </c>
      <c r="I569" s="9">
        <v>2581430.64</v>
      </c>
      <c r="J569" s="9">
        <v>0.0</v>
      </c>
      <c r="K569" s="9">
        <v>0.0</v>
      </c>
      <c r="L569" s="9" t="s">
        <v>59</v>
      </c>
      <c r="M569" s="9" t="s">
        <v>55</v>
      </c>
      <c r="N569" s="9">
        <v>2283380.9</v>
      </c>
      <c r="O569" s="9">
        <v>2283380.9</v>
      </c>
      <c r="P569" s="9">
        <v>83331.67</v>
      </c>
      <c r="Q569" s="9">
        <v>83331.67</v>
      </c>
      <c r="R569" s="9" t="s">
        <v>56</v>
      </c>
      <c r="S569" s="9" t="s">
        <v>57</v>
      </c>
      <c r="T569" s="9" t="s">
        <v>58</v>
      </c>
      <c r="V569" s="9">
        <v>1727292.67</v>
      </c>
      <c r="W569" s="9">
        <v>0.0</v>
      </c>
      <c r="X569" s="9">
        <v>0.0</v>
      </c>
    </row>
    <row r="570" ht="15.75" customHeight="1">
      <c r="A570" s="9">
        <v>2060125.0</v>
      </c>
      <c r="B570" s="9">
        <v>1943302.0</v>
      </c>
      <c r="C570" s="9">
        <v>31145.0</v>
      </c>
      <c r="D570" s="9" t="s">
        <v>52</v>
      </c>
      <c r="E570" s="9" t="s">
        <v>53</v>
      </c>
      <c r="F570" s="9">
        <v>62624.0</v>
      </c>
      <c r="G570" s="9">
        <v>1943302.0</v>
      </c>
      <c r="H570" s="9">
        <v>1943302.0</v>
      </c>
      <c r="I570" s="9">
        <v>10000.0</v>
      </c>
      <c r="J570" s="9">
        <v>0.0</v>
      </c>
      <c r="K570" s="9">
        <v>0.0</v>
      </c>
      <c r="L570" s="9" t="s">
        <v>59</v>
      </c>
      <c r="M570" s="9" t="s">
        <v>55</v>
      </c>
      <c r="R570" s="9" t="s">
        <v>60</v>
      </c>
      <c r="S570" s="9" t="s">
        <v>57</v>
      </c>
      <c r="T570" s="9" t="s">
        <v>61</v>
      </c>
      <c r="V570" s="9">
        <v>1341515.58</v>
      </c>
      <c r="W570" s="9">
        <v>0.0</v>
      </c>
      <c r="X570" s="9">
        <v>0.0</v>
      </c>
    </row>
    <row r="571" ht="15.75" customHeight="1">
      <c r="A571" s="9">
        <v>2060512.0</v>
      </c>
      <c r="B571" s="9">
        <v>959728.0</v>
      </c>
      <c r="C571" s="9">
        <v>30993.0</v>
      </c>
      <c r="D571" s="9" t="s">
        <v>52</v>
      </c>
      <c r="E571" s="9" t="s">
        <v>53</v>
      </c>
      <c r="F571" s="9">
        <v>55817.0</v>
      </c>
      <c r="G571" s="9">
        <v>959728.0</v>
      </c>
      <c r="H571" s="9">
        <v>959728.0</v>
      </c>
      <c r="I571" s="9">
        <v>558888.91</v>
      </c>
      <c r="J571" s="9">
        <v>0.0</v>
      </c>
      <c r="K571" s="9">
        <v>0.0</v>
      </c>
      <c r="L571" s="9" t="s">
        <v>59</v>
      </c>
      <c r="M571" s="9" t="s">
        <v>55</v>
      </c>
      <c r="R571" s="9" t="s">
        <v>60</v>
      </c>
      <c r="S571" s="9" t="s">
        <v>57</v>
      </c>
      <c r="T571" s="9" t="s">
        <v>61</v>
      </c>
      <c r="V571" s="9">
        <v>1056479.07</v>
      </c>
      <c r="W571" s="9">
        <v>0.0</v>
      </c>
      <c r="X571" s="9">
        <v>0.0</v>
      </c>
    </row>
    <row r="572" ht="15.75" customHeight="1">
      <c r="A572" s="9">
        <v>2061080.0</v>
      </c>
      <c r="B572" s="9">
        <v>908166.0</v>
      </c>
      <c r="C572" s="9">
        <v>29871.0</v>
      </c>
      <c r="D572" s="9" t="s">
        <v>52</v>
      </c>
      <c r="E572" s="9" t="s">
        <v>53</v>
      </c>
      <c r="F572" s="9">
        <v>22450.0</v>
      </c>
      <c r="G572" s="9">
        <v>908166.0</v>
      </c>
      <c r="H572" s="9">
        <v>908166.0</v>
      </c>
      <c r="I572" s="9">
        <v>1125375.85</v>
      </c>
      <c r="J572" s="9">
        <v>0.0</v>
      </c>
      <c r="K572" s="9">
        <v>0.0</v>
      </c>
      <c r="L572" s="9" t="s">
        <v>59</v>
      </c>
      <c r="M572" s="9" t="s">
        <v>55</v>
      </c>
      <c r="N572" s="9">
        <v>792271.95</v>
      </c>
      <c r="O572" s="9">
        <v>792272.0</v>
      </c>
      <c r="P572" s="9">
        <v>32200.0</v>
      </c>
      <c r="Q572" s="9">
        <v>27058.0</v>
      </c>
      <c r="R572" s="9" t="s">
        <v>60</v>
      </c>
      <c r="S572" s="9" t="s">
        <v>57</v>
      </c>
      <c r="T572" s="9" t="s">
        <v>61</v>
      </c>
      <c r="V572" s="9">
        <v>792271.95</v>
      </c>
      <c r="W572" s="9">
        <v>27058.0</v>
      </c>
      <c r="X572" s="9">
        <v>0.0</v>
      </c>
    </row>
    <row r="573" ht="15.75" customHeight="1">
      <c r="A573" s="9">
        <v>2064902.0</v>
      </c>
      <c r="B573" s="9">
        <v>1678353.0</v>
      </c>
      <c r="C573" s="9">
        <v>30589.0</v>
      </c>
      <c r="D573" s="9" t="s">
        <v>52</v>
      </c>
      <c r="E573" s="9" t="s">
        <v>53</v>
      </c>
      <c r="F573" s="9">
        <v>48752.0</v>
      </c>
      <c r="G573" s="9">
        <v>1678353.0</v>
      </c>
      <c r="H573" s="9">
        <v>1678353.0</v>
      </c>
      <c r="I573" s="9">
        <v>1186822.92</v>
      </c>
      <c r="J573" s="9">
        <v>0.0</v>
      </c>
      <c r="K573" s="9">
        <v>0.0</v>
      </c>
      <c r="L573" s="9" t="s">
        <v>59</v>
      </c>
      <c r="M573" s="9" t="s">
        <v>55</v>
      </c>
      <c r="N573" s="9">
        <v>1630853.0</v>
      </c>
      <c r="O573" s="9">
        <v>1467767.7</v>
      </c>
      <c r="P573" s="9">
        <v>47500.55</v>
      </c>
      <c r="Q573" s="9">
        <v>47500.0</v>
      </c>
      <c r="R573" s="9" t="s">
        <v>75</v>
      </c>
      <c r="S573" s="9" t="s">
        <v>57</v>
      </c>
      <c r="T573" s="9" t="s">
        <v>76</v>
      </c>
      <c r="V573" s="9">
        <v>0.0</v>
      </c>
      <c r="W573" s="9">
        <v>0.0</v>
      </c>
      <c r="X573" s="9">
        <v>0.0</v>
      </c>
    </row>
    <row r="574" ht="15.75" customHeight="1">
      <c r="A574" s="9">
        <v>2064934.0</v>
      </c>
      <c r="B574" s="9">
        <v>1605281.0</v>
      </c>
      <c r="C574" s="9">
        <v>30444.0</v>
      </c>
      <c r="D574" s="9" t="s">
        <v>52</v>
      </c>
      <c r="E574" s="9" t="s">
        <v>53</v>
      </c>
      <c r="F574" s="9">
        <v>49797.0</v>
      </c>
      <c r="G574" s="9">
        <v>3840712.0</v>
      </c>
      <c r="H574" s="9">
        <v>3840712.0</v>
      </c>
      <c r="I574" s="9">
        <v>3918237.0</v>
      </c>
      <c r="J574" s="9">
        <v>0.0</v>
      </c>
      <c r="K574" s="9">
        <v>0.0</v>
      </c>
      <c r="L574" s="9" t="s">
        <v>59</v>
      </c>
      <c r="M574" s="9" t="s">
        <v>55</v>
      </c>
      <c r="N574" s="9">
        <v>3491556.39</v>
      </c>
      <c r="O574" s="9">
        <v>3491556.39</v>
      </c>
      <c r="P574" s="9">
        <v>174578.0</v>
      </c>
      <c r="Q574" s="9">
        <v>174577.83</v>
      </c>
      <c r="R574" s="9" t="s">
        <v>72</v>
      </c>
      <c r="S574" s="9" t="s">
        <v>57</v>
      </c>
      <c r="T574" s="9" t="s">
        <v>73</v>
      </c>
      <c r="V574" s="9">
        <v>3522262.78</v>
      </c>
      <c r="W574" s="9">
        <v>174577.83</v>
      </c>
      <c r="X574" s="9">
        <v>0.0</v>
      </c>
    </row>
    <row r="575" ht="15.75" customHeight="1">
      <c r="A575" s="9">
        <v>2064970.0</v>
      </c>
      <c r="B575" s="9">
        <v>876954.0</v>
      </c>
      <c r="C575" s="9">
        <v>29807.0</v>
      </c>
      <c r="D575" s="9" t="s">
        <v>52</v>
      </c>
      <c r="E575" s="9" t="s">
        <v>53</v>
      </c>
      <c r="F575" s="9">
        <v>50406.0</v>
      </c>
      <c r="G575" s="9">
        <v>876954.0</v>
      </c>
      <c r="H575" s="9">
        <v>876954.0</v>
      </c>
      <c r="I575" s="9">
        <v>0.0</v>
      </c>
      <c r="J575" s="9">
        <v>0.0</v>
      </c>
      <c r="K575" s="9">
        <v>0.0</v>
      </c>
      <c r="L575" s="9" t="s">
        <v>54</v>
      </c>
      <c r="M575" s="9" t="s">
        <v>65</v>
      </c>
      <c r="N575" s="9">
        <v>0.0</v>
      </c>
      <c r="O575" s="9">
        <v>0.0</v>
      </c>
      <c r="R575" s="9" t="s">
        <v>60</v>
      </c>
      <c r="S575" s="9" t="s">
        <v>57</v>
      </c>
      <c r="T575" s="9" t="s">
        <v>61</v>
      </c>
    </row>
    <row r="576" ht="15.75" customHeight="1">
      <c r="A576" s="9">
        <v>2065029.0</v>
      </c>
      <c r="B576" s="9">
        <v>3434863.0</v>
      </c>
      <c r="C576" s="9">
        <v>31305.0</v>
      </c>
      <c r="D576" s="9" t="s">
        <v>52</v>
      </c>
      <c r="E576" s="9" t="s">
        <v>53</v>
      </c>
      <c r="F576" s="9">
        <v>51204.0</v>
      </c>
      <c r="G576" s="9">
        <v>3869756.66</v>
      </c>
      <c r="H576" s="9">
        <v>4409775.73</v>
      </c>
      <c r="I576" s="9">
        <v>4409775.73</v>
      </c>
      <c r="J576" s="9">
        <v>0.0</v>
      </c>
      <c r="K576" s="9">
        <v>0.0</v>
      </c>
      <c r="L576" s="9" t="s">
        <v>69</v>
      </c>
      <c r="M576" s="9" t="s">
        <v>55</v>
      </c>
      <c r="R576" s="9" t="s">
        <v>72</v>
      </c>
      <c r="S576" s="9" t="s">
        <v>57</v>
      </c>
      <c r="T576" s="9" t="s">
        <v>73</v>
      </c>
      <c r="V576" s="9">
        <v>2480407.31</v>
      </c>
      <c r="W576" s="9">
        <v>115713.14</v>
      </c>
      <c r="X576" s="9">
        <v>0.0</v>
      </c>
    </row>
    <row r="577" ht="15.75" customHeight="1">
      <c r="A577" s="9">
        <v>2065204.0</v>
      </c>
      <c r="B577" s="9">
        <v>2788709.0</v>
      </c>
      <c r="C577" s="9">
        <v>37146.0</v>
      </c>
      <c r="D577" s="9" t="s">
        <v>52</v>
      </c>
      <c r="E577" s="9" t="s">
        <v>53</v>
      </c>
      <c r="F577" s="9">
        <v>53284.0</v>
      </c>
      <c r="G577" s="9">
        <v>1904708.06</v>
      </c>
      <c r="H577" s="9">
        <v>8030160.2</v>
      </c>
      <c r="I577" s="9">
        <v>8030034.59</v>
      </c>
      <c r="J577" s="9">
        <v>0.0</v>
      </c>
      <c r="K577" s="9">
        <v>0.0</v>
      </c>
      <c r="L577" s="9" t="s">
        <v>59</v>
      </c>
      <c r="M577" s="9" t="s">
        <v>62</v>
      </c>
      <c r="N577" s="9">
        <v>4674166.36</v>
      </c>
      <c r="O577" s="9">
        <v>4674166.36</v>
      </c>
      <c r="P577" s="9">
        <v>172224.26</v>
      </c>
      <c r="Q577" s="9">
        <v>172224.26</v>
      </c>
      <c r="R577" s="9" t="s">
        <v>60</v>
      </c>
      <c r="S577" s="9" t="s">
        <v>57</v>
      </c>
      <c r="T577" s="9" t="s">
        <v>61</v>
      </c>
      <c r="V577" s="9">
        <v>4674041.59</v>
      </c>
      <c r="W577" s="9">
        <v>172224.26</v>
      </c>
      <c r="X577" s="9">
        <v>0.0</v>
      </c>
    </row>
    <row r="578" ht="15.75" customHeight="1">
      <c r="A578" s="9">
        <v>2065261.0</v>
      </c>
      <c r="B578" s="9">
        <v>2166822.0</v>
      </c>
      <c r="C578" s="9">
        <v>30549.0</v>
      </c>
      <c r="D578" s="9" t="s">
        <v>52</v>
      </c>
      <c r="E578" s="9" t="s">
        <v>53</v>
      </c>
      <c r="F578" s="9">
        <v>53822.0</v>
      </c>
      <c r="G578" s="9">
        <v>2382857.04</v>
      </c>
      <c r="H578" s="9">
        <v>2382857.04</v>
      </c>
      <c r="I578" s="9">
        <v>2441952.45</v>
      </c>
      <c r="J578" s="9">
        <v>0.0</v>
      </c>
      <c r="K578" s="9">
        <v>0.0</v>
      </c>
      <c r="L578" s="9" t="s">
        <v>59</v>
      </c>
      <c r="M578" s="9" t="s">
        <v>55</v>
      </c>
      <c r="N578" s="9">
        <v>2322857.04</v>
      </c>
      <c r="O578" s="9">
        <v>2322857.04</v>
      </c>
      <c r="P578" s="9">
        <v>60000.0</v>
      </c>
      <c r="Q578" s="9">
        <v>60000.0</v>
      </c>
      <c r="R578" s="9" t="s">
        <v>60</v>
      </c>
      <c r="S578" s="9" t="s">
        <v>57</v>
      </c>
      <c r="T578" s="9" t="s">
        <v>61</v>
      </c>
      <c r="V578" s="9">
        <v>2358234.85</v>
      </c>
      <c r="W578" s="9">
        <v>60000.0</v>
      </c>
      <c r="X578" s="9">
        <v>0.0</v>
      </c>
    </row>
    <row r="579" ht="15.75" customHeight="1">
      <c r="A579" s="9">
        <v>2065472.0</v>
      </c>
      <c r="B579" s="9">
        <v>5469390.0</v>
      </c>
      <c r="C579" s="9">
        <v>30066.0</v>
      </c>
      <c r="D579" s="9" t="s">
        <v>52</v>
      </c>
      <c r="E579" s="9" t="s">
        <v>53</v>
      </c>
      <c r="F579" s="9">
        <v>56671.0</v>
      </c>
      <c r="G579" s="9">
        <v>5906941.2</v>
      </c>
      <c r="H579" s="9">
        <v>5906941.2</v>
      </c>
      <c r="I579" s="9">
        <v>5529213.09</v>
      </c>
      <c r="J579" s="9">
        <v>0.0</v>
      </c>
      <c r="K579" s="9">
        <v>0.0</v>
      </c>
      <c r="L579" s="9" t="s">
        <v>59</v>
      </c>
      <c r="M579" s="9" t="s">
        <v>55</v>
      </c>
      <c r="N579" s="9">
        <v>5374192.0</v>
      </c>
      <c r="O579" s="9">
        <v>1595794.35</v>
      </c>
      <c r="P579" s="9">
        <v>154965.0</v>
      </c>
      <c r="Q579" s="9">
        <v>154965.0</v>
      </c>
      <c r="R579" s="9" t="s">
        <v>63</v>
      </c>
      <c r="S579" s="9" t="s">
        <v>63</v>
      </c>
    </row>
    <row r="580" ht="15.75" customHeight="1">
      <c r="A580" s="9">
        <v>2065563.0</v>
      </c>
      <c r="B580" s="9">
        <v>826016.0</v>
      </c>
      <c r="C580" s="9">
        <v>29754.0</v>
      </c>
      <c r="D580" s="9" t="s">
        <v>52</v>
      </c>
      <c r="E580" s="9" t="s">
        <v>53</v>
      </c>
      <c r="F580" s="9">
        <v>57403.0</v>
      </c>
      <c r="G580" s="9">
        <v>826016.0</v>
      </c>
      <c r="H580" s="9">
        <v>826016.0</v>
      </c>
      <c r="I580" s="9">
        <v>41041.0</v>
      </c>
      <c r="J580" s="9">
        <v>0.0</v>
      </c>
      <c r="K580" s="9">
        <v>0.0</v>
      </c>
      <c r="L580" s="9" t="s">
        <v>54</v>
      </c>
      <c r="M580" s="9" t="s">
        <v>65</v>
      </c>
      <c r="N580" s="9">
        <v>33041.0</v>
      </c>
      <c r="O580" s="9">
        <v>33041.0</v>
      </c>
      <c r="R580" s="9" t="s">
        <v>60</v>
      </c>
      <c r="S580" s="9" t="s">
        <v>57</v>
      </c>
      <c r="T580" s="9" t="s">
        <v>61</v>
      </c>
      <c r="V580" s="9">
        <v>33041.0</v>
      </c>
      <c r="W580" s="9">
        <v>0.0</v>
      </c>
    </row>
    <row r="581" ht="15.75" customHeight="1">
      <c r="A581" s="9">
        <v>2065840.0</v>
      </c>
      <c r="B581" s="9">
        <v>2972364.0</v>
      </c>
      <c r="C581" s="9">
        <v>30337.0</v>
      </c>
      <c r="D581" s="9" t="s">
        <v>52</v>
      </c>
      <c r="E581" s="9" t="s">
        <v>53</v>
      </c>
      <c r="F581" s="9">
        <v>59933.0</v>
      </c>
      <c r="G581" s="9">
        <v>3542302.0</v>
      </c>
      <c r="H581" s="9">
        <v>3542302.0</v>
      </c>
      <c r="I581" s="9">
        <v>3499674.34</v>
      </c>
      <c r="J581" s="9">
        <v>0.0</v>
      </c>
      <c r="K581" s="9">
        <v>0.0</v>
      </c>
      <c r="L581" s="9" t="s">
        <v>69</v>
      </c>
      <c r="M581" s="9" t="s">
        <v>55</v>
      </c>
      <c r="N581" s="9">
        <v>3415310.0</v>
      </c>
      <c r="O581" s="9">
        <v>3442565.2</v>
      </c>
      <c r="P581" s="9">
        <v>106357.44</v>
      </c>
      <c r="Q581" s="9">
        <v>106000.0</v>
      </c>
      <c r="R581" s="9" t="s">
        <v>60</v>
      </c>
      <c r="S581" s="9" t="s">
        <v>57</v>
      </c>
      <c r="T581" s="9" t="s">
        <v>61</v>
      </c>
      <c r="V581" s="9">
        <v>2899046.6</v>
      </c>
      <c r="W581" s="9">
        <v>0.0</v>
      </c>
      <c r="X581" s="9">
        <v>0.0</v>
      </c>
    </row>
    <row r="582" ht="15.75" customHeight="1">
      <c r="A582" s="9">
        <v>2065865.0</v>
      </c>
      <c r="B582" s="9">
        <v>162812.0</v>
      </c>
      <c r="C582" s="9">
        <v>29752.0</v>
      </c>
      <c r="D582" s="9" t="s">
        <v>52</v>
      </c>
      <c r="E582" s="9" t="s">
        <v>53</v>
      </c>
      <c r="F582" s="9">
        <v>60071.0</v>
      </c>
      <c r="G582" s="9">
        <v>162812.0</v>
      </c>
      <c r="H582" s="9">
        <v>162812.0</v>
      </c>
      <c r="I582" s="9">
        <v>39313.0</v>
      </c>
      <c r="J582" s="9">
        <v>0.0</v>
      </c>
      <c r="K582" s="9">
        <v>0.0</v>
      </c>
      <c r="L582" s="9" t="s">
        <v>54</v>
      </c>
      <c r="M582" s="9" t="s">
        <v>65</v>
      </c>
      <c r="N582" s="9">
        <v>6513.0</v>
      </c>
      <c r="O582" s="9">
        <v>6513.0</v>
      </c>
      <c r="R582" s="9" t="s">
        <v>60</v>
      </c>
      <c r="S582" s="9" t="s">
        <v>57</v>
      </c>
      <c r="T582" s="9" t="s">
        <v>61</v>
      </c>
      <c r="V582" s="9">
        <v>6513.0</v>
      </c>
      <c r="W582" s="9">
        <v>0.0</v>
      </c>
    </row>
    <row r="583" ht="15.75" customHeight="1">
      <c r="A583" s="9">
        <v>2066065.0</v>
      </c>
      <c r="B583" s="9">
        <v>331561.0</v>
      </c>
      <c r="C583" s="9">
        <v>31122.0</v>
      </c>
      <c r="D583" s="9" t="s">
        <v>52</v>
      </c>
      <c r="E583" s="9" t="s">
        <v>53</v>
      </c>
      <c r="F583" s="9">
        <v>61382.0</v>
      </c>
      <c r="G583" s="9">
        <v>331561.0</v>
      </c>
      <c r="H583" s="9">
        <v>331561.0</v>
      </c>
      <c r="I583" s="9">
        <v>329560.6</v>
      </c>
      <c r="J583" s="9">
        <v>0.0</v>
      </c>
      <c r="K583" s="9">
        <v>0.0</v>
      </c>
      <c r="L583" s="9" t="s">
        <v>59</v>
      </c>
      <c r="M583" s="9" t="s">
        <v>55</v>
      </c>
      <c r="R583" s="9" t="s">
        <v>60</v>
      </c>
      <c r="S583" s="9" t="s">
        <v>57</v>
      </c>
      <c r="T583" s="9" t="s">
        <v>61</v>
      </c>
      <c r="V583" s="9">
        <v>329560.6</v>
      </c>
      <c r="W583" s="9">
        <v>0.0</v>
      </c>
      <c r="X583" s="9">
        <v>0.0</v>
      </c>
    </row>
    <row r="584" ht="15.75" customHeight="1">
      <c r="A584" s="9">
        <v>2066174.0</v>
      </c>
      <c r="B584" s="9">
        <v>2201527.0</v>
      </c>
      <c r="C584" s="9">
        <v>29927.0</v>
      </c>
      <c r="D584" s="9" t="s">
        <v>52</v>
      </c>
      <c r="E584" s="9" t="s">
        <v>53</v>
      </c>
      <c r="F584" s="9">
        <v>61676.0</v>
      </c>
      <c r="G584" s="9">
        <v>2201527.0</v>
      </c>
      <c r="H584" s="9">
        <v>2201527.0</v>
      </c>
      <c r="I584" s="9">
        <v>2302890.47</v>
      </c>
      <c r="J584" s="9">
        <v>0.0</v>
      </c>
      <c r="K584" s="9">
        <v>0.0</v>
      </c>
      <c r="L584" s="9" t="s">
        <v>59</v>
      </c>
      <c r="M584" s="9" t="s">
        <v>55</v>
      </c>
      <c r="N584" s="9">
        <v>1979758.22</v>
      </c>
      <c r="O584" s="9">
        <v>1979758.22</v>
      </c>
      <c r="P584" s="9">
        <v>39000.0</v>
      </c>
      <c r="Q584" s="9">
        <v>39000.0</v>
      </c>
      <c r="R584" s="9" t="s">
        <v>60</v>
      </c>
      <c r="S584" s="9" t="s">
        <v>57</v>
      </c>
      <c r="T584" s="9" t="s">
        <v>61</v>
      </c>
      <c r="V584" s="9">
        <v>2188946.83</v>
      </c>
      <c r="W584" s="9">
        <v>0.0</v>
      </c>
      <c r="X584" s="9">
        <v>0.0</v>
      </c>
    </row>
    <row r="585" ht="15.75" customHeight="1">
      <c r="A585" s="9">
        <v>2066867.0</v>
      </c>
      <c r="B585" s="9">
        <v>2629087.0</v>
      </c>
      <c r="C585" s="9">
        <v>30041.0</v>
      </c>
      <c r="D585" s="9" t="s">
        <v>52</v>
      </c>
      <c r="E585" s="9" t="s">
        <v>53</v>
      </c>
      <c r="F585" s="9">
        <v>63603.0</v>
      </c>
      <c r="G585" s="9">
        <v>2629087.0</v>
      </c>
      <c r="H585" s="9">
        <v>2629087.0</v>
      </c>
      <c r="I585" s="9">
        <v>2622820.77</v>
      </c>
      <c r="J585" s="9">
        <v>0.0</v>
      </c>
      <c r="K585" s="9">
        <v>0.0</v>
      </c>
      <c r="L585" s="9" t="s">
        <v>59</v>
      </c>
      <c r="M585" s="9" t="s">
        <v>55</v>
      </c>
      <c r="N585" s="9">
        <v>2561370.85</v>
      </c>
      <c r="O585" s="9">
        <v>180000.0</v>
      </c>
      <c r="P585" s="9">
        <v>67716.15</v>
      </c>
      <c r="Q585" s="9">
        <v>67716.15</v>
      </c>
      <c r="R585" s="9" t="s">
        <v>60</v>
      </c>
      <c r="S585" s="9" t="s">
        <v>57</v>
      </c>
      <c r="T585" s="9" t="s">
        <v>61</v>
      </c>
      <c r="V585" s="9">
        <v>2649486.77</v>
      </c>
      <c r="W585" s="9">
        <v>0.0</v>
      </c>
      <c r="X585" s="9">
        <v>0.0</v>
      </c>
    </row>
    <row r="586" ht="15.75" customHeight="1">
      <c r="A586" s="9">
        <v>2066901.0</v>
      </c>
      <c r="B586" s="9">
        <v>4897108.0</v>
      </c>
      <c r="C586" s="9">
        <v>31224.0</v>
      </c>
      <c r="D586" s="9" t="s">
        <v>52</v>
      </c>
      <c r="E586" s="9" t="s">
        <v>53</v>
      </c>
      <c r="F586" s="9">
        <v>63717.0</v>
      </c>
      <c r="G586" s="9">
        <v>4897108.0</v>
      </c>
      <c r="H586" s="9">
        <v>4897108.0</v>
      </c>
      <c r="I586" s="9">
        <v>0.0</v>
      </c>
      <c r="J586" s="9">
        <v>0.0</v>
      </c>
      <c r="K586" s="9">
        <v>0.0</v>
      </c>
      <c r="L586" s="9" t="s">
        <v>54</v>
      </c>
      <c r="M586" s="9" t="s">
        <v>55</v>
      </c>
      <c r="R586" s="9" t="s">
        <v>60</v>
      </c>
      <c r="S586" s="9" t="s">
        <v>57</v>
      </c>
      <c r="T586" s="9" t="s">
        <v>61</v>
      </c>
      <c r="V586" s="9">
        <v>3639849.69</v>
      </c>
      <c r="W586" s="9">
        <v>326666.66</v>
      </c>
      <c r="X586" s="9">
        <v>0.0</v>
      </c>
    </row>
    <row r="587" ht="15.75" customHeight="1">
      <c r="A587" s="9">
        <v>2066940.0</v>
      </c>
      <c r="B587" s="9">
        <v>2534016.0</v>
      </c>
      <c r="C587" s="9">
        <v>29918.0</v>
      </c>
      <c r="D587" s="9" t="s">
        <v>52</v>
      </c>
      <c r="E587" s="9" t="s">
        <v>53</v>
      </c>
      <c r="F587" s="9">
        <v>63883.0</v>
      </c>
      <c r="G587" s="9">
        <v>2534016.0</v>
      </c>
      <c r="H587" s="9">
        <v>2534016.0</v>
      </c>
      <c r="I587" s="9">
        <v>2527250.0</v>
      </c>
      <c r="J587" s="9">
        <v>0.0</v>
      </c>
      <c r="K587" s="9">
        <v>0.0</v>
      </c>
      <c r="L587" s="9" t="s">
        <v>59</v>
      </c>
      <c r="M587" s="9" t="s">
        <v>55</v>
      </c>
      <c r="N587" s="9">
        <v>2306447.68</v>
      </c>
      <c r="O587" s="9">
        <v>2445000.0</v>
      </c>
      <c r="P587" s="9">
        <v>70000.0</v>
      </c>
      <c r="Q587" s="9">
        <v>70000.0</v>
      </c>
      <c r="R587" s="9" t="s">
        <v>60</v>
      </c>
      <c r="S587" s="9" t="s">
        <v>57</v>
      </c>
      <c r="T587" s="9" t="s">
        <v>61</v>
      </c>
      <c r="V587" s="9">
        <v>2445000.0</v>
      </c>
      <c r="W587" s="9">
        <v>70000.0</v>
      </c>
      <c r="X587" s="9">
        <v>0.0</v>
      </c>
    </row>
    <row r="588" ht="15.75" customHeight="1">
      <c r="A588" s="9">
        <v>2067569.0</v>
      </c>
      <c r="B588" s="9">
        <v>2987810.0</v>
      </c>
      <c r="C588" s="9">
        <v>30882.0</v>
      </c>
      <c r="D588" s="9" t="s">
        <v>52</v>
      </c>
      <c r="E588" s="9" t="s">
        <v>53</v>
      </c>
      <c r="F588" s="9">
        <v>66181.0</v>
      </c>
      <c r="G588" s="9">
        <v>4114902.61</v>
      </c>
      <c r="H588" s="9">
        <v>4114902.61</v>
      </c>
      <c r="I588" s="9">
        <v>4040855.66</v>
      </c>
      <c r="J588" s="9">
        <v>0.0</v>
      </c>
      <c r="K588" s="9">
        <v>0.0</v>
      </c>
      <c r="L588" s="9" t="s">
        <v>59</v>
      </c>
      <c r="M588" s="9" t="s">
        <v>55</v>
      </c>
      <c r="N588" s="9">
        <v>3059458.56</v>
      </c>
      <c r="O588" s="9">
        <v>2852000.0</v>
      </c>
      <c r="P588" s="9">
        <v>124027.44</v>
      </c>
      <c r="Q588" s="9">
        <v>105108.0</v>
      </c>
      <c r="R588" s="9" t="s">
        <v>94</v>
      </c>
      <c r="S588" s="9" t="s">
        <v>57</v>
      </c>
      <c r="T588" s="9" t="s">
        <v>95</v>
      </c>
    </row>
    <row r="589" ht="15.75" customHeight="1">
      <c r="A589" s="9">
        <v>2067910.0</v>
      </c>
      <c r="B589" s="9">
        <v>7644114.0</v>
      </c>
      <c r="C589" s="9">
        <v>30336.0</v>
      </c>
      <c r="D589" s="9" t="s">
        <v>52</v>
      </c>
      <c r="E589" s="9" t="s">
        <v>53</v>
      </c>
      <c r="F589" s="9">
        <v>67287.0</v>
      </c>
      <c r="G589" s="9">
        <v>8392565.74</v>
      </c>
      <c r="H589" s="9">
        <v>2817441.0</v>
      </c>
      <c r="I589" s="9">
        <v>2877304.86</v>
      </c>
      <c r="J589" s="9">
        <v>0.0</v>
      </c>
      <c r="K589" s="9">
        <v>0.0</v>
      </c>
      <c r="L589" s="9" t="s">
        <v>59</v>
      </c>
      <c r="M589" s="9" t="s">
        <v>55</v>
      </c>
      <c r="N589" s="9">
        <v>7827565.74</v>
      </c>
      <c r="O589" s="9">
        <v>7796255.47</v>
      </c>
      <c r="P589" s="9">
        <v>390000.0</v>
      </c>
      <c r="Q589" s="9">
        <v>390000.0</v>
      </c>
      <c r="R589" s="9" t="s">
        <v>60</v>
      </c>
      <c r="S589" s="9" t="s">
        <v>57</v>
      </c>
      <c r="T589" s="9" t="s">
        <v>61</v>
      </c>
      <c r="V589" s="9">
        <v>7562091.03</v>
      </c>
      <c r="W589" s="9">
        <v>338000.5</v>
      </c>
      <c r="X589" s="9">
        <v>0.0</v>
      </c>
    </row>
    <row r="590" ht="15.75" customHeight="1">
      <c r="A590" s="9">
        <v>2068180.0</v>
      </c>
      <c r="B590" s="9">
        <v>146443.0</v>
      </c>
      <c r="C590" s="9">
        <v>31062.0</v>
      </c>
      <c r="D590" s="9" t="s">
        <v>52</v>
      </c>
      <c r="E590" s="9" t="s">
        <v>53</v>
      </c>
      <c r="F590" s="9">
        <v>68149.0</v>
      </c>
      <c r="G590" s="9">
        <v>146443.0</v>
      </c>
      <c r="H590" s="9">
        <v>146443.0</v>
      </c>
      <c r="I590" s="9">
        <v>131404.32</v>
      </c>
      <c r="J590" s="9">
        <v>0.0</v>
      </c>
      <c r="K590" s="9">
        <v>0.0</v>
      </c>
      <c r="L590" s="9" t="s">
        <v>69</v>
      </c>
      <c r="M590" s="9" t="s">
        <v>55</v>
      </c>
      <c r="R590" s="9" t="s">
        <v>60</v>
      </c>
      <c r="S590" s="9" t="s">
        <v>57</v>
      </c>
      <c r="T590" s="9" t="s">
        <v>61</v>
      </c>
      <c r="V590" s="9">
        <v>135174.7</v>
      </c>
      <c r="W590" s="9">
        <v>3500.0</v>
      </c>
      <c r="X590" s="9">
        <v>0.0</v>
      </c>
    </row>
    <row r="591" ht="15.75" customHeight="1">
      <c r="A591" s="9">
        <v>2068305.0</v>
      </c>
      <c r="B591" s="9">
        <v>9384503.0</v>
      </c>
      <c r="C591" s="9">
        <v>30057.0</v>
      </c>
      <c r="D591" s="9" t="s">
        <v>52</v>
      </c>
      <c r="E591" s="9" t="s">
        <v>53</v>
      </c>
      <c r="F591" s="9">
        <v>68490.0</v>
      </c>
      <c r="G591" s="9">
        <v>1.094269681E7</v>
      </c>
      <c r="H591" s="9">
        <v>1.094269681E7</v>
      </c>
      <c r="I591" s="9">
        <v>1.135377943E7</v>
      </c>
      <c r="J591" s="9">
        <v>0.0</v>
      </c>
      <c r="K591" s="9">
        <v>0.0</v>
      </c>
      <c r="L591" s="9" t="s">
        <v>59</v>
      </c>
      <c r="M591" s="9" t="s">
        <v>55</v>
      </c>
      <c r="N591" s="9">
        <v>8281072.32</v>
      </c>
      <c r="O591" s="9">
        <v>836346.05</v>
      </c>
      <c r="P591" s="9">
        <v>256680.16</v>
      </c>
      <c r="Q591" s="9">
        <v>256680.16</v>
      </c>
      <c r="R591" s="9" t="s">
        <v>60</v>
      </c>
      <c r="S591" s="9" t="s">
        <v>57</v>
      </c>
      <c r="T591" s="9" t="s">
        <v>61</v>
      </c>
      <c r="V591" s="9">
        <v>1.236644406E7</v>
      </c>
      <c r="W591" s="9">
        <v>280247.8</v>
      </c>
      <c r="X591" s="9">
        <v>0.0</v>
      </c>
    </row>
    <row r="592" ht="15.75" customHeight="1">
      <c r="A592" s="9">
        <v>2068639.0</v>
      </c>
      <c r="B592" s="9">
        <v>1251781.0</v>
      </c>
      <c r="C592" s="9">
        <v>29920.0</v>
      </c>
      <c r="D592" s="9" t="s">
        <v>52</v>
      </c>
      <c r="E592" s="9" t="s">
        <v>53</v>
      </c>
      <c r="F592" s="9">
        <v>69368.0</v>
      </c>
      <c r="G592" s="9">
        <v>1251781.0</v>
      </c>
      <c r="H592" s="9">
        <v>1251781.0</v>
      </c>
      <c r="I592" s="9">
        <v>0.0</v>
      </c>
      <c r="J592" s="9">
        <v>0.0</v>
      </c>
      <c r="K592" s="9">
        <v>0.0</v>
      </c>
      <c r="L592" s="9" t="s">
        <v>54</v>
      </c>
      <c r="M592" s="9" t="s">
        <v>55</v>
      </c>
      <c r="N592" s="9">
        <v>1180927.0</v>
      </c>
      <c r="O592" s="9">
        <v>1180927.0</v>
      </c>
      <c r="P592" s="9">
        <v>70854.0</v>
      </c>
      <c r="Q592" s="9">
        <v>63768.6</v>
      </c>
      <c r="R592" s="9" t="s">
        <v>94</v>
      </c>
      <c r="S592" s="9" t="s">
        <v>57</v>
      </c>
      <c r="T592" s="9" t="s">
        <v>95</v>
      </c>
    </row>
    <row r="593" ht="15.75" customHeight="1">
      <c r="A593" s="9">
        <v>2069307.0</v>
      </c>
      <c r="B593" s="9">
        <v>2426089.0</v>
      </c>
      <c r="C593" s="9">
        <v>29747.0</v>
      </c>
      <c r="D593" s="9" t="s">
        <v>52</v>
      </c>
      <c r="E593" s="9" t="s">
        <v>53</v>
      </c>
      <c r="F593" s="9">
        <v>71234.0</v>
      </c>
      <c r="G593" s="9">
        <v>2426089.0</v>
      </c>
      <c r="H593" s="9">
        <v>2426089.0</v>
      </c>
      <c r="I593" s="9">
        <v>102044.0</v>
      </c>
      <c r="J593" s="9">
        <v>0.0</v>
      </c>
      <c r="K593" s="9">
        <v>0.0</v>
      </c>
      <c r="L593" s="9" t="s">
        <v>59</v>
      </c>
      <c r="M593" s="9" t="s">
        <v>65</v>
      </c>
      <c r="N593" s="9">
        <v>97044.0</v>
      </c>
      <c r="O593" s="9">
        <v>97044.0</v>
      </c>
      <c r="R593" s="9" t="s">
        <v>60</v>
      </c>
      <c r="S593" s="9" t="s">
        <v>57</v>
      </c>
      <c r="T593" s="9" t="s">
        <v>61</v>
      </c>
      <c r="V593" s="9">
        <v>97044.0</v>
      </c>
      <c r="W593" s="9">
        <v>0.0</v>
      </c>
    </row>
    <row r="594" ht="15.75" customHeight="1">
      <c r="A594" s="9">
        <v>2070082.0</v>
      </c>
      <c r="B594" s="9">
        <v>4323136.0</v>
      </c>
      <c r="C594" s="9">
        <v>30439.0</v>
      </c>
      <c r="D594" s="9" t="s">
        <v>52</v>
      </c>
      <c r="E594" s="9" t="s">
        <v>53</v>
      </c>
      <c r="F594" s="9">
        <v>73441.0</v>
      </c>
      <c r="G594" s="9">
        <v>4746998.3</v>
      </c>
      <c r="H594" s="9">
        <v>4746998.3</v>
      </c>
      <c r="I594" s="9">
        <v>4317736.93</v>
      </c>
      <c r="J594" s="9">
        <v>0.0</v>
      </c>
      <c r="K594" s="9">
        <v>0.0</v>
      </c>
      <c r="L594" s="9" t="s">
        <v>59</v>
      </c>
      <c r="M594" s="9" t="s">
        <v>55</v>
      </c>
      <c r="N594" s="9">
        <v>4388824.83</v>
      </c>
      <c r="O594" s="9">
        <v>4388824.83</v>
      </c>
      <c r="P594" s="9">
        <v>150000.0</v>
      </c>
      <c r="Q594" s="9">
        <v>150000.0</v>
      </c>
      <c r="R594" s="9" t="s">
        <v>75</v>
      </c>
      <c r="S594" s="9" t="s">
        <v>57</v>
      </c>
      <c r="T594" s="9" t="s">
        <v>76</v>
      </c>
    </row>
    <row r="595" ht="15.75" customHeight="1">
      <c r="A595" s="9">
        <v>2058730.0</v>
      </c>
      <c r="B595" s="9">
        <v>2012668.0</v>
      </c>
      <c r="C595" s="9">
        <v>31016.0</v>
      </c>
      <c r="D595" s="9" t="s">
        <v>52</v>
      </c>
      <c r="E595" s="9" t="s">
        <v>53</v>
      </c>
      <c r="F595" s="9">
        <v>60542.0</v>
      </c>
      <c r="G595" s="9">
        <v>2012668.0</v>
      </c>
      <c r="H595" s="9">
        <v>2012668.0</v>
      </c>
      <c r="I595" s="9">
        <v>0.0</v>
      </c>
      <c r="J595" s="9">
        <v>0.0</v>
      </c>
      <c r="K595" s="9">
        <v>0.0</v>
      </c>
      <c r="L595" s="9" t="s">
        <v>54</v>
      </c>
      <c r="M595" s="9" t="s">
        <v>55</v>
      </c>
      <c r="R595" s="9" t="s">
        <v>60</v>
      </c>
      <c r="S595" s="9" t="s">
        <v>57</v>
      </c>
      <c r="T595" s="9" t="s">
        <v>61</v>
      </c>
      <c r="V595" s="9">
        <v>1186187.84</v>
      </c>
      <c r="W595" s="9">
        <v>0.0</v>
      </c>
      <c r="X595" s="9">
        <v>0.0</v>
      </c>
    </row>
    <row r="596" ht="15.75" customHeight="1">
      <c r="A596" s="9">
        <v>2059969.0</v>
      </c>
      <c r="B596" s="9">
        <v>9220858.0</v>
      </c>
      <c r="C596" s="9">
        <v>31312.0</v>
      </c>
      <c r="D596" s="9" t="s">
        <v>52</v>
      </c>
      <c r="E596" s="9" t="s">
        <v>53</v>
      </c>
      <c r="F596" s="9">
        <v>8590.0</v>
      </c>
      <c r="G596" s="9">
        <v>9220858.0</v>
      </c>
      <c r="H596" s="9">
        <v>9220858.0</v>
      </c>
      <c r="I596" s="9">
        <v>0.0</v>
      </c>
      <c r="J596" s="9">
        <v>0.0</v>
      </c>
      <c r="K596" s="9">
        <v>0.0</v>
      </c>
      <c r="L596" s="9" t="s">
        <v>59</v>
      </c>
      <c r="M596" s="9" t="s">
        <v>55</v>
      </c>
      <c r="R596" s="9" t="s">
        <v>63</v>
      </c>
      <c r="S596" s="9" t="s">
        <v>63</v>
      </c>
    </row>
    <row r="597" ht="15.75" customHeight="1">
      <c r="A597" s="9">
        <v>2060052.0</v>
      </c>
      <c r="B597" s="9">
        <v>3592344.0</v>
      </c>
      <c r="C597" s="9">
        <v>29670.0</v>
      </c>
      <c r="D597" s="9" t="s">
        <v>52</v>
      </c>
      <c r="E597" s="9" t="s">
        <v>53</v>
      </c>
      <c r="F597" s="9">
        <v>61764.0</v>
      </c>
      <c r="G597" s="9">
        <v>3592344.0</v>
      </c>
      <c r="H597" s="9">
        <v>3592344.0</v>
      </c>
      <c r="I597" s="9">
        <v>155445.0</v>
      </c>
      <c r="J597" s="9">
        <v>0.0</v>
      </c>
      <c r="K597" s="9">
        <v>0.0</v>
      </c>
      <c r="L597" s="9" t="s">
        <v>59</v>
      </c>
      <c r="M597" s="9" t="s">
        <v>65</v>
      </c>
      <c r="N597" s="9">
        <v>140000.0</v>
      </c>
      <c r="O597" s="9">
        <v>147000.0</v>
      </c>
      <c r="R597" s="9" t="s">
        <v>92</v>
      </c>
      <c r="S597" s="9" t="s">
        <v>57</v>
      </c>
      <c r="T597" s="9" t="s">
        <v>93</v>
      </c>
    </row>
    <row r="598" ht="15.75" customHeight="1">
      <c r="A598" s="9">
        <v>2062791.0</v>
      </c>
      <c r="B598" s="9">
        <v>5551623.0</v>
      </c>
      <c r="C598" s="9">
        <v>33197.0</v>
      </c>
      <c r="D598" s="9" t="s">
        <v>52</v>
      </c>
      <c r="E598" s="9" t="s">
        <v>53</v>
      </c>
      <c r="F598" s="9">
        <v>48532.0</v>
      </c>
      <c r="G598" s="9">
        <v>8673811.27</v>
      </c>
      <c r="H598" s="9">
        <v>8673811.27</v>
      </c>
      <c r="I598" s="9">
        <v>2957025.19</v>
      </c>
      <c r="J598" s="9">
        <v>0.0</v>
      </c>
      <c r="K598" s="9">
        <v>0.0</v>
      </c>
      <c r="L598" s="9" t="s">
        <v>59</v>
      </c>
      <c r="M598" s="9" t="s">
        <v>62</v>
      </c>
      <c r="N598" s="9">
        <v>2810395.98</v>
      </c>
      <c r="O598" s="9">
        <v>2381691.5</v>
      </c>
      <c r="P598" s="9">
        <v>58722.0</v>
      </c>
      <c r="Q598" s="9">
        <v>58520.5</v>
      </c>
      <c r="R598" s="9" t="s">
        <v>60</v>
      </c>
      <c r="S598" s="9" t="s">
        <v>57</v>
      </c>
      <c r="T598" s="9" t="s">
        <v>61</v>
      </c>
      <c r="V598" s="9">
        <v>2738944.47</v>
      </c>
      <c r="W598" s="9">
        <v>44001.19</v>
      </c>
      <c r="X598" s="9">
        <v>0.0</v>
      </c>
    </row>
    <row r="599" ht="15.75" customHeight="1">
      <c r="A599" s="9">
        <v>2064863.0</v>
      </c>
      <c r="B599" s="9">
        <v>1442048.0</v>
      </c>
      <c r="C599" s="9">
        <v>31196.0</v>
      </c>
      <c r="D599" s="9" t="s">
        <v>52</v>
      </c>
      <c r="E599" s="9" t="s">
        <v>53</v>
      </c>
      <c r="F599" s="9">
        <v>46703.0</v>
      </c>
      <c r="G599" s="9">
        <v>1442048.0</v>
      </c>
      <c r="H599" s="9">
        <v>1442048.0</v>
      </c>
      <c r="I599" s="9">
        <v>68361.75</v>
      </c>
      <c r="J599" s="9">
        <v>0.0</v>
      </c>
      <c r="K599" s="9">
        <v>0.0</v>
      </c>
      <c r="L599" s="9" t="s">
        <v>59</v>
      </c>
      <c r="M599" s="9" t="s">
        <v>55</v>
      </c>
      <c r="R599" s="9" t="s">
        <v>72</v>
      </c>
      <c r="S599" s="9" t="s">
        <v>57</v>
      </c>
      <c r="T599" s="9" t="s">
        <v>73</v>
      </c>
      <c r="V599" s="9">
        <v>920962.09</v>
      </c>
      <c r="W599" s="9">
        <v>0.0</v>
      </c>
      <c r="X599" s="9">
        <v>0.0</v>
      </c>
    </row>
    <row r="600" ht="15.75" customHeight="1">
      <c r="A600" s="9">
        <v>2064867.0</v>
      </c>
      <c r="B600" s="9">
        <v>1481163.0</v>
      </c>
      <c r="C600" s="9">
        <v>31202.0</v>
      </c>
      <c r="D600" s="9" t="s">
        <v>52</v>
      </c>
      <c r="E600" s="9" t="s">
        <v>53</v>
      </c>
      <c r="F600" s="9">
        <v>46735.0</v>
      </c>
      <c r="G600" s="9">
        <v>1481163.0</v>
      </c>
      <c r="H600" s="9">
        <v>1481163.0</v>
      </c>
      <c r="I600" s="9">
        <v>13480.4</v>
      </c>
      <c r="J600" s="9">
        <v>0.0</v>
      </c>
      <c r="K600" s="9">
        <v>0.0</v>
      </c>
      <c r="L600" s="9" t="s">
        <v>59</v>
      </c>
      <c r="M600" s="9" t="s">
        <v>55</v>
      </c>
      <c r="R600" s="9" t="s">
        <v>56</v>
      </c>
      <c r="S600" s="9" t="s">
        <v>57</v>
      </c>
      <c r="T600" s="9" t="s">
        <v>58</v>
      </c>
      <c r="V600" s="9">
        <v>1103429.64</v>
      </c>
      <c r="W600" s="9">
        <v>0.0</v>
      </c>
      <c r="X600" s="9">
        <v>0.0</v>
      </c>
    </row>
    <row r="601" ht="15.75" customHeight="1">
      <c r="A601" s="9">
        <v>2064967.0</v>
      </c>
      <c r="B601" s="9">
        <v>2.511416E7</v>
      </c>
      <c r="C601" s="9">
        <v>30433.0</v>
      </c>
      <c r="D601" s="9" t="s">
        <v>52</v>
      </c>
      <c r="E601" s="9" t="s">
        <v>53</v>
      </c>
      <c r="F601" s="9">
        <v>50360.0</v>
      </c>
      <c r="G601" s="9">
        <v>2.511416E7</v>
      </c>
      <c r="H601" s="9">
        <v>2.511416E7</v>
      </c>
      <c r="I601" s="9">
        <v>2.360614499E7</v>
      </c>
      <c r="J601" s="9">
        <v>0.0</v>
      </c>
      <c r="K601" s="9">
        <v>0.0</v>
      </c>
      <c r="L601" s="9" t="s">
        <v>59</v>
      </c>
      <c r="M601" s="9" t="s">
        <v>55</v>
      </c>
      <c r="N601" s="9">
        <v>9573138.45</v>
      </c>
      <c r="O601" s="9">
        <v>9572180.47</v>
      </c>
      <c r="P601" s="9">
        <v>9573138.45</v>
      </c>
      <c r="Q601" s="9">
        <v>323100.1</v>
      </c>
      <c r="R601" s="9" t="s">
        <v>72</v>
      </c>
      <c r="S601" s="9" t="s">
        <v>57</v>
      </c>
      <c r="T601" s="9" t="s">
        <v>73</v>
      </c>
      <c r="V601" s="9">
        <v>1.050901717E7</v>
      </c>
      <c r="W601" s="9">
        <v>323100.1</v>
      </c>
      <c r="X601" s="9">
        <v>0.0</v>
      </c>
    </row>
    <row r="602" ht="15.75" customHeight="1">
      <c r="A602" s="9">
        <v>2065649.0</v>
      </c>
      <c r="B602" s="9">
        <v>1452480.0</v>
      </c>
      <c r="C602" s="9">
        <v>31112.0</v>
      </c>
      <c r="D602" s="9" t="s">
        <v>52</v>
      </c>
      <c r="E602" s="9" t="s">
        <v>53</v>
      </c>
      <c r="F602" s="9">
        <v>58176.0</v>
      </c>
      <c r="G602" s="9">
        <v>1597599.03</v>
      </c>
      <c r="H602" s="9">
        <v>1597599.03</v>
      </c>
      <c r="I602" s="9">
        <v>1561472.24</v>
      </c>
      <c r="J602" s="9">
        <v>0.0</v>
      </c>
      <c r="K602" s="9">
        <v>0.0</v>
      </c>
      <c r="L602" s="9" t="s">
        <v>69</v>
      </c>
      <c r="M602" s="9" t="s">
        <v>55</v>
      </c>
      <c r="R602" s="9" t="s">
        <v>72</v>
      </c>
      <c r="S602" s="9" t="s">
        <v>57</v>
      </c>
      <c r="T602" s="9" t="s">
        <v>73</v>
      </c>
      <c r="V602" s="9">
        <v>1561471.5</v>
      </c>
      <c r="W602" s="9">
        <v>0.0</v>
      </c>
      <c r="X602" s="9">
        <v>0.0</v>
      </c>
    </row>
    <row r="603" ht="15.75" customHeight="1">
      <c r="A603" s="9">
        <v>2065718.0</v>
      </c>
      <c r="B603" s="9">
        <v>588121.0</v>
      </c>
      <c r="C603" s="9">
        <v>31235.0</v>
      </c>
      <c r="D603" s="9" t="s">
        <v>52</v>
      </c>
      <c r="E603" s="9" t="s">
        <v>53</v>
      </c>
      <c r="F603" s="9">
        <v>58819.0</v>
      </c>
      <c r="G603" s="9">
        <v>588121.0</v>
      </c>
      <c r="H603" s="9">
        <v>588121.0</v>
      </c>
      <c r="I603" s="9">
        <v>85336.05</v>
      </c>
      <c r="J603" s="9">
        <v>0.0</v>
      </c>
      <c r="K603" s="9">
        <v>0.0</v>
      </c>
      <c r="L603" s="9" t="s">
        <v>59</v>
      </c>
      <c r="M603" s="9" t="s">
        <v>55</v>
      </c>
      <c r="R603" s="9" t="s">
        <v>75</v>
      </c>
      <c r="S603" s="9" t="s">
        <v>57</v>
      </c>
      <c r="T603" s="9" t="s">
        <v>76</v>
      </c>
    </row>
    <row r="604" ht="15.75" customHeight="1">
      <c r="A604" s="9">
        <v>2065785.0</v>
      </c>
      <c r="B604" s="9">
        <v>936466.0</v>
      </c>
      <c r="C604" s="9">
        <v>29640.0</v>
      </c>
      <c r="D604" s="9" t="s">
        <v>52</v>
      </c>
      <c r="E604" s="9" t="s">
        <v>53</v>
      </c>
      <c r="F604" s="9">
        <v>59398.0</v>
      </c>
      <c r="G604" s="9">
        <v>936466.0</v>
      </c>
      <c r="H604" s="9">
        <v>936466.0</v>
      </c>
      <c r="I604" s="9">
        <v>0.0</v>
      </c>
      <c r="J604" s="9">
        <v>0.0</v>
      </c>
      <c r="K604" s="9">
        <v>0.0</v>
      </c>
      <c r="L604" s="9" t="s">
        <v>54</v>
      </c>
      <c r="M604" s="9" t="s">
        <v>65</v>
      </c>
      <c r="N604" s="9">
        <v>0.0</v>
      </c>
      <c r="O604" s="9">
        <v>0.0</v>
      </c>
      <c r="R604" s="9" t="s">
        <v>60</v>
      </c>
      <c r="S604" s="9" t="s">
        <v>57</v>
      </c>
      <c r="T604" s="9" t="s">
        <v>61</v>
      </c>
      <c r="V604" s="9">
        <v>180000.0</v>
      </c>
      <c r="W604" s="9">
        <v>0.0</v>
      </c>
    </row>
    <row r="605" ht="15.75" customHeight="1">
      <c r="A605" s="9">
        <v>2066017.0</v>
      </c>
      <c r="B605" s="9">
        <v>1502035.0</v>
      </c>
      <c r="C605" s="9">
        <v>31253.0</v>
      </c>
      <c r="D605" s="9" t="s">
        <v>52</v>
      </c>
      <c r="E605" s="9" t="s">
        <v>53</v>
      </c>
      <c r="F605" s="9">
        <v>61253.0</v>
      </c>
      <c r="G605" s="9">
        <v>1502035.0</v>
      </c>
      <c r="H605" s="9">
        <v>1502035.0</v>
      </c>
      <c r="I605" s="9">
        <v>151166.2</v>
      </c>
      <c r="J605" s="9">
        <v>0.0</v>
      </c>
      <c r="K605" s="9">
        <v>0.0</v>
      </c>
      <c r="L605" s="9" t="s">
        <v>69</v>
      </c>
      <c r="M605" s="9" t="s">
        <v>55</v>
      </c>
      <c r="R605" s="9" t="s">
        <v>75</v>
      </c>
      <c r="S605" s="9" t="s">
        <v>57</v>
      </c>
      <c r="T605" s="9" t="s">
        <v>76</v>
      </c>
    </row>
    <row r="606" ht="15.75" customHeight="1">
      <c r="A606" s="9">
        <v>2066136.0</v>
      </c>
      <c r="B606" s="9">
        <v>797752.0</v>
      </c>
      <c r="C606" s="9">
        <v>29732.0</v>
      </c>
      <c r="D606" s="9" t="s">
        <v>52</v>
      </c>
      <c r="E606" s="9" t="s">
        <v>53</v>
      </c>
      <c r="F606" s="9">
        <v>61563.0</v>
      </c>
      <c r="G606" s="9">
        <v>797752.0</v>
      </c>
      <c r="H606" s="9">
        <v>797752.0</v>
      </c>
      <c r="I606" s="9">
        <v>17469.0</v>
      </c>
      <c r="J606" s="9">
        <v>0.0</v>
      </c>
      <c r="K606" s="9">
        <v>0.0</v>
      </c>
      <c r="L606" s="9" t="s">
        <v>54</v>
      </c>
      <c r="M606" s="9" t="s">
        <v>65</v>
      </c>
      <c r="N606" s="9">
        <v>17469.0</v>
      </c>
      <c r="O606" s="9">
        <v>17469.0</v>
      </c>
      <c r="R606" s="9" t="s">
        <v>60</v>
      </c>
      <c r="S606" s="9" t="s">
        <v>57</v>
      </c>
      <c r="T606" s="9" t="s">
        <v>61</v>
      </c>
      <c r="V606" s="9">
        <v>17469.0</v>
      </c>
      <c r="W606" s="9">
        <v>0.0</v>
      </c>
    </row>
    <row r="607" ht="15.75" customHeight="1">
      <c r="A607" s="9">
        <v>2066618.0</v>
      </c>
      <c r="B607" s="9">
        <v>9993067.0</v>
      </c>
      <c r="C607" s="9">
        <v>30530.0</v>
      </c>
      <c r="D607" s="9" t="s">
        <v>52</v>
      </c>
      <c r="E607" s="9" t="s">
        <v>53</v>
      </c>
      <c r="F607" s="9">
        <v>62885.0</v>
      </c>
      <c r="G607" s="9">
        <v>1.037278211E7</v>
      </c>
      <c r="H607" s="9">
        <v>1.056976338E7</v>
      </c>
      <c r="I607" s="9">
        <v>1.054934338E7</v>
      </c>
      <c r="J607" s="9">
        <v>73580.0</v>
      </c>
      <c r="K607" s="9">
        <v>93580.0</v>
      </c>
      <c r="L607" s="9" t="s">
        <v>59</v>
      </c>
      <c r="M607" s="9" t="s">
        <v>55</v>
      </c>
      <c r="N607" s="9">
        <v>9581257.05</v>
      </c>
      <c r="O607" s="9">
        <v>9581173.72</v>
      </c>
      <c r="P607" s="9">
        <v>349533.0</v>
      </c>
      <c r="Q607" s="9">
        <v>349533.0</v>
      </c>
      <c r="R607" s="9" t="s">
        <v>109</v>
      </c>
      <c r="S607" s="9" t="s">
        <v>78</v>
      </c>
      <c r="T607" s="9" t="s">
        <v>79</v>
      </c>
      <c r="U607" s="9" t="s">
        <v>110</v>
      </c>
    </row>
    <row r="608" ht="15.75" customHeight="1">
      <c r="A608" s="9">
        <v>2067690.0</v>
      </c>
      <c r="B608" s="9">
        <v>6626861.0</v>
      </c>
      <c r="C608" s="9">
        <v>30454.0</v>
      </c>
      <c r="D608" s="9" t="s">
        <v>52</v>
      </c>
      <c r="E608" s="9" t="s">
        <v>53</v>
      </c>
      <c r="F608" s="9">
        <v>66591.0</v>
      </c>
      <c r="G608" s="9">
        <v>6341672.29</v>
      </c>
      <c r="H608" s="9">
        <v>6341672.29</v>
      </c>
      <c r="I608" s="9">
        <v>6417884.9</v>
      </c>
      <c r="J608" s="9">
        <v>0.0</v>
      </c>
      <c r="K608" s="9">
        <v>0.0</v>
      </c>
      <c r="L608" s="9" t="s">
        <v>59</v>
      </c>
      <c r="M608" s="9" t="s">
        <v>55</v>
      </c>
      <c r="N608" s="9">
        <v>6103943.96</v>
      </c>
      <c r="O608" s="9">
        <v>6042904.52</v>
      </c>
      <c r="R608" s="9" t="s">
        <v>60</v>
      </c>
      <c r="S608" s="9" t="s">
        <v>57</v>
      </c>
      <c r="T608" s="9" t="s">
        <v>61</v>
      </c>
      <c r="V608" s="9">
        <v>6159401.24</v>
      </c>
      <c r="W608" s="9">
        <v>167400.0</v>
      </c>
      <c r="X608" s="9">
        <v>0.0</v>
      </c>
    </row>
    <row r="609" ht="15.75" customHeight="1">
      <c r="A609" s="9">
        <v>2068239.0</v>
      </c>
      <c r="B609" s="9">
        <v>301313.0</v>
      </c>
      <c r="C609" s="9">
        <v>29742.0</v>
      </c>
      <c r="D609" s="9" t="s">
        <v>52</v>
      </c>
      <c r="E609" s="9" t="s">
        <v>53</v>
      </c>
      <c r="F609" s="9">
        <v>68311.0</v>
      </c>
      <c r="G609" s="9">
        <v>301313.0</v>
      </c>
      <c r="H609" s="9">
        <v>301313.0</v>
      </c>
      <c r="I609" s="9">
        <v>12053.0</v>
      </c>
      <c r="J609" s="9">
        <v>0.0</v>
      </c>
      <c r="K609" s="9">
        <v>0.0</v>
      </c>
      <c r="L609" s="9" t="s">
        <v>69</v>
      </c>
      <c r="M609" s="9" t="s">
        <v>65</v>
      </c>
      <c r="N609" s="9">
        <v>12053.0</v>
      </c>
      <c r="O609" s="9">
        <v>12053.0</v>
      </c>
      <c r="R609" s="9" t="s">
        <v>60</v>
      </c>
      <c r="S609" s="9" t="s">
        <v>57</v>
      </c>
      <c r="T609" s="9" t="s">
        <v>61</v>
      </c>
      <c r="V609" s="9">
        <v>12053.0</v>
      </c>
      <c r="W609" s="9">
        <v>0.0</v>
      </c>
    </row>
    <row r="610" ht="15.75" customHeight="1">
      <c r="A610" s="9">
        <v>2068407.0</v>
      </c>
      <c r="B610" s="9">
        <v>1148502.0</v>
      </c>
      <c r="C610" s="9">
        <v>30252.0</v>
      </c>
      <c r="D610" s="9" t="s">
        <v>52</v>
      </c>
      <c r="E610" s="9" t="s">
        <v>53</v>
      </c>
      <c r="F610" s="9">
        <v>68776.0</v>
      </c>
      <c r="G610" s="9">
        <v>1251867.18</v>
      </c>
      <c r="H610" s="9">
        <v>1251867.18</v>
      </c>
      <c r="I610" s="9">
        <v>1241206.0</v>
      </c>
      <c r="J610" s="9">
        <v>0.0</v>
      </c>
      <c r="K610" s="9">
        <v>0.0</v>
      </c>
      <c r="L610" s="9" t="s">
        <v>69</v>
      </c>
      <c r="M610" s="9" t="s">
        <v>55</v>
      </c>
      <c r="N610" s="9">
        <v>1156657.16</v>
      </c>
      <c r="O610" s="9">
        <v>1121908.23</v>
      </c>
      <c r="P610" s="9">
        <v>49270.02</v>
      </c>
      <c r="Q610" s="9">
        <v>49270.02</v>
      </c>
      <c r="R610" s="9" t="s">
        <v>75</v>
      </c>
      <c r="S610" s="9" t="s">
        <v>57</v>
      </c>
      <c r="T610" s="9" t="s">
        <v>76</v>
      </c>
    </row>
    <row r="611" ht="15.75" customHeight="1">
      <c r="A611" s="9">
        <v>2069058.0</v>
      </c>
      <c r="B611" s="9">
        <v>4898516.0</v>
      </c>
      <c r="C611" s="9">
        <v>29949.0</v>
      </c>
      <c r="D611" s="9" t="s">
        <v>52</v>
      </c>
      <c r="E611" s="9" t="s">
        <v>53</v>
      </c>
      <c r="F611" s="9">
        <v>70525.0</v>
      </c>
      <c r="G611" s="9">
        <v>4535663.17</v>
      </c>
      <c r="H611" s="9">
        <v>3963185.8</v>
      </c>
      <c r="I611" s="9">
        <v>4546112.07</v>
      </c>
      <c r="J611" s="9">
        <v>0.0</v>
      </c>
      <c r="K611" s="9">
        <v>0.0</v>
      </c>
      <c r="L611" s="9" t="s">
        <v>69</v>
      </c>
      <c r="M611" s="9" t="s">
        <v>55</v>
      </c>
      <c r="N611" s="9">
        <v>4133138.0</v>
      </c>
      <c r="O611" s="9">
        <v>3719824.2</v>
      </c>
      <c r="P611" s="9">
        <v>200000.0</v>
      </c>
      <c r="Q611" s="9">
        <v>200000.0</v>
      </c>
      <c r="R611" s="9" t="s">
        <v>60</v>
      </c>
      <c r="S611" s="9" t="s">
        <v>57</v>
      </c>
      <c r="T611" s="9" t="s">
        <v>61</v>
      </c>
      <c r="V611" s="9">
        <v>3712559.09</v>
      </c>
      <c r="W611" s="9">
        <v>200000.0</v>
      </c>
      <c r="X611" s="9">
        <v>0.0</v>
      </c>
    </row>
    <row r="612" ht="15.75" customHeight="1">
      <c r="A612" s="9">
        <v>2069161.0</v>
      </c>
      <c r="B612" s="9">
        <v>5976670.0</v>
      </c>
      <c r="C612" s="9">
        <v>29925.0</v>
      </c>
      <c r="D612" s="9" t="s">
        <v>52</v>
      </c>
      <c r="E612" s="9" t="s">
        <v>53</v>
      </c>
      <c r="F612" s="9">
        <v>70846.0</v>
      </c>
      <c r="G612" s="9">
        <v>1.0538466E7</v>
      </c>
      <c r="H612" s="9">
        <v>1.0538466E7</v>
      </c>
      <c r="I612" s="9">
        <v>1.068854477E7</v>
      </c>
      <c r="J612" s="9">
        <v>0.0</v>
      </c>
      <c r="K612" s="9">
        <v>0.0</v>
      </c>
      <c r="L612" s="9" t="s">
        <v>69</v>
      </c>
      <c r="M612" s="9" t="s">
        <v>55</v>
      </c>
      <c r="N612" s="9">
        <v>9974587.0</v>
      </c>
      <c r="O612" s="9">
        <v>9974095.76</v>
      </c>
      <c r="P612" s="9">
        <v>397058.0</v>
      </c>
      <c r="Q612" s="9">
        <v>357352.2</v>
      </c>
      <c r="R612" s="9" t="s">
        <v>60</v>
      </c>
      <c r="S612" s="9" t="s">
        <v>57</v>
      </c>
      <c r="T612" s="9" t="s">
        <v>61</v>
      </c>
      <c r="V612" s="9">
        <v>1.063494123E7</v>
      </c>
      <c r="W612" s="9">
        <v>0.0</v>
      </c>
      <c r="X612" s="9">
        <v>0.0</v>
      </c>
    </row>
    <row r="613" ht="15.75" customHeight="1">
      <c r="A613" s="9">
        <v>2072120.0</v>
      </c>
      <c r="B613" s="9">
        <v>2537398.0</v>
      </c>
      <c r="C613" s="9">
        <v>30823.0</v>
      </c>
      <c r="D613" s="9" t="s">
        <v>52</v>
      </c>
      <c r="E613" s="9" t="s">
        <v>53</v>
      </c>
      <c r="F613" s="9">
        <v>79013.0</v>
      </c>
      <c r="G613" s="9">
        <v>2537398.0</v>
      </c>
      <c r="H613" s="9">
        <v>2537398.0</v>
      </c>
      <c r="I613" s="9">
        <v>2726516.69</v>
      </c>
      <c r="J613" s="9">
        <v>0.0</v>
      </c>
      <c r="K613" s="9">
        <v>0.0</v>
      </c>
      <c r="L613" s="9" t="s">
        <v>59</v>
      </c>
      <c r="M613" s="9" t="s">
        <v>55</v>
      </c>
      <c r="N613" s="9">
        <v>2573218.21</v>
      </c>
      <c r="O613" s="9">
        <v>2573218.21</v>
      </c>
      <c r="P613" s="9">
        <v>65675.79</v>
      </c>
      <c r="Q613" s="9">
        <v>65675.79</v>
      </c>
      <c r="R613" s="9" t="s">
        <v>94</v>
      </c>
      <c r="S613" s="9" t="s">
        <v>57</v>
      </c>
      <c r="T613" s="9" t="s">
        <v>95</v>
      </c>
    </row>
    <row r="614" ht="15.75" customHeight="1">
      <c r="A614" s="9">
        <v>2072669.0</v>
      </c>
      <c r="B614" s="9">
        <v>4597146.0</v>
      </c>
      <c r="C614" s="9">
        <v>29625.0</v>
      </c>
      <c r="D614" s="9" t="s">
        <v>52</v>
      </c>
      <c r="E614" s="9" t="s">
        <v>53</v>
      </c>
      <c r="F614" s="9">
        <v>80435.0</v>
      </c>
      <c r="G614" s="9">
        <v>4724213.11</v>
      </c>
      <c r="H614" s="9">
        <v>5371515.73</v>
      </c>
      <c r="I614" s="9">
        <v>5244728.18</v>
      </c>
      <c r="J614" s="9">
        <v>0.0</v>
      </c>
      <c r="K614" s="9">
        <v>0.0</v>
      </c>
      <c r="L614" s="9" t="s">
        <v>59</v>
      </c>
      <c r="M614" s="9" t="s">
        <v>65</v>
      </c>
      <c r="N614" s="9">
        <v>162000.0</v>
      </c>
      <c r="O614" s="9">
        <v>178200.0</v>
      </c>
      <c r="R614" s="9" t="s">
        <v>60</v>
      </c>
      <c r="S614" s="9" t="s">
        <v>57</v>
      </c>
      <c r="T614" s="9" t="s">
        <v>61</v>
      </c>
      <c r="V614" s="9">
        <v>468600.0</v>
      </c>
      <c r="W614" s="9">
        <v>0.0</v>
      </c>
    </row>
    <row r="615" ht="15.75" customHeight="1">
      <c r="A615" s="9">
        <v>2072838.0</v>
      </c>
      <c r="B615" s="9">
        <v>4113221.0</v>
      </c>
      <c r="C615" s="9">
        <v>30342.0</v>
      </c>
      <c r="D615" s="9" t="s">
        <v>52</v>
      </c>
      <c r="E615" s="9" t="s">
        <v>53</v>
      </c>
      <c r="F615" s="9">
        <v>80950.0</v>
      </c>
      <c r="G615" s="9">
        <v>4113221.0</v>
      </c>
      <c r="H615" s="9">
        <v>4113221.0</v>
      </c>
      <c r="I615" s="9">
        <v>3867662.0</v>
      </c>
      <c r="J615" s="9">
        <v>0.0</v>
      </c>
      <c r="K615" s="9">
        <v>0.0</v>
      </c>
      <c r="L615" s="9" t="s">
        <v>59</v>
      </c>
      <c r="M615" s="9" t="s">
        <v>55</v>
      </c>
      <c r="N615" s="9">
        <v>3947737.0</v>
      </c>
      <c r="O615" s="9">
        <v>3888520.55</v>
      </c>
      <c r="P615" s="9">
        <v>130000.0</v>
      </c>
      <c r="Q615" s="9">
        <v>117000.0</v>
      </c>
      <c r="R615" s="9" t="s">
        <v>60</v>
      </c>
      <c r="S615" s="9" t="s">
        <v>57</v>
      </c>
      <c r="T615" s="9" t="s">
        <v>61</v>
      </c>
      <c r="V615" s="9">
        <v>3888521.0</v>
      </c>
      <c r="W615" s="9">
        <v>0.0</v>
      </c>
      <c r="X615" s="9">
        <v>0.0</v>
      </c>
    </row>
    <row r="616" ht="15.75" customHeight="1">
      <c r="A616" s="9">
        <v>2072855.0</v>
      </c>
      <c r="B616" s="9">
        <v>1864342.0</v>
      </c>
      <c r="C616" s="9">
        <v>29882.0</v>
      </c>
      <c r="D616" s="9" t="s">
        <v>52</v>
      </c>
      <c r="E616" s="9" t="s">
        <v>53</v>
      </c>
      <c r="F616" s="9">
        <v>80994.0</v>
      </c>
      <c r="G616" s="9">
        <v>2048595.08</v>
      </c>
      <c r="H616" s="9">
        <v>2048595.08</v>
      </c>
      <c r="I616" s="9">
        <v>2128669.0</v>
      </c>
      <c r="J616" s="9">
        <v>0.0</v>
      </c>
      <c r="K616" s="9">
        <v>0.0</v>
      </c>
      <c r="L616" s="9" t="s">
        <v>69</v>
      </c>
      <c r="M616" s="9" t="s">
        <v>55</v>
      </c>
      <c r="N616" s="9">
        <v>1988818.72</v>
      </c>
      <c r="O616" s="9">
        <v>1988818.72</v>
      </c>
      <c r="P616" s="9">
        <v>39776.36</v>
      </c>
      <c r="Q616" s="9">
        <v>39776.36</v>
      </c>
      <c r="R616" s="9" t="s">
        <v>60</v>
      </c>
      <c r="S616" s="9" t="s">
        <v>57</v>
      </c>
      <c r="T616" s="9" t="s">
        <v>61</v>
      </c>
      <c r="V616" s="9">
        <v>2151651.81</v>
      </c>
      <c r="W616" s="9">
        <v>33708.78</v>
      </c>
      <c r="X616" s="9">
        <v>0.0</v>
      </c>
    </row>
    <row r="617" ht="15.75" customHeight="1">
      <c r="A617" s="9">
        <v>2030268.0</v>
      </c>
      <c r="B617" s="9">
        <v>1851647.0</v>
      </c>
      <c r="C617" s="9">
        <v>30145.0</v>
      </c>
      <c r="D617" s="9" t="s">
        <v>52</v>
      </c>
      <c r="E617" s="9" t="s">
        <v>53</v>
      </c>
      <c r="F617" s="9">
        <v>30357.0</v>
      </c>
      <c r="G617" s="9">
        <v>1851647.0</v>
      </c>
      <c r="H617" s="9">
        <v>1851647.0</v>
      </c>
      <c r="I617" s="9">
        <v>0.0</v>
      </c>
      <c r="J617" s="9">
        <v>0.0</v>
      </c>
      <c r="K617" s="9">
        <v>0.0</v>
      </c>
      <c r="L617" s="9" t="s">
        <v>69</v>
      </c>
      <c r="M617" s="9" t="s">
        <v>55</v>
      </c>
      <c r="N617" s="9">
        <v>965274.28</v>
      </c>
      <c r="O617" s="9">
        <v>222666.0</v>
      </c>
      <c r="R617" s="9" t="s">
        <v>60</v>
      </c>
      <c r="S617" s="9" t="s">
        <v>57</v>
      </c>
      <c r="T617" s="9" t="s">
        <v>61</v>
      </c>
      <c r="V617" s="9">
        <v>983534.84</v>
      </c>
      <c r="W617" s="9">
        <v>0.0</v>
      </c>
      <c r="X617" s="9">
        <v>0.0</v>
      </c>
    </row>
    <row r="618" ht="15.75" customHeight="1">
      <c r="A618" s="9">
        <v>2030275.0</v>
      </c>
      <c r="B618" s="9">
        <v>1069750.0</v>
      </c>
      <c r="C618" s="9">
        <v>30157.0</v>
      </c>
      <c r="D618" s="9" t="s">
        <v>52</v>
      </c>
      <c r="E618" s="9" t="s">
        <v>53</v>
      </c>
      <c r="F618" s="9">
        <v>32789.0</v>
      </c>
      <c r="G618" s="9">
        <v>1069750.0</v>
      </c>
      <c r="H618" s="9">
        <v>1069750.0</v>
      </c>
      <c r="I618" s="9">
        <v>0.0</v>
      </c>
      <c r="J618" s="9">
        <v>0.0</v>
      </c>
      <c r="K618" s="9">
        <v>0.0</v>
      </c>
      <c r="L618" s="9" t="s">
        <v>54</v>
      </c>
      <c r="M618" s="9" t="s">
        <v>55</v>
      </c>
      <c r="N618" s="9">
        <v>1319661.0</v>
      </c>
      <c r="O618" s="9">
        <v>1320486.07</v>
      </c>
      <c r="R618" s="9" t="s">
        <v>56</v>
      </c>
      <c r="S618" s="9" t="s">
        <v>57</v>
      </c>
      <c r="T618" s="9" t="s">
        <v>58</v>
      </c>
      <c r="V618" s="9">
        <v>659987.98</v>
      </c>
      <c r="W618" s="9">
        <v>0.0</v>
      </c>
      <c r="X618" s="9">
        <v>0.0</v>
      </c>
    </row>
    <row r="619" ht="15.75" customHeight="1">
      <c r="A619" s="9">
        <v>2030543.0</v>
      </c>
      <c r="B619" s="9">
        <v>1997545.0</v>
      </c>
      <c r="C619" s="9">
        <v>30864.0</v>
      </c>
      <c r="D619" s="9" t="s">
        <v>52</v>
      </c>
      <c r="E619" s="9" t="s">
        <v>53</v>
      </c>
      <c r="F619" s="9">
        <v>27727.0</v>
      </c>
      <c r="G619" s="9">
        <v>2482563.74</v>
      </c>
      <c r="H619" s="9">
        <v>2482563.74</v>
      </c>
      <c r="I619" s="9">
        <v>2397375.9</v>
      </c>
      <c r="J619" s="9">
        <v>0.0</v>
      </c>
      <c r="K619" s="9">
        <v>0.0</v>
      </c>
      <c r="L619" s="9" t="s">
        <v>69</v>
      </c>
      <c r="M619" s="9" t="s">
        <v>55</v>
      </c>
      <c r="N619" s="9">
        <v>1887082.0</v>
      </c>
      <c r="O619" s="9">
        <v>1698323.0</v>
      </c>
      <c r="P619" s="9">
        <v>60000.0</v>
      </c>
      <c r="Q619" s="9">
        <v>54000.0</v>
      </c>
      <c r="R619" s="9" t="s">
        <v>60</v>
      </c>
      <c r="S619" s="9" t="s">
        <v>57</v>
      </c>
      <c r="T619" s="9" t="s">
        <v>61</v>
      </c>
      <c r="V619" s="9">
        <v>2221005.95</v>
      </c>
      <c r="W619" s="9">
        <v>0.0</v>
      </c>
      <c r="X619" s="9">
        <v>0.0</v>
      </c>
    </row>
    <row r="620" ht="15.75" customHeight="1">
      <c r="A620" s="9">
        <v>2030550.0</v>
      </c>
      <c r="B620" s="9">
        <v>1966530.0</v>
      </c>
      <c r="C620" s="9">
        <v>30725.0</v>
      </c>
      <c r="D620" s="9" t="s">
        <v>52</v>
      </c>
      <c r="E620" s="9" t="s">
        <v>53</v>
      </c>
      <c r="F620" s="9">
        <v>1953.0</v>
      </c>
      <c r="G620" s="9">
        <v>3985907.03</v>
      </c>
      <c r="H620" s="9">
        <v>3985907.03</v>
      </c>
      <c r="I620" s="9">
        <v>2089473.78</v>
      </c>
      <c r="J620" s="9">
        <v>0.0</v>
      </c>
      <c r="K620" s="9">
        <v>0.0</v>
      </c>
      <c r="L620" s="9" t="s">
        <v>69</v>
      </c>
      <c r="M620" s="9" t="s">
        <v>55</v>
      </c>
      <c r="N620" s="9">
        <v>1966530.0</v>
      </c>
      <c r="O620" s="9">
        <v>2027109.72</v>
      </c>
      <c r="R620" s="9" t="s">
        <v>60</v>
      </c>
      <c r="S620" s="9" t="s">
        <v>57</v>
      </c>
      <c r="T620" s="9" t="s">
        <v>61</v>
      </c>
      <c r="V620" s="9">
        <v>1982728.54</v>
      </c>
      <c r="W620" s="9">
        <v>0.0</v>
      </c>
      <c r="X620" s="9">
        <v>0.0</v>
      </c>
    </row>
    <row r="621" ht="15.75" customHeight="1">
      <c r="A621" s="9">
        <v>2030557.0</v>
      </c>
      <c r="B621" s="9">
        <v>1954997.0</v>
      </c>
      <c r="C621" s="9">
        <v>30732.0</v>
      </c>
      <c r="D621" s="9" t="s">
        <v>52</v>
      </c>
      <c r="E621" s="9" t="s">
        <v>53</v>
      </c>
      <c r="F621" s="9">
        <v>26793.0</v>
      </c>
      <c r="G621" s="9">
        <v>1954997.0</v>
      </c>
      <c r="H621" s="9">
        <v>1954997.0</v>
      </c>
      <c r="I621" s="9">
        <v>0.0</v>
      </c>
      <c r="J621" s="9">
        <v>0.0</v>
      </c>
      <c r="K621" s="9">
        <v>0.0</v>
      </c>
      <c r="L621" s="9" t="s">
        <v>54</v>
      </c>
      <c r="M621" s="9" t="s">
        <v>55</v>
      </c>
      <c r="N621" s="9">
        <v>2020835.84</v>
      </c>
      <c r="O621" s="9">
        <v>2156231.85</v>
      </c>
      <c r="P621" s="9">
        <v>57120.0</v>
      </c>
      <c r="Q621" s="9">
        <v>60000.0</v>
      </c>
      <c r="R621" s="9" t="s">
        <v>60</v>
      </c>
      <c r="S621" s="9" t="s">
        <v>57</v>
      </c>
      <c r="T621" s="9" t="s">
        <v>61</v>
      </c>
      <c r="V621" s="9">
        <v>2154487.25</v>
      </c>
      <c r="W621" s="9">
        <v>0.0</v>
      </c>
      <c r="X621" s="9">
        <v>0.0</v>
      </c>
    </row>
    <row r="622" ht="15.75" customHeight="1">
      <c r="A622" s="9">
        <v>2030568.0</v>
      </c>
      <c r="B622" s="9">
        <v>1110733.0</v>
      </c>
      <c r="C622" s="9">
        <v>30480.0</v>
      </c>
      <c r="D622" s="9" t="s">
        <v>52</v>
      </c>
      <c r="E622" s="9" t="s">
        <v>53</v>
      </c>
      <c r="F622" s="9">
        <v>10908.0</v>
      </c>
      <c r="G622" s="9">
        <v>1110733.0</v>
      </c>
      <c r="H622" s="9">
        <v>1110733.0</v>
      </c>
      <c r="I622" s="9">
        <v>0.0</v>
      </c>
      <c r="J622" s="9">
        <v>0.0</v>
      </c>
      <c r="K622" s="9">
        <v>0.0</v>
      </c>
      <c r="L622" s="9" t="s">
        <v>54</v>
      </c>
      <c r="M622" s="9" t="s">
        <v>55</v>
      </c>
      <c r="N622" s="9">
        <v>1098833.39</v>
      </c>
      <c r="O622" s="9">
        <v>1182257.96</v>
      </c>
      <c r="R622" s="9" t="s">
        <v>60</v>
      </c>
      <c r="S622" s="9" t="s">
        <v>57</v>
      </c>
      <c r="T622" s="9" t="s">
        <v>61</v>
      </c>
      <c r="V622" s="9">
        <v>1182257.96</v>
      </c>
      <c r="W622" s="9">
        <v>0.0</v>
      </c>
      <c r="X622" s="9">
        <v>0.0</v>
      </c>
    </row>
    <row r="623" ht="15.75" customHeight="1">
      <c r="A623" s="9">
        <v>2030607.0</v>
      </c>
      <c r="B623" s="9">
        <v>1864542.0</v>
      </c>
      <c r="C623" s="9">
        <v>30639.0</v>
      </c>
      <c r="D623" s="9" t="s">
        <v>52</v>
      </c>
      <c r="E623" s="9" t="s">
        <v>53</v>
      </c>
      <c r="F623" s="9">
        <v>31148.0</v>
      </c>
      <c r="G623" s="9">
        <v>1864542.0</v>
      </c>
      <c r="H623" s="9">
        <v>1864542.0</v>
      </c>
      <c r="I623" s="9">
        <v>2597054.72</v>
      </c>
      <c r="J623" s="9">
        <v>0.0</v>
      </c>
      <c r="K623" s="9">
        <v>0.0</v>
      </c>
      <c r="L623" s="9" t="s">
        <v>69</v>
      </c>
      <c r="M623" s="9" t="s">
        <v>55</v>
      </c>
      <c r="N623" s="9">
        <v>1514851.77</v>
      </c>
      <c r="O623" s="9">
        <v>1370929.41</v>
      </c>
      <c r="P623" s="9">
        <v>51312.8</v>
      </c>
      <c r="Q623" s="9">
        <v>43120.0</v>
      </c>
      <c r="R623" s="9" t="s">
        <v>72</v>
      </c>
      <c r="S623" s="9" t="s">
        <v>57</v>
      </c>
      <c r="T623" s="9" t="s">
        <v>73</v>
      </c>
      <c r="V623" s="9">
        <v>711029.23</v>
      </c>
      <c r="W623" s="9">
        <v>60350.28</v>
      </c>
      <c r="X623" s="9">
        <v>0.0</v>
      </c>
    </row>
    <row r="624" ht="15.75" customHeight="1">
      <c r="A624" s="9">
        <v>2030725.0</v>
      </c>
      <c r="B624" s="9">
        <v>1878758.0</v>
      </c>
      <c r="C624" s="9">
        <v>37147.0</v>
      </c>
      <c r="D624" s="9" t="s">
        <v>52</v>
      </c>
      <c r="E624" s="9" t="s">
        <v>53</v>
      </c>
      <c r="F624" s="9">
        <v>32522.0</v>
      </c>
      <c r="G624" s="9">
        <v>3062168.0</v>
      </c>
      <c r="H624" s="9">
        <v>3062168.0</v>
      </c>
      <c r="I624" s="9">
        <v>1495493.0</v>
      </c>
      <c r="J624" s="9">
        <v>0.0</v>
      </c>
      <c r="K624" s="9">
        <v>0.0</v>
      </c>
      <c r="L624" s="9" t="s">
        <v>54</v>
      </c>
      <c r="M624" s="9" t="s">
        <v>62</v>
      </c>
      <c r="N624" s="9">
        <v>1456543.66</v>
      </c>
      <c r="O624" s="9">
        <v>1354585.6</v>
      </c>
      <c r="P624" s="9">
        <v>78191.52</v>
      </c>
      <c r="Q624" s="9">
        <v>70372.37</v>
      </c>
      <c r="R624" s="9" t="s">
        <v>60</v>
      </c>
      <c r="S624" s="9" t="s">
        <v>57</v>
      </c>
      <c r="T624" s="9" t="s">
        <v>61</v>
      </c>
      <c r="V624" s="9">
        <v>1395071.95</v>
      </c>
      <c r="W624" s="9">
        <v>108992.49</v>
      </c>
      <c r="X624" s="9">
        <v>0.0</v>
      </c>
    </row>
    <row r="625" ht="15.75" customHeight="1">
      <c r="A625" s="9">
        <v>2030732.0</v>
      </c>
      <c r="B625" s="9">
        <v>490643.0</v>
      </c>
      <c r="C625" s="9">
        <v>30333.0</v>
      </c>
      <c r="D625" s="9" t="s">
        <v>52</v>
      </c>
      <c r="E625" s="9" t="s">
        <v>53</v>
      </c>
      <c r="F625" s="9">
        <v>34521.0</v>
      </c>
      <c r="G625" s="9">
        <v>490643.0</v>
      </c>
      <c r="H625" s="9">
        <v>490643.0</v>
      </c>
      <c r="I625" s="9">
        <v>446596.92</v>
      </c>
      <c r="J625" s="9">
        <v>0.0</v>
      </c>
      <c r="K625" s="9">
        <v>0.0</v>
      </c>
      <c r="L625" s="9" t="s">
        <v>69</v>
      </c>
      <c r="M625" s="9" t="s">
        <v>55</v>
      </c>
      <c r="N625" s="9">
        <v>447352.0</v>
      </c>
      <c r="O625" s="9">
        <v>446596.92</v>
      </c>
      <c r="R625" s="9" t="s">
        <v>60</v>
      </c>
      <c r="S625" s="9" t="s">
        <v>57</v>
      </c>
      <c r="T625" s="9" t="s">
        <v>61</v>
      </c>
      <c r="V625" s="9">
        <v>450857.08</v>
      </c>
      <c r="W625" s="9">
        <v>0.0</v>
      </c>
      <c r="X625" s="9">
        <v>0.0</v>
      </c>
    </row>
    <row r="626" ht="15.75" customHeight="1">
      <c r="A626" s="9">
        <v>2030736.0</v>
      </c>
      <c r="B626" s="9">
        <v>2465807.0</v>
      </c>
      <c r="C626" s="9">
        <v>30401.0</v>
      </c>
      <c r="D626" s="9" t="s">
        <v>52</v>
      </c>
      <c r="E626" s="9" t="s">
        <v>53</v>
      </c>
      <c r="F626" s="9">
        <v>19489.0</v>
      </c>
      <c r="G626" s="9">
        <v>2465807.0</v>
      </c>
      <c r="H626" s="9">
        <v>2465807.0</v>
      </c>
      <c r="I626" s="9">
        <v>0.0</v>
      </c>
      <c r="J626" s="9">
        <v>0.0</v>
      </c>
      <c r="K626" s="9">
        <v>0.0</v>
      </c>
      <c r="L626" s="9" t="s">
        <v>54</v>
      </c>
      <c r="M626" s="9" t="s">
        <v>55</v>
      </c>
      <c r="N626" s="9">
        <v>2793201.0</v>
      </c>
      <c r="O626" s="9">
        <v>2793201.0</v>
      </c>
      <c r="P626" s="9">
        <v>40000.0</v>
      </c>
      <c r="Q626" s="9">
        <v>36000.0</v>
      </c>
      <c r="R626" s="9" t="s">
        <v>60</v>
      </c>
      <c r="S626" s="9" t="s">
        <v>57</v>
      </c>
      <c r="T626" s="9" t="s">
        <v>61</v>
      </c>
      <c r="V626" s="9">
        <v>2823644.47</v>
      </c>
      <c r="W626" s="9">
        <v>0.0</v>
      </c>
      <c r="X626" s="9">
        <v>0.0</v>
      </c>
    </row>
    <row r="627" ht="15.75" customHeight="1">
      <c r="A627" s="9">
        <v>2030757.0</v>
      </c>
      <c r="B627" s="9">
        <v>8641848.0</v>
      </c>
      <c r="C627" s="9">
        <v>47247.0</v>
      </c>
      <c r="D627" s="9" t="s">
        <v>52</v>
      </c>
      <c r="E627" s="9" t="s">
        <v>53</v>
      </c>
      <c r="F627" s="9">
        <v>31006.0</v>
      </c>
      <c r="G627" s="9">
        <v>1.484555706E7</v>
      </c>
      <c r="H627" s="9">
        <v>1.28610649E8</v>
      </c>
      <c r="I627" s="9">
        <v>8.83584933E7</v>
      </c>
      <c r="J627" s="9">
        <v>2.110958768E7</v>
      </c>
      <c r="K627" s="9">
        <v>2.6231182E7</v>
      </c>
      <c r="L627" s="9" t="s">
        <v>59</v>
      </c>
      <c r="M627" s="9" t="s">
        <v>62</v>
      </c>
      <c r="N627" s="9">
        <v>7.9229444E7</v>
      </c>
      <c r="O627" s="9">
        <v>7.9229444E7</v>
      </c>
      <c r="P627" s="9">
        <v>3095197.0</v>
      </c>
      <c r="Q627" s="9">
        <v>2754200.0</v>
      </c>
      <c r="R627" s="9" t="s">
        <v>106</v>
      </c>
      <c r="S627" s="9" t="s">
        <v>82</v>
      </c>
      <c r="T627" s="9" t="s">
        <v>107</v>
      </c>
      <c r="U627" s="9" t="s">
        <v>108</v>
      </c>
    </row>
    <row r="628" ht="15.75" customHeight="1">
      <c r="A628" s="9">
        <v>2030768.0</v>
      </c>
      <c r="B628" s="9">
        <v>80741.0</v>
      </c>
      <c r="C628" s="9">
        <v>31321.0</v>
      </c>
      <c r="D628" s="9" t="s">
        <v>52</v>
      </c>
      <c r="E628" s="9" t="s">
        <v>53</v>
      </c>
      <c r="F628" s="9">
        <v>29185.0</v>
      </c>
      <c r="G628" s="9">
        <v>80741.0</v>
      </c>
      <c r="H628" s="9">
        <v>80741.0</v>
      </c>
      <c r="I628" s="9">
        <v>0.0</v>
      </c>
      <c r="J628" s="9">
        <v>0.0</v>
      </c>
      <c r="K628" s="9">
        <v>0.0</v>
      </c>
      <c r="L628" s="9" t="s">
        <v>54</v>
      </c>
      <c r="M628" s="9" t="s">
        <v>55</v>
      </c>
      <c r="R628" s="9" t="s">
        <v>60</v>
      </c>
      <c r="S628" s="9" t="s">
        <v>57</v>
      </c>
      <c r="T628" s="9" t="s">
        <v>61</v>
      </c>
      <c r="V628" s="9">
        <v>53196.19</v>
      </c>
      <c r="W628" s="9">
        <v>0.0</v>
      </c>
      <c r="X628" s="9">
        <v>0.0</v>
      </c>
    </row>
    <row r="629" ht="15.75" customHeight="1">
      <c r="A629" s="9">
        <v>2030775.0</v>
      </c>
      <c r="B629" s="9">
        <v>29662.0</v>
      </c>
      <c r="C629" s="9">
        <v>31319.0</v>
      </c>
      <c r="D629" s="9" t="s">
        <v>52</v>
      </c>
      <c r="E629" s="9" t="s">
        <v>53</v>
      </c>
      <c r="F629" s="9">
        <v>31170.0</v>
      </c>
      <c r="G629" s="9">
        <v>53864.86</v>
      </c>
      <c r="H629" s="9">
        <v>53864.86</v>
      </c>
      <c r="I629" s="9">
        <v>0.0</v>
      </c>
      <c r="J629" s="9">
        <v>0.0</v>
      </c>
      <c r="K629" s="9">
        <v>0.0</v>
      </c>
      <c r="L629" s="9" t="s">
        <v>54</v>
      </c>
      <c r="M629" s="9" t="s">
        <v>55</v>
      </c>
      <c r="R629" s="9" t="s">
        <v>60</v>
      </c>
      <c r="S629" s="9" t="s">
        <v>57</v>
      </c>
      <c r="T629" s="9" t="s">
        <v>61</v>
      </c>
      <c r="V629" s="9">
        <v>41622.16</v>
      </c>
      <c r="W629" s="9">
        <v>0.0</v>
      </c>
      <c r="X629" s="9">
        <v>0.0</v>
      </c>
    </row>
    <row r="630" ht="15.75" customHeight="1">
      <c r="A630" s="9">
        <v>2031093.0</v>
      </c>
      <c r="B630" s="9">
        <v>2.8510493E7</v>
      </c>
      <c r="C630" s="9">
        <v>29867.0</v>
      </c>
      <c r="D630" s="9" t="s">
        <v>52</v>
      </c>
      <c r="E630" s="9" t="s">
        <v>53</v>
      </c>
      <c r="F630" s="9">
        <v>5545.0</v>
      </c>
      <c r="G630" s="9">
        <v>3.796666514E7</v>
      </c>
      <c r="H630" s="9">
        <v>3.796666514E7</v>
      </c>
      <c r="I630" s="9">
        <v>3.55043822E7</v>
      </c>
      <c r="J630" s="9">
        <v>0.0</v>
      </c>
      <c r="K630" s="9">
        <v>0.0</v>
      </c>
      <c r="L630" s="9" t="s">
        <v>69</v>
      </c>
      <c r="M630" s="9" t="s">
        <v>55</v>
      </c>
      <c r="N630" s="9">
        <v>2.663932939E7</v>
      </c>
      <c r="O630" s="9">
        <v>2.530700067E7</v>
      </c>
      <c r="P630" s="9">
        <v>799179.88</v>
      </c>
      <c r="Q630" s="9">
        <v>719261.9</v>
      </c>
      <c r="R630" s="9" t="s">
        <v>56</v>
      </c>
      <c r="S630" s="9" t="s">
        <v>57</v>
      </c>
      <c r="T630" s="9" t="s">
        <v>58</v>
      </c>
    </row>
    <row r="631" ht="15.75" customHeight="1">
      <c r="A631" s="9">
        <v>2031636.0</v>
      </c>
      <c r="B631" s="9">
        <v>1197471.0</v>
      </c>
      <c r="C631" s="9">
        <v>31136.0</v>
      </c>
      <c r="D631" s="9" t="s">
        <v>52</v>
      </c>
      <c r="E631" s="9" t="s">
        <v>53</v>
      </c>
      <c r="F631" s="9">
        <v>32397.0</v>
      </c>
      <c r="G631" s="9">
        <v>1197471.0</v>
      </c>
      <c r="H631" s="9">
        <v>1197471.0</v>
      </c>
      <c r="I631" s="9">
        <v>0.0</v>
      </c>
      <c r="J631" s="9">
        <v>0.0</v>
      </c>
      <c r="K631" s="9">
        <v>0.0</v>
      </c>
      <c r="L631" s="9" t="s">
        <v>54</v>
      </c>
      <c r="M631" s="9" t="s">
        <v>55</v>
      </c>
      <c r="R631" s="9" t="s">
        <v>60</v>
      </c>
      <c r="S631" s="9" t="s">
        <v>57</v>
      </c>
      <c r="T631" s="9" t="s">
        <v>61</v>
      </c>
      <c r="V631" s="9">
        <v>587222.04</v>
      </c>
      <c r="W631" s="9">
        <v>0.0</v>
      </c>
      <c r="X631" s="9">
        <v>0.0</v>
      </c>
    </row>
    <row r="632" ht="15.75" customHeight="1">
      <c r="A632" s="9">
        <v>2032215.0</v>
      </c>
      <c r="B632" s="9">
        <v>230223.0</v>
      </c>
      <c r="C632" s="9">
        <v>31313.0</v>
      </c>
      <c r="D632" s="9" t="s">
        <v>52</v>
      </c>
      <c r="E632" s="9" t="s">
        <v>53</v>
      </c>
      <c r="F632" s="9">
        <v>36311.0</v>
      </c>
      <c r="G632" s="9">
        <v>230223.0</v>
      </c>
      <c r="H632" s="9">
        <v>230223.0</v>
      </c>
      <c r="I632" s="9">
        <v>241050.42</v>
      </c>
      <c r="J632" s="9">
        <v>0.0</v>
      </c>
      <c r="K632" s="9">
        <v>0.0</v>
      </c>
      <c r="L632" s="9" t="s">
        <v>69</v>
      </c>
      <c r="M632" s="9" t="s">
        <v>55</v>
      </c>
      <c r="R632" s="9" t="s">
        <v>60</v>
      </c>
      <c r="S632" s="9" t="s">
        <v>57</v>
      </c>
      <c r="T632" s="9" t="s">
        <v>61</v>
      </c>
      <c r="V632" s="9">
        <v>235712.42</v>
      </c>
      <c r="W632" s="9">
        <v>0.0</v>
      </c>
      <c r="X632" s="9">
        <v>0.0</v>
      </c>
    </row>
    <row r="633" ht="15.75" customHeight="1">
      <c r="A633" s="9">
        <v>2032729.0</v>
      </c>
      <c r="B633" s="9">
        <v>183690.0</v>
      </c>
      <c r="C633" s="9">
        <v>31205.0</v>
      </c>
      <c r="D633" s="9" t="s">
        <v>52</v>
      </c>
      <c r="E633" s="9" t="s">
        <v>53</v>
      </c>
      <c r="F633" s="9">
        <v>32863.0</v>
      </c>
      <c r="G633" s="9">
        <v>183690.0</v>
      </c>
      <c r="H633" s="9">
        <v>183690.0</v>
      </c>
      <c r="I633" s="9">
        <v>1529710.29</v>
      </c>
      <c r="J633" s="9">
        <v>0.0</v>
      </c>
      <c r="K633" s="9">
        <v>0.0</v>
      </c>
      <c r="L633" s="9" t="s">
        <v>59</v>
      </c>
      <c r="M633" s="9" t="s">
        <v>55</v>
      </c>
      <c r="R633" s="9" t="s">
        <v>75</v>
      </c>
      <c r="S633" s="9" t="s">
        <v>57</v>
      </c>
      <c r="T633" s="9" t="s">
        <v>76</v>
      </c>
    </row>
    <row r="634" ht="15.75" customHeight="1">
      <c r="A634" s="9">
        <v>2032822.0</v>
      </c>
      <c r="B634" s="9">
        <v>486930.0</v>
      </c>
      <c r="C634" s="9">
        <v>30765.0</v>
      </c>
      <c r="D634" s="9" t="s">
        <v>52</v>
      </c>
      <c r="E634" s="9" t="s">
        <v>53</v>
      </c>
      <c r="F634" s="9">
        <v>35112.0</v>
      </c>
      <c r="G634" s="9">
        <v>486930.0</v>
      </c>
      <c r="H634" s="9">
        <v>486930.0</v>
      </c>
      <c r="I634" s="9">
        <v>492476.73</v>
      </c>
      <c r="J634" s="9">
        <v>0.0</v>
      </c>
      <c r="K634" s="9">
        <v>0.0</v>
      </c>
      <c r="L634" s="9" t="s">
        <v>59</v>
      </c>
      <c r="M634" s="9" t="s">
        <v>55</v>
      </c>
      <c r="N634" s="9">
        <v>486930.0</v>
      </c>
      <c r="O634" s="9">
        <v>419071.95</v>
      </c>
      <c r="P634" s="9">
        <v>2849325.0</v>
      </c>
      <c r="Q634" s="9">
        <v>0.0</v>
      </c>
      <c r="R634" s="9" t="s">
        <v>75</v>
      </c>
      <c r="S634" s="9" t="s">
        <v>57</v>
      </c>
      <c r="T634" s="9" t="s">
        <v>76</v>
      </c>
    </row>
    <row r="635" ht="15.75" customHeight="1">
      <c r="A635" s="9">
        <v>2034162.0</v>
      </c>
      <c r="B635" s="9">
        <v>5921460.0</v>
      </c>
      <c r="C635" s="9">
        <v>30763.0</v>
      </c>
      <c r="D635" s="9" t="s">
        <v>52</v>
      </c>
      <c r="E635" s="9" t="s">
        <v>53</v>
      </c>
      <c r="F635" s="9">
        <v>26153.0</v>
      </c>
      <c r="G635" s="9">
        <v>5921460.0</v>
      </c>
      <c r="H635" s="9">
        <v>5921460.0</v>
      </c>
      <c r="I635" s="9">
        <v>7615738.46</v>
      </c>
      <c r="J635" s="9">
        <v>0.0</v>
      </c>
      <c r="K635" s="9">
        <v>0.0</v>
      </c>
      <c r="L635" s="9" t="s">
        <v>69</v>
      </c>
      <c r="M635" s="9" t="s">
        <v>55</v>
      </c>
      <c r="N635" s="9">
        <v>5863404.0</v>
      </c>
      <c r="O635" s="9">
        <v>6341039.47</v>
      </c>
      <c r="P635" s="9">
        <v>126820.79</v>
      </c>
      <c r="Q635" s="9">
        <v>126820.79</v>
      </c>
      <c r="R635" s="9" t="s">
        <v>60</v>
      </c>
      <c r="S635" s="9" t="s">
        <v>57</v>
      </c>
      <c r="T635" s="9" t="s">
        <v>61</v>
      </c>
      <c r="V635" s="9">
        <v>6893916.14</v>
      </c>
      <c r="W635" s="9">
        <v>0.0</v>
      </c>
      <c r="X635" s="9">
        <v>0.0</v>
      </c>
    </row>
    <row r="636" ht="15.75" customHeight="1">
      <c r="A636" s="9">
        <v>2034737.0</v>
      </c>
      <c r="B636" s="9">
        <v>1.66308908E8</v>
      </c>
      <c r="C636" s="9">
        <v>42174.0</v>
      </c>
      <c r="D636" s="9" t="s">
        <v>52</v>
      </c>
      <c r="E636" s="9" t="s">
        <v>111</v>
      </c>
      <c r="F636" s="9">
        <v>30240.0</v>
      </c>
      <c r="G636" s="9">
        <v>1.66308908E8</v>
      </c>
      <c r="M636" s="9" t="s">
        <v>112</v>
      </c>
      <c r="N636" s="9">
        <v>5603699.17</v>
      </c>
      <c r="O636" s="9">
        <v>5043329.26</v>
      </c>
      <c r="P636" s="9">
        <v>1733246.86</v>
      </c>
      <c r="Q636" s="9">
        <v>1733246.86</v>
      </c>
      <c r="R636" s="9" t="s">
        <v>63</v>
      </c>
      <c r="S636" s="9" t="s">
        <v>63</v>
      </c>
    </row>
    <row r="637" ht="15.75" customHeight="1">
      <c r="A637" s="9">
        <v>2037377.0</v>
      </c>
      <c r="B637" s="9">
        <v>917225.0</v>
      </c>
      <c r="C637" s="9">
        <v>29942.0</v>
      </c>
      <c r="D637" s="9" t="s">
        <v>52</v>
      </c>
      <c r="E637" s="9" t="s">
        <v>53</v>
      </c>
      <c r="F637" s="9">
        <v>25086.0</v>
      </c>
      <c r="G637" s="9">
        <v>2031896.0</v>
      </c>
      <c r="H637" s="9">
        <v>2031896.0</v>
      </c>
      <c r="I637" s="9">
        <v>362397.0</v>
      </c>
      <c r="J637" s="9">
        <v>0.0</v>
      </c>
      <c r="K637" s="9">
        <v>0.0</v>
      </c>
      <c r="L637" s="9" t="s">
        <v>59</v>
      </c>
      <c r="M637" s="9" t="s">
        <v>55</v>
      </c>
      <c r="N637" s="9">
        <v>1946896.0</v>
      </c>
      <c r="O637" s="9">
        <v>1946896.0</v>
      </c>
      <c r="P637" s="9">
        <v>18000.0</v>
      </c>
      <c r="Q637" s="9">
        <v>18000.0</v>
      </c>
      <c r="R637" s="9" t="s">
        <v>56</v>
      </c>
      <c r="S637" s="9" t="s">
        <v>57</v>
      </c>
      <c r="T637" s="9" t="s">
        <v>58</v>
      </c>
      <c r="V637" s="9">
        <v>1946896.0</v>
      </c>
      <c r="W637" s="9">
        <v>0.0</v>
      </c>
      <c r="X637" s="9">
        <v>0.0</v>
      </c>
    </row>
    <row r="638" ht="15.75" customHeight="1">
      <c r="A638" s="9">
        <v>2071899.0</v>
      </c>
      <c r="B638" s="9">
        <v>2392331.0</v>
      </c>
      <c r="C638" s="9">
        <v>31301.0</v>
      </c>
      <c r="D638" s="9" t="s">
        <v>52</v>
      </c>
      <c r="E638" s="9" t="s">
        <v>53</v>
      </c>
      <c r="F638" s="9">
        <v>78448.0</v>
      </c>
      <c r="G638" s="9">
        <v>2469043.4</v>
      </c>
      <c r="H638" s="9">
        <v>2469043.4</v>
      </c>
      <c r="I638" s="9">
        <v>2825793.44</v>
      </c>
      <c r="J638" s="9">
        <v>0.0</v>
      </c>
      <c r="K638" s="9">
        <v>0.0</v>
      </c>
      <c r="L638" s="9" t="s">
        <v>69</v>
      </c>
      <c r="M638" s="9" t="s">
        <v>55</v>
      </c>
      <c r="R638" s="9" t="s">
        <v>60</v>
      </c>
      <c r="S638" s="9" t="s">
        <v>57</v>
      </c>
      <c r="T638" s="9" t="s">
        <v>61</v>
      </c>
      <c r="V638" s="9">
        <v>2381570.7</v>
      </c>
      <c r="W638" s="9">
        <v>77212.81</v>
      </c>
      <c r="X638" s="9">
        <v>0.0</v>
      </c>
    </row>
    <row r="639" ht="15.75" customHeight="1">
      <c r="A639" s="9">
        <v>2073507.0</v>
      </c>
      <c r="B639" s="9">
        <v>2380244.0</v>
      </c>
      <c r="C639" s="9">
        <v>31255.0</v>
      </c>
      <c r="D639" s="9" t="s">
        <v>52</v>
      </c>
      <c r="E639" s="9" t="s">
        <v>53</v>
      </c>
      <c r="F639" s="9">
        <v>82838.0</v>
      </c>
      <c r="G639" s="9">
        <v>2380244.0</v>
      </c>
      <c r="H639" s="9">
        <v>2380244.0</v>
      </c>
      <c r="I639" s="9">
        <v>2434620.54</v>
      </c>
      <c r="J639" s="9">
        <v>0.0</v>
      </c>
      <c r="K639" s="9">
        <v>0.0</v>
      </c>
      <c r="L639" s="9" t="s">
        <v>69</v>
      </c>
      <c r="M639" s="9" t="s">
        <v>55</v>
      </c>
      <c r="R639" s="9" t="s">
        <v>60</v>
      </c>
      <c r="S639" s="9" t="s">
        <v>57</v>
      </c>
      <c r="T639" s="9" t="s">
        <v>61</v>
      </c>
      <c r="V639" s="9">
        <v>2348519.9</v>
      </c>
      <c r="W639" s="9">
        <v>31731.0</v>
      </c>
      <c r="X639" s="9">
        <v>0.0</v>
      </c>
    </row>
    <row r="640" ht="15.75" customHeight="1">
      <c r="A640" s="9">
        <v>2074526.0</v>
      </c>
      <c r="B640" s="9">
        <v>1726972.0</v>
      </c>
      <c r="C640" s="9">
        <v>29753.0</v>
      </c>
      <c r="D640" s="9" t="s">
        <v>52</v>
      </c>
      <c r="E640" s="9" t="s">
        <v>53</v>
      </c>
      <c r="F640" s="9">
        <v>85266.0</v>
      </c>
      <c r="G640" s="9">
        <v>2432292.37</v>
      </c>
      <c r="H640" s="9">
        <v>2432292.37</v>
      </c>
      <c r="I640" s="9">
        <v>2432292.37</v>
      </c>
      <c r="J640" s="9">
        <v>0.0</v>
      </c>
      <c r="K640" s="9">
        <v>0.0</v>
      </c>
      <c r="L640" s="9" t="s">
        <v>69</v>
      </c>
      <c r="M640" s="9" t="s">
        <v>65</v>
      </c>
      <c r="N640" s="9">
        <v>24000.0</v>
      </c>
      <c r="O640" s="9">
        <v>24000.0</v>
      </c>
      <c r="R640" s="9" t="s">
        <v>92</v>
      </c>
      <c r="S640" s="9" t="s">
        <v>57</v>
      </c>
      <c r="T640" s="9" t="s">
        <v>93</v>
      </c>
      <c r="V640" s="9">
        <v>24000.0</v>
      </c>
      <c r="W640" s="9">
        <v>0.0</v>
      </c>
    </row>
    <row r="641" ht="15.75" customHeight="1">
      <c r="A641" s="9">
        <v>2074608.0</v>
      </c>
      <c r="B641" s="9">
        <v>932306.0</v>
      </c>
      <c r="C641" s="9">
        <v>29929.0</v>
      </c>
      <c r="D641" s="9" t="s">
        <v>52</v>
      </c>
      <c r="E641" s="9" t="s">
        <v>53</v>
      </c>
      <c r="F641" s="9">
        <v>85543.0</v>
      </c>
      <c r="G641" s="9">
        <v>932306.0</v>
      </c>
      <c r="H641" s="9">
        <v>932306.0</v>
      </c>
      <c r="I641" s="9">
        <v>915832.23</v>
      </c>
      <c r="J641" s="9">
        <v>0.0</v>
      </c>
      <c r="K641" s="9">
        <v>0.0</v>
      </c>
      <c r="L641" s="9" t="s">
        <v>59</v>
      </c>
      <c r="M641" s="9" t="s">
        <v>55</v>
      </c>
      <c r="N641" s="9">
        <v>870656.0</v>
      </c>
      <c r="O641" s="9">
        <v>870656.0</v>
      </c>
      <c r="P641" s="9">
        <v>26000.0</v>
      </c>
      <c r="Q641" s="9">
        <v>26000.0</v>
      </c>
      <c r="R641" s="9" t="s">
        <v>56</v>
      </c>
      <c r="S641" s="9" t="s">
        <v>57</v>
      </c>
      <c r="T641" s="9" t="s">
        <v>58</v>
      </c>
      <c r="V641" s="9">
        <v>872915.33</v>
      </c>
      <c r="W641" s="9">
        <v>0.0</v>
      </c>
      <c r="X641" s="9">
        <v>0.0</v>
      </c>
    </row>
    <row r="642" ht="15.75" customHeight="1">
      <c r="A642" s="9">
        <v>2074793.0</v>
      </c>
      <c r="B642" s="9">
        <v>1.8662366E7</v>
      </c>
      <c r="C642" s="9">
        <v>30557.0</v>
      </c>
      <c r="D642" s="9" t="s">
        <v>52</v>
      </c>
      <c r="E642" s="9" t="s">
        <v>53</v>
      </c>
      <c r="F642" s="9">
        <v>86078.0</v>
      </c>
      <c r="G642" s="9">
        <v>1.8665366E7</v>
      </c>
      <c r="H642" s="9">
        <v>1.8665366E7</v>
      </c>
      <c r="I642" s="9">
        <v>1.865750977E7</v>
      </c>
      <c r="J642" s="9">
        <v>0.0</v>
      </c>
      <c r="K642" s="9">
        <v>0.0</v>
      </c>
      <c r="L642" s="9" t="s">
        <v>59</v>
      </c>
      <c r="M642" s="9" t="s">
        <v>55</v>
      </c>
      <c r="N642" s="9">
        <v>1.736684587E7</v>
      </c>
      <c r="O642" s="9">
        <v>1.728001164E7</v>
      </c>
      <c r="P642" s="9">
        <v>811579.0</v>
      </c>
      <c r="Q642" s="9">
        <v>800000.0</v>
      </c>
      <c r="R642" s="9" t="s">
        <v>60</v>
      </c>
      <c r="S642" s="9" t="s">
        <v>57</v>
      </c>
      <c r="T642" s="9" t="s">
        <v>61</v>
      </c>
      <c r="V642" s="9">
        <v>1.765467734E7</v>
      </c>
      <c r="W642" s="9">
        <v>850550.0</v>
      </c>
      <c r="X642" s="9">
        <v>0.0</v>
      </c>
    </row>
    <row r="643" ht="15.75" customHeight="1">
      <c r="A643" s="9">
        <v>2078788.0</v>
      </c>
      <c r="B643" s="9">
        <v>257919.0</v>
      </c>
      <c r="C643" s="9">
        <v>30350.0</v>
      </c>
      <c r="D643" s="9" t="s">
        <v>52</v>
      </c>
      <c r="E643" s="9" t="s">
        <v>53</v>
      </c>
      <c r="F643" s="9">
        <v>81636.0</v>
      </c>
      <c r="G643" s="9">
        <v>275379.75</v>
      </c>
      <c r="H643" s="9">
        <v>275379.75</v>
      </c>
      <c r="I643" s="9">
        <v>0.0</v>
      </c>
      <c r="J643" s="9">
        <v>0.0</v>
      </c>
      <c r="K643" s="9">
        <v>0.0</v>
      </c>
      <c r="L643" s="9" t="s">
        <v>54</v>
      </c>
      <c r="M643" s="9" t="s">
        <v>55</v>
      </c>
      <c r="N643" s="9">
        <v>259379.75</v>
      </c>
      <c r="O643" s="9">
        <v>256898.27</v>
      </c>
      <c r="P643" s="9">
        <v>259379.75</v>
      </c>
      <c r="Q643" s="9">
        <v>0.0</v>
      </c>
      <c r="R643" s="9" t="s">
        <v>60</v>
      </c>
      <c r="S643" s="9" t="s">
        <v>57</v>
      </c>
      <c r="T643" s="9" t="s">
        <v>61</v>
      </c>
      <c r="V643" s="9">
        <v>256898.27</v>
      </c>
      <c r="W643" s="9">
        <v>0.0</v>
      </c>
      <c r="X643" s="9">
        <v>0.0</v>
      </c>
    </row>
    <row r="644" ht="15.75" customHeight="1">
      <c r="A644" s="9">
        <v>2081242.0</v>
      </c>
      <c r="B644" s="9">
        <v>970891.0</v>
      </c>
      <c r="C644" s="9">
        <v>30609.0</v>
      </c>
      <c r="D644" s="9" t="s">
        <v>52</v>
      </c>
      <c r="E644" s="9" t="s">
        <v>53</v>
      </c>
      <c r="F644" s="9">
        <v>71714.0</v>
      </c>
      <c r="G644" s="9">
        <v>1152159.05</v>
      </c>
      <c r="H644" s="9">
        <v>1152159.05</v>
      </c>
      <c r="I644" s="9">
        <v>1151719.89</v>
      </c>
      <c r="J644" s="9">
        <v>0.0</v>
      </c>
      <c r="K644" s="9">
        <v>0.0</v>
      </c>
      <c r="L644" s="9" t="s">
        <v>69</v>
      </c>
      <c r="M644" s="9" t="s">
        <v>55</v>
      </c>
      <c r="N644" s="9">
        <v>940575.4</v>
      </c>
      <c r="O644" s="9">
        <v>997009.92</v>
      </c>
      <c r="P644" s="9">
        <v>24000.0</v>
      </c>
      <c r="Q644" s="9">
        <v>24000.0</v>
      </c>
      <c r="R644" s="9" t="s">
        <v>60</v>
      </c>
      <c r="S644" s="9" t="s">
        <v>57</v>
      </c>
      <c r="T644" s="9" t="s">
        <v>61</v>
      </c>
      <c r="V644" s="9">
        <v>1080899.49</v>
      </c>
      <c r="W644" s="9">
        <v>21542.4</v>
      </c>
      <c r="X644" s="9">
        <v>0.0</v>
      </c>
    </row>
    <row r="645" ht="15.75" customHeight="1">
      <c r="A645" s="9">
        <v>2084536.0</v>
      </c>
      <c r="B645" s="9">
        <v>1.8477841E7</v>
      </c>
      <c r="C645" s="9">
        <v>31545.0</v>
      </c>
      <c r="D645" s="9" t="s">
        <v>52</v>
      </c>
      <c r="E645" s="9" t="s">
        <v>53</v>
      </c>
      <c r="F645" s="9">
        <v>75104.0</v>
      </c>
      <c r="G645" s="9">
        <v>2.216969637E7</v>
      </c>
      <c r="H645" s="9">
        <v>2.216969637E7</v>
      </c>
      <c r="I645" s="9">
        <v>2.177036526E7</v>
      </c>
      <c r="J645" s="9">
        <v>0.0</v>
      </c>
      <c r="K645" s="9">
        <v>0.0</v>
      </c>
      <c r="L645" s="9" t="s">
        <v>69</v>
      </c>
      <c r="M645" s="9" t="s">
        <v>62</v>
      </c>
      <c r="N645" s="9">
        <v>1.209377029E7</v>
      </c>
      <c r="O645" s="9">
        <v>1.209377029E7</v>
      </c>
      <c r="P645" s="9">
        <v>503651.43</v>
      </c>
      <c r="Q645" s="9">
        <v>453286.29</v>
      </c>
      <c r="R645" s="9" t="s">
        <v>56</v>
      </c>
      <c r="S645" s="9" t="s">
        <v>57</v>
      </c>
      <c r="T645" s="9" t="s">
        <v>58</v>
      </c>
      <c r="V645" s="9">
        <v>0.0</v>
      </c>
      <c r="W645" s="9">
        <v>0.0</v>
      </c>
      <c r="X645" s="9">
        <v>0.0</v>
      </c>
    </row>
    <row r="646" ht="15.75" customHeight="1">
      <c r="A646" s="9">
        <v>2084768.0</v>
      </c>
      <c r="B646" s="9">
        <v>3612507.0</v>
      </c>
      <c r="C646" s="9">
        <v>36668.0</v>
      </c>
      <c r="D646" s="9" t="s">
        <v>52</v>
      </c>
      <c r="E646" s="9" t="s">
        <v>53</v>
      </c>
      <c r="F646" s="9">
        <v>84900.0</v>
      </c>
      <c r="G646" s="9">
        <v>5258953.0</v>
      </c>
      <c r="H646" s="9">
        <v>5258953.0</v>
      </c>
      <c r="I646" s="9">
        <v>6409419.42</v>
      </c>
      <c r="J646" s="9">
        <v>0.0</v>
      </c>
      <c r="K646" s="9">
        <v>0.0</v>
      </c>
      <c r="L646" s="9" t="s">
        <v>59</v>
      </c>
      <c r="M646" s="9" t="s">
        <v>62</v>
      </c>
      <c r="P646" s="9">
        <v>174734.4</v>
      </c>
      <c r="Q646" s="9">
        <v>174734.4</v>
      </c>
      <c r="R646" s="9" t="s">
        <v>72</v>
      </c>
      <c r="S646" s="9" t="s">
        <v>57</v>
      </c>
      <c r="T646" s="9" t="s">
        <v>73</v>
      </c>
      <c r="V646" s="9">
        <v>1955739.5</v>
      </c>
      <c r="W646" s="9">
        <v>0.0</v>
      </c>
      <c r="X646" s="9">
        <v>0.0</v>
      </c>
    </row>
    <row r="647" ht="15.75" customHeight="1">
      <c r="A647" s="9">
        <v>2084972.0</v>
      </c>
      <c r="B647" s="9">
        <v>1.4120863E7</v>
      </c>
      <c r="C647" s="9">
        <v>30430.0</v>
      </c>
      <c r="D647" s="9" t="s">
        <v>52</v>
      </c>
      <c r="E647" s="9" t="s">
        <v>53</v>
      </c>
      <c r="F647" s="9">
        <v>86272.0</v>
      </c>
      <c r="G647" s="9">
        <v>1.47991286E7</v>
      </c>
      <c r="H647" s="9">
        <v>1.47991286E7</v>
      </c>
      <c r="I647" s="9">
        <v>1.660027115E7</v>
      </c>
      <c r="J647" s="9">
        <v>0.0</v>
      </c>
      <c r="K647" s="9">
        <v>0.0</v>
      </c>
      <c r="L647" s="9" t="s">
        <v>59</v>
      </c>
      <c r="M647" s="9" t="s">
        <v>55</v>
      </c>
      <c r="N647" s="9">
        <v>1.415203059E7</v>
      </c>
      <c r="O647" s="9">
        <v>1.415193059E7</v>
      </c>
      <c r="P647" s="9">
        <v>392705.0</v>
      </c>
      <c r="Q647" s="9">
        <v>392705.0</v>
      </c>
      <c r="R647" s="9" t="s">
        <v>60</v>
      </c>
      <c r="S647" s="9" t="s">
        <v>57</v>
      </c>
      <c r="T647" s="9" t="s">
        <v>61</v>
      </c>
      <c r="V647" s="9">
        <v>1.65655479E7</v>
      </c>
      <c r="W647" s="9">
        <v>0.0</v>
      </c>
      <c r="X647" s="9">
        <v>0.0</v>
      </c>
    </row>
    <row r="648" ht="15.75" customHeight="1">
      <c r="A648" s="9">
        <v>2086240.0</v>
      </c>
      <c r="B648" s="9">
        <v>3689482.0</v>
      </c>
      <c r="C648" s="9">
        <v>30881.0</v>
      </c>
      <c r="D648" s="9" t="s">
        <v>52</v>
      </c>
      <c r="E648" s="9" t="s">
        <v>53</v>
      </c>
      <c r="F648" s="9">
        <v>59376.0</v>
      </c>
      <c r="G648" s="9">
        <v>4050058.54</v>
      </c>
      <c r="H648" s="9">
        <v>4050058.54</v>
      </c>
      <c r="I648" s="9">
        <v>4050046.82</v>
      </c>
      <c r="J648" s="9">
        <v>0.0</v>
      </c>
      <c r="K648" s="9">
        <v>0.0</v>
      </c>
      <c r="L648" s="9" t="s">
        <v>59</v>
      </c>
      <c r="M648" s="9" t="s">
        <v>55</v>
      </c>
      <c r="N648" s="9">
        <v>3512407.71</v>
      </c>
      <c r="O648" s="9">
        <v>3235452.94</v>
      </c>
      <c r="P648" s="9">
        <v>190688.0</v>
      </c>
      <c r="Q648" s="9">
        <v>174528.0</v>
      </c>
      <c r="R648" s="9" t="s">
        <v>56</v>
      </c>
      <c r="S648" s="9" t="s">
        <v>57</v>
      </c>
      <c r="T648" s="9" t="s">
        <v>58</v>
      </c>
      <c r="V648" s="9">
        <v>3637790.59</v>
      </c>
      <c r="W648" s="9">
        <v>0.0</v>
      </c>
      <c r="X648" s="9">
        <v>0.0</v>
      </c>
    </row>
    <row r="649" ht="15.75" customHeight="1">
      <c r="A649" s="9">
        <v>2088915.0</v>
      </c>
      <c r="B649" s="9">
        <v>149713.0</v>
      </c>
      <c r="C649" s="9">
        <v>31296.0</v>
      </c>
      <c r="D649" s="9" t="s">
        <v>52</v>
      </c>
      <c r="E649" s="9" t="s">
        <v>53</v>
      </c>
      <c r="F649" s="9">
        <v>77642.0</v>
      </c>
      <c r="G649" s="9">
        <v>149713.0</v>
      </c>
      <c r="H649" s="9">
        <v>149713.0</v>
      </c>
      <c r="I649" s="9">
        <v>0.0</v>
      </c>
      <c r="J649" s="9">
        <v>0.0</v>
      </c>
      <c r="K649" s="9">
        <v>0.0</v>
      </c>
      <c r="L649" s="9" t="s">
        <v>69</v>
      </c>
      <c r="M649" s="9" t="s">
        <v>55</v>
      </c>
      <c r="R649" s="9" t="s">
        <v>60</v>
      </c>
      <c r="S649" s="9" t="s">
        <v>57</v>
      </c>
      <c r="T649" s="9" t="s">
        <v>61</v>
      </c>
      <c r="V649" s="9">
        <v>156713.0</v>
      </c>
      <c r="W649" s="9">
        <v>0.0</v>
      </c>
      <c r="X649" s="9">
        <v>0.0</v>
      </c>
    </row>
    <row r="650" ht="15.75" customHeight="1">
      <c r="A650" s="9">
        <v>2088916.0</v>
      </c>
      <c r="B650" s="9">
        <v>299712.0</v>
      </c>
      <c r="C650" s="9">
        <v>31294.0</v>
      </c>
      <c r="D650" s="9" t="s">
        <v>52</v>
      </c>
      <c r="E650" s="9" t="s">
        <v>53</v>
      </c>
      <c r="F650" s="9">
        <v>82929.0</v>
      </c>
      <c r="G650" s="9">
        <v>299712.0</v>
      </c>
      <c r="H650" s="9">
        <v>299712.0</v>
      </c>
      <c r="I650" s="9">
        <v>0.0</v>
      </c>
      <c r="J650" s="9">
        <v>0.0</v>
      </c>
      <c r="K650" s="9">
        <v>0.0</v>
      </c>
      <c r="L650" s="9" t="s">
        <v>69</v>
      </c>
      <c r="M650" s="9" t="s">
        <v>55</v>
      </c>
      <c r="R650" s="9" t="s">
        <v>72</v>
      </c>
      <c r="S650" s="9" t="s">
        <v>57</v>
      </c>
      <c r="T650" s="9" t="s">
        <v>73</v>
      </c>
      <c r="V650" s="9">
        <v>299643.12</v>
      </c>
      <c r="W650" s="9">
        <v>0.0</v>
      </c>
      <c r="X650" s="9">
        <v>0.0</v>
      </c>
    </row>
    <row r="651" ht="15.75" customHeight="1">
      <c r="A651" s="9">
        <v>2090769.0</v>
      </c>
      <c r="B651" s="9">
        <v>1390233.0</v>
      </c>
      <c r="C651" s="9">
        <v>30047.0</v>
      </c>
      <c r="D651" s="9" t="s">
        <v>52</v>
      </c>
      <c r="E651" s="9" t="s">
        <v>53</v>
      </c>
      <c r="F651" s="9">
        <v>62529.0</v>
      </c>
      <c r="G651" s="9">
        <v>1283264.0</v>
      </c>
      <c r="H651" s="9">
        <v>1283264.0</v>
      </c>
      <c r="I651" s="9">
        <v>1390232.33</v>
      </c>
      <c r="J651" s="9">
        <v>0.0</v>
      </c>
      <c r="K651" s="9">
        <v>0.0</v>
      </c>
      <c r="L651" s="9" t="s">
        <v>69</v>
      </c>
      <c r="M651" s="9" t="s">
        <v>55</v>
      </c>
      <c r="N651" s="9">
        <v>1150838.88</v>
      </c>
      <c r="O651" s="9">
        <v>1150838.88</v>
      </c>
      <c r="P651" s="9">
        <v>50169.0</v>
      </c>
      <c r="Q651" s="9">
        <v>50169.0</v>
      </c>
      <c r="R651" s="9" t="s">
        <v>56</v>
      </c>
      <c r="S651" s="9" t="s">
        <v>57</v>
      </c>
      <c r="T651" s="9" t="s">
        <v>58</v>
      </c>
      <c r="V651" s="9">
        <v>1283744.53</v>
      </c>
      <c r="W651" s="9">
        <v>65000.0</v>
      </c>
      <c r="X651" s="9">
        <v>0.0</v>
      </c>
    </row>
    <row r="652" ht="15.75" customHeight="1">
      <c r="A652" s="9">
        <v>2090770.0</v>
      </c>
      <c r="B652" s="9">
        <v>7706790.0</v>
      </c>
      <c r="C652" s="9">
        <v>30606.0</v>
      </c>
      <c r="D652" s="9" t="s">
        <v>52</v>
      </c>
      <c r="E652" s="9" t="s">
        <v>53</v>
      </c>
      <c r="F652" s="9">
        <v>100179.0</v>
      </c>
      <c r="G652" s="9">
        <v>7806790.0</v>
      </c>
      <c r="H652" s="9">
        <v>7806790.0</v>
      </c>
      <c r="I652" s="9">
        <v>4694045.7</v>
      </c>
      <c r="J652" s="9">
        <v>0.0</v>
      </c>
      <c r="K652" s="9">
        <v>0.0</v>
      </c>
      <c r="L652" s="9" t="s">
        <v>59</v>
      </c>
      <c r="M652" s="9" t="s">
        <v>55</v>
      </c>
      <c r="N652" s="9">
        <v>7563741.07</v>
      </c>
      <c r="O652" s="9">
        <v>7562687.81</v>
      </c>
      <c r="P652" s="9">
        <v>103000.0</v>
      </c>
      <c r="Q652" s="9">
        <v>103000.0</v>
      </c>
      <c r="R652" s="9" t="s">
        <v>60</v>
      </c>
      <c r="S652" s="9" t="s">
        <v>57</v>
      </c>
      <c r="T652" s="9" t="s">
        <v>61</v>
      </c>
      <c r="V652" s="9">
        <v>8236056.54</v>
      </c>
      <c r="W652" s="9">
        <v>0.0</v>
      </c>
      <c r="X652" s="9">
        <v>0.0</v>
      </c>
    </row>
    <row r="653" ht="15.75" customHeight="1">
      <c r="A653" s="9">
        <v>2090887.0</v>
      </c>
      <c r="B653" s="9">
        <v>1.3114443E8</v>
      </c>
      <c r="C653" s="9">
        <v>40170.0</v>
      </c>
      <c r="D653" s="9" t="s">
        <v>52</v>
      </c>
      <c r="E653" s="9" t="s">
        <v>64</v>
      </c>
      <c r="F653" s="9">
        <v>3880.0</v>
      </c>
      <c r="G653" s="9">
        <v>2.20252346E8</v>
      </c>
      <c r="H653" s="9">
        <v>7.1770820096E8</v>
      </c>
      <c r="I653" s="9">
        <v>8.639014902E7</v>
      </c>
      <c r="J653" s="9">
        <v>710044.73</v>
      </c>
      <c r="K653" s="9">
        <v>1750000.0</v>
      </c>
      <c r="L653" s="9" t="s">
        <v>59</v>
      </c>
      <c r="M653" s="9" t="s">
        <v>74</v>
      </c>
      <c r="N653" s="9">
        <v>5321743.14</v>
      </c>
      <c r="O653" s="9">
        <v>4157816.39</v>
      </c>
      <c r="P653" s="9">
        <v>1602718.02</v>
      </c>
      <c r="Q653" s="9">
        <v>1442446.22</v>
      </c>
      <c r="R653" s="9" t="s">
        <v>66</v>
      </c>
      <c r="S653" s="9" t="s">
        <v>67</v>
      </c>
      <c r="T653" s="9" t="s">
        <v>68</v>
      </c>
    </row>
    <row r="654" ht="15.75" customHeight="1">
      <c r="A654" s="9">
        <v>2091005.0</v>
      </c>
      <c r="B654" s="9">
        <v>2358621.0</v>
      </c>
      <c r="C654" s="9">
        <v>30437.0</v>
      </c>
      <c r="D654" s="9" t="s">
        <v>52</v>
      </c>
      <c r="E654" s="9" t="s">
        <v>53</v>
      </c>
      <c r="F654" s="9">
        <v>57616.0</v>
      </c>
      <c r="G654" s="9">
        <v>2301251.0</v>
      </c>
      <c r="H654" s="9">
        <v>2301251.0</v>
      </c>
      <c r="I654" s="9">
        <v>2425870.12</v>
      </c>
      <c r="J654" s="9">
        <v>0.0</v>
      </c>
      <c r="K654" s="9">
        <v>0.0</v>
      </c>
      <c r="L654" s="9" t="s">
        <v>59</v>
      </c>
      <c r="M654" s="9" t="s">
        <v>55</v>
      </c>
      <c r="N654" s="9">
        <v>2134224.96</v>
      </c>
      <c r="O654" s="9">
        <v>2134224.96</v>
      </c>
      <c r="P654" s="9">
        <v>55675.43</v>
      </c>
      <c r="Q654" s="9">
        <v>55675.43</v>
      </c>
      <c r="R654" s="9" t="s">
        <v>56</v>
      </c>
      <c r="S654" s="9" t="s">
        <v>57</v>
      </c>
      <c r="T654" s="9" t="s">
        <v>58</v>
      </c>
      <c r="V654" s="9">
        <v>2307290.59</v>
      </c>
      <c r="W654" s="9">
        <v>0.0</v>
      </c>
      <c r="X654" s="9">
        <v>0.0</v>
      </c>
    </row>
    <row r="655" ht="15.75" customHeight="1">
      <c r="A655" s="9">
        <v>2091188.0</v>
      </c>
      <c r="B655" s="9">
        <v>4695463.0</v>
      </c>
      <c r="C655" s="9">
        <v>29876.0</v>
      </c>
      <c r="D655" s="9" t="s">
        <v>52</v>
      </c>
      <c r="E655" s="9" t="s">
        <v>53</v>
      </c>
      <c r="F655" s="9">
        <v>116618.0</v>
      </c>
      <c r="G655" s="9">
        <v>4694900.4</v>
      </c>
      <c r="H655" s="9">
        <v>4694900.4</v>
      </c>
      <c r="I655" s="9">
        <v>0.0</v>
      </c>
      <c r="J655" s="9">
        <v>0.0</v>
      </c>
      <c r="K655" s="9">
        <v>0.0</v>
      </c>
      <c r="L655" s="9" t="s">
        <v>69</v>
      </c>
      <c r="M655" s="9" t="s">
        <v>55</v>
      </c>
      <c r="N655" s="9">
        <v>0.0</v>
      </c>
      <c r="O655" s="9">
        <v>4476088.82</v>
      </c>
      <c r="P655" s="9">
        <v>0.0</v>
      </c>
      <c r="Q655" s="9">
        <v>219374.18</v>
      </c>
      <c r="R655" s="9" t="s">
        <v>60</v>
      </c>
      <c r="S655" s="9" t="s">
        <v>57</v>
      </c>
      <c r="T655" s="9" t="s">
        <v>61</v>
      </c>
      <c r="V655" s="9">
        <v>4694900.0</v>
      </c>
      <c r="W655" s="9">
        <v>0.0</v>
      </c>
      <c r="X655" s="9">
        <v>0.0</v>
      </c>
    </row>
    <row r="656" ht="15.75" customHeight="1">
      <c r="A656" s="9">
        <v>2091573.0</v>
      </c>
      <c r="B656" s="9">
        <v>474127.0</v>
      </c>
      <c r="C656" s="9">
        <v>30349.0</v>
      </c>
      <c r="D656" s="9" t="s">
        <v>52</v>
      </c>
      <c r="E656" s="9" t="s">
        <v>53</v>
      </c>
      <c r="F656" s="9">
        <v>102449.0</v>
      </c>
      <c r="G656" s="9">
        <v>521306.31</v>
      </c>
      <c r="H656" s="9">
        <v>521306.31</v>
      </c>
      <c r="I656" s="9">
        <v>0.0</v>
      </c>
      <c r="J656" s="9">
        <v>0.0</v>
      </c>
      <c r="K656" s="9">
        <v>0.0</v>
      </c>
      <c r="L656" s="9" t="s">
        <v>54</v>
      </c>
      <c r="M656" s="9" t="s">
        <v>55</v>
      </c>
      <c r="N656" s="9">
        <v>498640.82</v>
      </c>
      <c r="O656" s="9">
        <v>498640.82</v>
      </c>
      <c r="P656" s="9">
        <v>498640.82</v>
      </c>
      <c r="Q656" s="9">
        <v>21290.0</v>
      </c>
      <c r="R656" s="9" t="s">
        <v>60</v>
      </c>
      <c r="S656" s="9" t="s">
        <v>57</v>
      </c>
      <c r="T656" s="9" t="s">
        <v>61</v>
      </c>
      <c r="V656" s="9">
        <v>498640.82</v>
      </c>
      <c r="W656" s="9">
        <v>21263.84</v>
      </c>
      <c r="X656" s="9">
        <v>0.0</v>
      </c>
    </row>
    <row r="657" ht="15.75" customHeight="1">
      <c r="A657" s="9">
        <v>2092709.0</v>
      </c>
      <c r="B657" s="9">
        <v>1843816.41</v>
      </c>
      <c r="C657" s="9">
        <v>31209.0</v>
      </c>
      <c r="D657" s="9" t="s">
        <v>52</v>
      </c>
      <c r="E657" s="9" t="s">
        <v>53</v>
      </c>
      <c r="F657" s="9">
        <v>7651.0</v>
      </c>
      <c r="G657" s="9">
        <v>1843816.41</v>
      </c>
      <c r="H657" s="9">
        <v>1843816.41</v>
      </c>
      <c r="I657" s="9">
        <v>1112440.78</v>
      </c>
      <c r="J657" s="9">
        <v>0.0</v>
      </c>
      <c r="K657" s="9">
        <v>0.0</v>
      </c>
      <c r="L657" s="9" t="s">
        <v>59</v>
      </c>
      <c r="M657" s="9" t="s">
        <v>55</v>
      </c>
      <c r="R657" s="9" t="s">
        <v>60</v>
      </c>
      <c r="S657" s="9" t="s">
        <v>57</v>
      </c>
      <c r="T657" s="9" t="s">
        <v>61</v>
      </c>
      <c r="V657" s="9">
        <v>1065754.38</v>
      </c>
      <c r="W657" s="9">
        <v>0.0</v>
      </c>
      <c r="X657" s="9">
        <v>0.0</v>
      </c>
    </row>
    <row r="658" ht="15.75" customHeight="1">
      <c r="A658" s="9">
        <v>2095985.0</v>
      </c>
      <c r="B658" s="9">
        <v>2.433032E7</v>
      </c>
      <c r="C658" s="9">
        <v>30664.0</v>
      </c>
      <c r="D658" s="9" t="s">
        <v>52</v>
      </c>
      <c r="E658" s="9" t="s">
        <v>53</v>
      </c>
      <c r="F658" s="9">
        <v>115620.0</v>
      </c>
      <c r="G658" s="9">
        <v>2.450811127E7</v>
      </c>
      <c r="H658" s="9">
        <v>2.433713813E7</v>
      </c>
      <c r="I658" s="9">
        <v>2.440011557E7</v>
      </c>
      <c r="J658" s="9">
        <v>0.0</v>
      </c>
      <c r="K658" s="9">
        <v>0.0</v>
      </c>
      <c r="L658" s="9" t="s">
        <v>59</v>
      </c>
      <c r="M658" s="9" t="s">
        <v>55</v>
      </c>
      <c r="N658" s="9">
        <v>2.354847413E7</v>
      </c>
      <c r="O658" s="9">
        <v>0.0</v>
      </c>
      <c r="P658" s="9">
        <v>788664.0</v>
      </c>
      <c r="Q658" s="9">
        <v>668359.32</v>
      </c>
      <c r="R658" s="9" t="s">
        <v>75</v>
      </c>
      <c r="S658" s="9" t="s">
        <v>57</v>
      </c>
      <c r="T658" s="9" t="s">
        <v>76</v>
      </c>
    </row>
    <row r="659" ht="15.75" customHeight="1">
      <c r="A659" s="9">
        <v>2100630.0</v>
      </c>
      <c r="B659" s="9">
        <v>2160417.0</v>
      </c>
      <c r="C659" s="9">
        <v>30428.0</v>
      </c>
      <c r="D659" s="9" t="s">
        <v>52</v>
      </c>
      <c r="E659" s="9" t="s">
        <v>53</v>
      </c>
      <c r="F659" s="9">
        <v>123105.0</v>
      </c>
      <c r="G659" s="9">
        <v>2373565.67</v>
      </c>
      <c r="H659" s="9">
        <v>2373565.67</v>
      </c>
      <c r="I659" s="9">
        <v>2259100.5</v>
      </c>
      <c r="J659" s="9">
        <v>0.0</v>
      </c>
      <c r="K659" s="9">
        <v>0.0</v>
      </c>
      <c r="L659" s="9" t="s">
        <v>59</v>
      </c>
      <c r="M659" s="9" t="s">
        <v>55</v>
      </c>
      <c r="N659" s="9">
        <v>2238565.67</v>
      </c>
      <c r="O659" s="9">
        <v>2238565.67</v>
      </c>
      <c r="P659" s="9">
        <v>75000.0</v>
      </c>
      <c r="Q659" s="9">
        <v>75000.0</v>
      </c>
      <c r="R659" s="9" t="s">
        <v>60</v>
      </c>
      <c r="S659" s="9" t="s">
        <v>57</v>
      </c>
      <c r="T659" s="9" t="s">
        <v>61</v>
      </c>
      <c r="V659" s="9">
        <v>2259342.34</v>
      </c>
      <c r="W659" s="9">
        <v>82500.0</v>
      </c>
      <c r="X659" s="9">
        <v>0.0</v>
      </c>
    </row>
    <row r="660" ht="15.75" customHeight="1">
      <c r="A660" s="9">
        <v>2061265.0</v>
      </c>
      <c r="B660" s="9">
        <v>830133.0</v>
      </c>
      <c r="C660" s="9">
        <v>30501.0</v>
      </c>
      <c r="D660" s="9" t="s">
        <v>52</v>
      </c>
      <c r="E660" s="9" t="s">
        <v>53</v>
      </c>
      <c r="F660" s="9">
        <v>34325.0</v>
      </c>
      <c r="G660" s="9">
        <v>830133.0</v>
      </c>
      <c r="H660" s="9">
        <v>830133.0</v>
      </c>
      <c r="I660" s="9">
        <v>0.0</v>
      </c>
      <c r="J660" s="9">
        <v>0.0</v>
      </c>
      <c r="K660" s="9">
        <v>0.0</v>
      </c>
      <c r="L660" s="9" t="s">
        <v>54</v>
      </c>
      <c r="M660" s="9" t="s">
        <v>55</v>
      </c>
      <c r="N660" s="9">
        <v>1148076.55</v>
      </c>
      <c r="O660" s="9">
        <v>1033268.9</v>
      </c>
      <c r="R660" s="9" t="s">
        <v>60</v>
      </c>
      <c r="S660" s="9" t="s">
        <v>57</v>
      </c>
      <c r="T660" s="9" t="s">
        <v>61</v>
      </c>
      <c r="V660" s="9">
        <v>1064843.67</v>
      </c>
      <c r="W660" s="9">
        <v>0.0</v>
      </c>
      <c r="X660" s="9">
        <v>0.0</v>
      </c>
    </row>
    <row r="661" ht="15.75" customHeight="1">
      <c r="A661" s="9">
        <v>2061280.0</v>
      </c>
      <c r="B661" s="9">
        <v>1285198.0</v>
      </c>
      <c r="C661" s="9">
        <v>30597.0</v>
      </c>
      <c r="D661" s="9" t="s">
        <v>52</v>
      </c>
      <c r="E661" s="9" t="s">
        <v>53</v>
      </c>
      <c r="F661" s="9">
        <v>45574.0</v>
      </c>
      <c r="G661" s="9">
        <v>3927765.12</v>
      </c>
      <c r="H661" s="9">
        <v>3927765.12</v>
      </c>
      <c r="I661" s="9">
        <v>3904151.06</v>
      </c>
      <c r="J661" s="9">
        <v>0.0</v>
      </c>
      <c r="K661" s="9">
        <v>0.0</v>
      </c>
      <c r="L661" s="9" t="s">
        <v>59</v>
      </c>
      <c r="M661" s="9" t="s">
        <v>55</v>
      </c>
      <c r="N661" s="9">
        <v>1854096.0</v>
      </c>
      <c r="O661" s="9">
        <v>1668686.4</v>
      </c>
      <c r="P661" s="9">
        <v>74163.84</v>
      </c>
      <c r="Q661" s="9">
        <v>66747.46</v>
      </c>
      <c r="R661" s="9" t="s">
        <v>60</v>
      </c>
      <c r="S661" s="9" t="s">
        <v>57</v>
      </c>
      <c r="T661" s="9" t="s">
        <v>61</v>
      </c>
      <c r="V661" s="9">
        <v>2562595.58</v>
      </c>
      <c r="W661" s="9">
        <v>66747.46</v>
      </c>
      <c r="X661" s="9">
        <v>0.0</v>
      </c>
    </row>
    <row r="662" ht="15.75" customHeight="1">
      <c r="A662" s="9">
        <v>2062750.0</v>
      </c>
      <c r="B662" s="9">
        <v>5283141.0</v>
      </c>
      <c r="C662" s="9">
        <v>31175.0</v>
      </c>
      <c r="D662" s="9" t="s">
        <v>52</v>
      </c>
      <c r="E662" s="9" t="s">
        <v>53</v>
      </c>
      <c r="F662" s="9">
        <v>52059.0</v>
      </c>
      <c r="G662" s="9">
        <v>5283141.0</v>
      </c>
      <c r="H662" s="9">
        <v>5283141.0</v>
      </c>
      <c r="I662" s="9">
        <v>280893.1</v>
      </c>
      <c r="J662" s="9">
        <v>0.0</v>
      </c>
      <c r="K662" s="9">
        <v>0.0</v>
      </c>
      <c r="L662" s="9" t="s">
        <v>69</v>
      </c>
      <c r="M662" s="9" t="s">
        <v>55</v>
      </c>
      <c r="R662" s="9" t="s">
        <v>60</v>
      </c>
      <c r="S662" s="9" t="s">
        <v>57</v>
      </c>
      <c r="T662" s="9" t="s">
        <v>61</v>
      </c>
      <c r="V662" s="9">
        <v>0.0</v>
      </c>
      <c r="W662" s="9">
        <v>0.0</v>
      </c>
      <c r="X662" s="9">
        <v>0.0</v>
      </c>
    </row>
    <row r="663" ht="15.75" customHeight="1">
      <c r="A663" s="9">
        <v>2064056.0</v>
      </c>
      <c r="B663" s="9">
        <v>1637689.0</v>
      </c>
      <c r="C663" s="9">
        <v>30295.0</v>
      </c>
      <c r="D663" s="9" t="s">
        <v>52</v>
      </c>
      <c r="E663" s="9" t="s">
        <v>53</v>
      </c>
      <c r="F663" s="9">
        <v>52533.0</v>
      </c>
      <c r="G663" s="9">
        <v>2312817.16</v>
      </c>
      <c r="H663" s="9">
        <v>2312817.16</v>
      </c>
      <c r="I663" s="9">
        <v>2436272.32</v>
      </c>
      <c r="J663" s="9">
        <v>0.0</v>
      </c>
      <c r="K663" s="9">
        <v>0.0</v>
      </c>
      <c r="L663" s="9" t="s">
        <v>59</v>
      </c>
      <c r="M663" s="9" t="s">
        <v>55</v>
      </c>
      <c r="N663" s="9">
        <v>2196521.51</v>
      </c>
      <c r="O663" s="9">
        <v>2196521.51</v>
      </c>
      <c r="P663" s="9">
        <v>2196521.51</v>
      </c>
      <c r="Q663" s="9">
        <v>65895.65</v>
      </c>
      <c r="R663" s="9" t="s">
        <v>72</v>
      </c>
      <c r="S663" s="9" t="s">
        <v>57</v>
      </c>
      <c r="T663" s="9" t="s">
        <v>73</v>
      </c>
      <c r="V663" s="9">
        <v>2196521.51</v>
      </c>
      <c r="W663" s="9">
        <v>0.0</v>
      </c>
      <c r="X663" s="9">
        <v>0.0</v>
      </c>
    </row>
    <row r="664" ht="15.75" customHeight="1">
      <c r="A664" s="9">
        <v>2064373.0</v>
      </c>
      <c r="B664" s="9">
        <v>212787.0</v>
      </c>
      <c r="C664" s="9">
        <v>30988.0</v>
      </c>
      <c r="D664" s="9" t="s">
        <v>52</v>
      </c>
      <c r="E664" s="9" t="s">
        <v>53</v>
      </c>
      <c r="F664" s="9">
        <v>49630.0</v>
      </c>
      <c r="G664" s="9">
        <v>298987.0</v>
      </c>
      <c r="H664" s="9">
        <v>212787.0</v>
      </c>
      <c r="I664" s="9">
        <v>0.0</v>
      </c>
      <c r="J664" s="9">
        <v>0.0</v>
      </c>
      <c r="K664" s="9">
        <v>0.0</v>
      </c>
      <c r="L664" s="9" t="s">
        <v>54</v>
      </c>
      <c r="M664" s="9" t="s">
        <v>55</v>
      </c>
      <c r="R664" s="9" t="s">
        <v>60</v>
      </c>
      <c r="S664" s="9" t="s">
        <v>57</v>
      </c>
      <c r="T664" s="9" t="s">
        <v>61</v>
      </c>
      <c r="V664" s="9">
        <v>265951.76</v>
      </c>
      <c r="W664" s="9">
        <v>0.0</v>
      </c>
      <c r="X664" s="9">
        <v>0.0</v>
      </c>
    </row>
    <row r="665" ht="15.75" customHeight="1">
      <c r="A665" s="9">
        <v>2065041.0</v>
      </c>
      <c r="B665" s="9">
        <v>1073206.0</v>
      </c>
      <c r="C665" s="9">
        <v>29928.0</v>
      </c>
      <c r="D665" s="9" t="s">
        <v>52</v>
      </c>
      <c r="E665" s="9" t="s">
        <v>53</v>
      </c>
      <c r="F665" s="9">
        <v>51338.0</v>
      </c>
      <c r="G665" s="9">
        <v>1073206.0</v>
      </c>
      <c r="H665" s="9">
        <v>1073206.0</v>
      </c>
      <c r="I665" s="9">
        <v>1291843.54</v>
      </c>
      <c r="J665" s="9">
        <v>0.0</v>
      </c>
      <c r="K665" s="9">
        <v>0.0</v>
      </c>
      <c r="L665" s="9" t="s">
        <v>59</v>
      </c>
      <c r="M665" s="9" t="s">
        <v>55</v>
      </c>
      <c r="N665" s="9">
        <v>1046206.0</v>
      </c>
      <c r="O665" s="9">
        <v>1046206.0</v>
      </c>
      <c r="P665" s="9">
        <v>26000.0</v>
      </c>
      <c r="Q665" s="9">
        <v>26000.0</v>
      </c>
      <c r="R665" s="9" t="s">
        <v>60</v>
      </c>
      <c r="S665" s="9" t="s">
        <v>57</v>
      </c>
      <c r="T665" s="9" t="s">
        <v>61</v>
      </c>
      <c r="V665" s="9">
        <v>1161647.98</v>
      </c>
      <c r="W665" s="9">
        <v>0.0</v>
      </c>
      <c r="X665" s="9">
        <v>0.0</v>
      </c>
    </row>
    <row r="666" ht="15.75" customHeight="1">
      <c r="A666" s="9">
        <v>2065643.0</v>
      </c>
      <c r="B666" s="9">
        <v>2757156.0</v>
      </c>
      <c r="C666" s="9">
        <v>29940.0</v>
      </c>
      <c r="D666" s="9" t="s">
        <v>52</v>
      </c>
      <c r="E666" s="9" t="s">
        <v>53</v>
      </c>
      <c r="F666" s="9">
        <v>58091.0</v>
      </c>
      <c r="G666" s="9">
        <v>2757156.0</v>
      </c>
      <c r="H666" s="9">
        <v>2757156.0</v>
      </c>
      <c r="I666" s="9">
        <v>3118014.51</v>
      </c>
      <c r="J666" s="9">
        <v>0.0</v>
      </c>
      <c r="K666" s="9">
        <v>0.0</v>
      </c>
      <c r="L666" s="9" t="s">
        <v>59</v>
      </c>
      <c r="M666" s="9" t="s">
        <v>55</v>
      </c>
      <c r="N666" s="9">
        <v>3063506.66</v>
      </c>
      <c r="O666" s="9">
        <v>2757156.0</v>
      </c>
      <c r="P666" s="9">
        <v>98000.0</v>
      </c>
      <c r="Q666" s="9">
        <v>98000.0</v>
      </c>
      <c r="R666" s="9" t="s">
        <v>60</v>
      </c>
      <c r="S666" s="9" t="s">
        <v>57</v>
      </c>
      <c r="T666" s="9" t="s">
        <v>61</v>
      </c>
      <c r="V666" s="9">
        <v>2892978.45</v>
      </c>
      <c r="W666" s="9">
        <v>98000.0</v>
      </c>
      <c r="X666" s="9">
        <v>0.0</v>
      </c>
    </row>
    <row r="667" ht="15.75" customHeight="1">
      <c r="A667" s="9">
        <v>2065677.0</v>
      </c>
      <c r="B667" s="9">
        <v>2233095.0</v>
      </c>
      <c r="C667" s="9">
        <v>30232.0</v>
      </c>
      <c r="D667" s="9" t="s">
        <v>52</v>
      </c>
      <c r="E667" s="9" t="s">
        <v>53</v>
      </c>
      <c r="F667" s="9">
        <v>58633.0</v>
      </c>
      <c r="G667" s="9">
        <v>2644083.0</v>
      </c>
      <c r="H667" s="9">
        <v>2644083.0</v>
      </c>
      <c r="I667" s="9">
        <v>2585933.12</v>
      </c>
      <c r="J667" s="9">
        <v>0.0</v>
      </c>
      <c r="K667" s="9">
        <v>0.0</v>
      </c>
      <c r="L667" s="9" t="s">
        <v>69</v>
      </c>
      <c r="M667" s="9" t="s">
        <v>55</v>
      </c>
      <c r="N667" s="9">
        <v>2454083.12</v>
      </c>
      <c r="O667" s="9">
        <v>2454083.12</v>
      </c>
      <c r="P667" s="9">
        <v>80000.0</v>
      </c>
      <c r="Q667" s="9">
        <v>79000.0</v>
      </c>
      <c r="R667" s="9" t="s">
        <v>60</v>
      </c>
      <c r="S667" s="9" t="s">
        <v>57</v>
      </c>
      <c r="T667" s="9" t="s">
        <v>61</v>
      </c>
      <c r="V667" s="9">
        <v>2504083.12</v>
      </c>
      <c r="W667" s="9">
        <v>79000.0</v>
      </c>
      <c r="X667" s="9">
        <v>0.0</v>
      </c>
    </row>
    <row r="668" ht="15.75" customHeight="1">
      <c r="A668" s="9">
        <v>2065809.0</v>
      </c>
      <c r="B668" s="9">
        <v>3373074.0</v>
      </c>
      <c r="C668" s="9">
        <v>30340.0</v>
      </c>
      <c r="D668" s="9" t="s">
        <v>52</v>
      </c>
      <c r="E668" s="9" t="s">
        <v>53</v>
      </c>
      <c r="F668" s="9">
        <v>59566.0</v>
      </c>
      <c r="G668" s="9">
        <v>3698285.86</v>
      </c>
      <c r="H668" s="9">
        <v>3698285.86</v>
      </c>
      <c r="I668" s="9">
        <v>3367640.63</v>
      </c>
      <c r="J668" s="9">
        <v>0.0</v>
      </c>
      <c r="K668" s="9">
        <v>0.0</v>
      </c>
      <c r="L668" s="9" t="s">
        <v>59</v>
      </c>
      <c r="M668" s="9" t="s">
        <v>55</v>
      </c>
      <c r="N668" s="9">
        <v>3497269.3</v>
      </c>
      <c r="O668" s="9">
        <v>3497262.86</v>
      </c>
      <c r="P668" s="9">
        <v>168016.56</v>
      </c>
      <c r="Q668" s="9">
        <v>168016.56</v>
      </c>
      <c r="R668" s="9" t="s">
        <v>72</v>
      </c>
      <c r="S668" s="9" t="s">
        <v>57</v>
      </c>
      <c r="T668" s="9" t="s">
        <v>73</v>
      </c>
      <c r="V668" s="9">
        <v>3340067.0</v>
      </c>
      <c r="W668" s="9">
        <v>0.0</v>
      </c>
      <c r="X668" s="9">
        <v>0.0</v>
      </c>
    </row>
    <row r="669" ht="15.75" customHeight="1">
      <c r="A669" s="9">
        <v>2066026.0</v>
      </c>
      <c r="B669" s="9">
        <v>2860435.0</v>
      </c>
      <c r="C669" s="9">
        <v>29883.0</v>
      </c>
      <c r="D669" s="9" t="s">
        <v>52</v>
      </c>
      <c r="E669" s="9" t="s">
        <v>53</v>
      </c>
      <c r="F669" s="9">
        <v>61273.0</v>
      </c>
      <c r="G669" s="9">
        <v>3071994.57</v>
      </c>
      <c r="H669" s="9">
        <v>3071994.57</v>
      </c>
      <c r="I669" s="9">
        <v>3071994.04</v>
      </c>
      <c r="J669" s="9">
        <v>0.0</v>
      </c>
      <c r="K669" s="9">
        <v>0.0</v>
      </c>
      <c r="L669" s="9" t="s">
        <v>69</v>
      </c>
      <c r="M669" s="9" t="s">
        <v>55</v>
      </c>
      <c r="N669" s="9">
        <v>2920946.9</v>
      </c>
      <c r="O669" s="9">
        <v>2920946.9</v>
      </c>
      <c r="P669" s="9">
        <v>98593.1</v>
      </c>
      <c r="Q669" s="9">
        <v>98593.1</v>
      </c>
      <c r="R669" s="9" t="s">
        <v>60</v>
      </c>
      <c r="S669" s="9" t="s">
        <v>57</v>
      </c>
      <c r="T669" s="9" t="s">
        <v>61</v>
      </c>
      <c r="V669" s="9">
        <v>2920946.9</v>
      </c>
      <c r="W669" s="9">
        <v>98593.1</v>
      </c>
      <c r="X669" s="9">
        <v>0.0</v>
      </c>
    </row>
    <row r="670" ht="15.75" customHeight="1">
      <c r="A670" s="9">
        <v>2066077.0</v>
      </c>
      <c r="B670" s="9">
        <v>914527.0</v>
      </c>
      <c r="C670" s="9">
        <v>30025.0</v>
      </c>
      <c r="D670" s="9" t="s">
        <v>52</v>
      </c>
      <c r="E670" s="9" t="s">
        <v>53</v>
      </c>
      <c r="F670" s="9">
        <v>61398.0</v>
      </c>
      <c r="G670" s="9">
        <v>1057447.99</v>
      </c>
      <c r="H670" s="9">
        <v>1057447.99</v>
      </c>
      <c r="I670" s="9">
        <v>1057447.99</v>
      </c>
      <c r="J670" s="9">
        <v>0.0</v>
      </c>
      <c r="K670" s="9">
        <v>0.0</v>
      </c>
      <c r="L670" s="9" t="s">
        <v>69</v>
      </c>
      <c r="M670" s="9" t="s">
        <v>55</v>
      </c>
      <c r="N670" s="9">
        <v>1003508.09</v>
      </c>
      <c r="O670" s="9">
        <v>983508.09</v>
      </c>
      <c r="P670" s="9">
        <v>1003508.09</v>
      </c>
      <c r="Q670" s="9">
        <v>30000.0</v>
      </c>
      <c r="R670" s="9" t="s">
        <v>60</v>
      </c>
      <c r="S670" s="9" t="s">
        <v>57</v>
      </c>
      <c r="T670" s="9" t="s">
        <v>61</v>
      </c>
      <c r="V670" s="9">
        <v>979199.37</v>
      </c>
      <c r="W670" s="9">
        <v>0.0</v>
      </c>
      <c r="X670" s="9">
        <v>0.0</v>
      </c>
    </row>
    <row r="671" ht="15.75" customHeight="1">
      <c r="A671" s="9">
        <v>2066496.0</v>
      </c>
      <c r="B671" s="9">
        <v>8037528.0</v>
      </c>
      <c r="C671" s="9">
        <v>26685.0</v>
      </c>
      <c r="D671" s="9" t="s">
        <v>52</v>
      </c>
      <c r="E671" s="9" t="s">
        <v>53</v>
      </c>
      <c r="F671" s="9">
        <v>62500.0</v>
      </c>
      <c r="G671" s="9">
        <v>9639821.0</v>
      </c>
      <c r="H671" s="9">
        <v>9639821.0</v>
      </c>
      <c r="I671" s="9">
        <v>9639591.77</v>
      </c>
      <c r="J671" s="9">
        <v>0.0</v>
      </c>
      <c r="K671" s="9">
        <v>0.0</v>
      </c>
      <c r="L671" s="9" t="s">
        <v>69</v>
      </c>
      <c r="M671" s="9" t="s">
        <v>55</v>
      </c>
      <c r="N671" s="9">
        <v>9235921.22</v>
      </c>
      <c r="O671" s="9">
        <v>9235921.22</v>
      </c>
      <c r="P671" s="9">
        <v>250000.0</v>
      </c>
      <c r="Q671" s="9">
        <v>250000.0</v>
      </c>
      <c r="R671" s="9" t="s">
        <v>60</v>
      </c>
      <c r="S671" s="9" t="s">
        <v>57</v>
      </c>
      <c r="T671" s="9" t="s">
        <v>61</v>
      </c>
      <c r="V671" s="9">
        <v>9235921.22</v>
      </c>
      <c r="W671" s="9">
        <v>250000.0</v>
      </c>
      <c r="X671" s="9">
        <v>0.0</v>
      </c>
    </row>
    <row r="672" ht="15.75" customHeight="1">
      <c r="A672" s="9">
        <v>2066596.0</v>
      </c>
      <c r="B672" s="9">
        <v>375843.0</v>
      </c>
      <c r="C672" s="9">
        <v>31059.0</v>
      </c>
      <c r="D672" s="9" t="s">
        <v>52</v>
      </c>
      <c r="E672" s="9" t="s">
        <v>53</v>
      </c>
      <c r="F672" s="9">
        <v>62811.0</v>
      </c>
      <c r="G672" s="9">
        <v>505776.7</v>
      </c>
      <c r="H672" s="9">
        <v>375843.0</v>
      </c>
      <c r="I672" s="9">
        <v>0.0</v>
      </c>
      <c r="J672" s="9">
        <v>0.0</v>
      </c>
      <c r="K672" s="9">
        <v>0.0</v>
      </c>
      <c r="L672" s="9" t="s">
        <v>54</v>
      </c>
      <c r="M672" s="9" t="s">
        <v>55</v>
      </c>
      <c r="R672" s="9" t="s">
        <v>60</v>
      </c>
      <c r="S672" s="9" t="s">
        <v>57</v>
      </c>
      <c r="T672" s="9" t="s">
        <v>61</v>
      </c>
      <c r="V672" s="9">
        <v>548059.22</v>
      </c>
      <c r="W672" s="9">
        <v>0.0</v>
      </c>
      <c r="X672" s="9">
        <v>0.0</v>
      </c>
    </row>
    <row r="673" ht="15.75" customHeight="1">
      <c r="A673" s="9">
        <v>2066645.0</v>
      </c>
      <c r="B673" s="9">
        <v>1021829.0</v>
      </c>
      <c r="C673" s="9">
        <v>30680.0</v>
      </c>
      <c r="D673" s="9" t="s">
        <v>52</v>
      </c>
      <c r="E673" s="9" t="s">
        <v>53</v>
      </c>
      <c r="F673" s="9">
        <v>62937.0</v>
      </c>
      <c r="G673" s="9">
        <v>1264826.39</v>
      </c>
      <c r="H673" s="9">
        <v>1264826.39</v>
      </c>
      <c r="I673" s="9">
        <v>660717.16</v>
      </c>
      <c r="J673" s="9">
        <v>0.0</v>
      </c>
      <c r="K673" s="9">
        <v>0.0</v>
      </c>
      <c r="L673" s="9" t="s">
        <v>69</v>
      </c>
      <c r="M673" s="9" t="s">
        <v>55</v>
      </c>
      <c r="N673" s="9">
        <v>731773.49</v>
      </c>
      <c r="O673" s="9">
        <v>658596.1</v>
      </c>
      <c r="P673" s="9">
        <v>28425.0</v>
      </c>
      <c r="Q673" s="9">
        <v>27003.75</v>
      </c>
      <c r="R673" s="9" t="s">
        <v>75</v>
      </c>
      <c r="S673" s="9" t="s">
        <v>57</v>
      </c>
      <c r="T673" s="9" t="s">
        <v>76</v>
      </c>
    </row>
    <row r="674" ht="15.75" customHeight="1">
      <c r="A674" s="9">
        <v>2066947.0</v>
      </c>
      <c r="B674" s="9">
        <v>5208616.0</v>
      </c>
      <c r="C674" s="9">
        <v>30828.0</v>
      </c>
      <c r="D674" s="9" t="s">
        <v>52</v>
      </c>
      <c r="E674" s="9" t="s">
        <v>53</v>
      </c>
      <c r="F674" s="9">
        <v>63915.0</v>
      </c>
      <c r="G674" s="9">
        <v>5872884.09</v>
      </c>
      <c r="H674" s="9">
        <v>5872884.09</v>
      </c>
      <c r="I674" s="9">
        <v>6056185.84</v>
      </c>
      <c r="J674" s="9">
        <v>0.0</v>
      </c>
      <c r="K674" s="9">
        <v>0.0</v>
      </c>
      <c r="L674" s="9" t="s">
        <v>69</v>
      </c>
      <c r="M674" s="9" t="s">
        <v>55</v>
      </c>
      <c r="N674" s="9">
        <v>5577677.95</v>
      </c>
      <c r="O674" s="9">
        <v>5577677.95</v>
      </c>
      <c r="R674" s="9" t="s">
        <v>60</v>
      </c>
      <c r="S674" s="9" t="s">
        <v>57</v>
      </c>
      <c r="T674" s="9" t="s">
        <v>61</v>
      </c>
      <c r="V674" s="9">
        <v>5752182.77</v>
      </c>
      <c r="W674" s="9">
        <v>232403.07</v>
      </c>
      <c r="X674" s="9">
        <v>0.0</v>
      </c>
    </row>
    <row r="675" ht="15.75" customHeight="1">
      <c r="A675" s="9">
        <v>2066979.0</v>
      </c>
      <c r="B675" s="9">
        <v>4889880.0</v>
      </c>
      <c r="C675" s="9">
        <v>30415.0</v>
      </c>
      <c r="D675" s="9" t="s">
        <v>52</v>
      </c>
      <c r="E675" s="9" t="s">
        <v>53</v>
      </c>
      <c r="F675" s="9">
        <v>64091.0</v>
      </c>
      <c r="G675" s="9">
        <v>6106800.0</v>
      </c>
      <c r="H675" s="9">
        <v>6106800.0</v>
      </c>
      <c r="I675" s="9">
        <v>6381990.49</v>
      </c>
      <c r="J675" s="9">
        <v>0.0</v>
      </c>
      <c r="K675" s="9">
        <v>0.0</v>
      </c>
      <c r="L675" s="9" t="s">
        <v>69</v>
      </c>
      <c r="M675" s="9" t="s">
        <v>55</v>
      </c>
      <c r="N675" s="9">
        <v>4697880.0</v>
      </c>
      <c r="O675" s="9">
        <v>4697880.0</v>
      </c>
      <c r="P675" s="9">
        <v>147000.0</v>
      </c>
      <c r="Q675" s="9">
        <v>147000.0</v>
      </c>
      <c r="R675" s="9" t="s">
        <v>56</v>
      </c>
      <c r="S675" s="9" t="s">
        <v>57</v>
      </c>
      <c r="T675" s="9" t="s">
        <v>58</v>
      </c>
      <c r="V675" s="9">
        <v>246666.49</v>
      </c>
      <c r="W675" s="9">
        <v>0.0</v>
      </c>
      <c r="X675" s="9">
        <v>0.0</v>
      </c>
    </row>
    <row r="676" ht="15.75" customHeight="1">
      <c r="A676" s="9">
        <v>2068032.0</v>
      </c>
      <c r="B676" s="9">
        <v>1872714.0</v>
      </c>
      <c r="C676" s="9">
        <v>31307.0</v>
      </c>
      <c r="D676" s="9" t="s">
        <v>52</v>
      </c>
      <c r="E676" s="9" t="s">
        <v>53</v>
      </c>
      <c r="F676" s="9">
        <v>67690.0</v>
      </c>
      <c r="G676" s="9">
        <v>2611305.65</v>
      </c>
      <c r="H676" s="9">
        <v>2611305.65</v>
      </c>
      <c r="I676" s="9">
        <v>2103062.0</v>
      </c>
      <c r="J676" s="9">
        <v>0.0</v>
      </c>
      <c r="K676" s="9">
        <v>0.0</v>
      </c>
      <c r="L676" s="9" t="s">
        <v>59</v>
      </c>
      <c r="M676" s="9" t="s">
        <v>55</v>
      </c>
      <c r="N676" s="9">
        <v>1951247.97</v>
      </c>
      <c r="O676" s="9">
        <v>1951247.96</v>
      </c>
      <c r="P676" s="9">
        <v>0.0</v>
      </c>
      <c r="Q676" s="9">
        <v>52412.86</v>
      </c>
      <c r="R676" s="9" t="s">
        <v>75</v>
      </c>
      <c r="S676" s="9" t="s">
        <v>57</v>
      </c>
      <c r="T676" s="9" t="s">
        <v>76</v>
      </c>
    </row>
    <row r="677" ht="15.75" customHeight="1">
      <c r="A677" s="9">
        <v>2068034.0</v>
      </c>
      <c r="B677" s="9">
        <v>2028440.0</v>
      </c>
      <c r="C677" s="9">
        <v>29778.0</v>
      </c>
      <c r="D677" s="9" t="s">
        <v>52</v>
      </c>
      <c r="E677" s="9" t="s">
        <v>53</v>
      </c>
      <c r="F677" s="9">
        <v>67694.0</v>
      </c>
      <c r="G677" s="9">
        <v>2028440.0</v>
      </c>
      <c r="H677" s="9">
        <v>2028440.0</v>
      </c>
      <c r="I677" s="9">
        <v>60854.0</v>
      </c>
      <c r="J677" s="9">
        <v>0.0</v>
      </c>
      <c r="K677" s="9">
        <v>0.0</v>
      </c>
      <c r="L677" s="9" t="s">
        <v>54</v>
      </c>
      <c r="M677" s="9" t="s">
        <v>65</v>
      </c>
      <c r="N677" s="9">
        <v>60854.0</v>
      </c>
      <c r="O677" s="9">
        <v>60854.0</v>
      </c>
      <c r="R677" s="9" t="s">
        <v>60</v>
      </c>
      <c r="S677" s="9" t="s">
        <v>57</v>
      </c>
      <c r="T677" s="9" t="s">
        <v>61</v>
      </c>
      <c r="V677" s="9">
        <v>60854.0</v>
      </c>
      <c r="W677" s="9">
        <v>0.0</v>
      </c>
    </row>
    <row r="678" ht="15.75" customHeight="1">
      <c r="A678" s="9">
        <v>2068615.0</v>
      </c>
      <c r="B678" s="9">
        <v>1736460.0</v>
      </c>
      <c r="C678" s="9">
        <v>30410.0</v>
      </c>
      <c r="D678" s="9" t="s">
        <v>52</v>
      </c>
      <c r="E678" s="9" t="s">
        <v>53</v>
      </c>
      <c r="F678" s="9">
        <v>69298.0</v>
      </c>
      <c r="G678" s="9">
        <v>1736460.0</v>
      </c>
      <c r="H678" s="9">
        <v>1736460.0</v>
      </c>
      <c r="I678" s="9">
        <v>1222663.76</v>
      </c>
      <c r="J678" s="9">
        <v>0.0</v>
      </c>
      <c r="K678" s="9">
        <v>0.0</v>
      </c>
      <c r="L678" s="9" t="s">
        <v>59</v>
      </c>
      <c r="M678" s="9" t="s">
        <v>55</v>
      </c>
      <c r="N678" s="9">
        <v>1399667.07</v>
      </c>
      <c r="O678" s="9">
        <v>1259700.37</v>
      </c>
      <c r="R678" s="9" t="s">
        <v>56</v>
      </c>
      <c r="S678" s="9" t="s">
        <v>57</v>
      </c>
      <c r="T678" s="9" t="s">
        <v>58</v>
      </c>
      <c r="V678" s="9">
        <v>1219185.49</v>
      </c>
      <c r="W678" s="9">
        <v>0.0</v>
      </c>
      <c r="X678" s="9">
        <v>0.0</v>
      </c>
    </row>
    <row r="679" ht="15.75" customHeight="1">
      <c r="A679" s="9">
        <v>2068649.0</v>
      </c>
      <c r="B679" s="9">
        <v>5728572.0</v>
      </c>
      <c r="C679" s="9">
        <v>30079.0</v>
      </c>
      <c r="D679" s="9" t="s">
        <v>52</v>
      </c>
      <c r="E679" s="9" t="s">
        <v>53</v>
      </c>
      <c r="F679" s="9">
        <v>69388.0</v>
      </c>
      <c r="G679" s="9">
        <v>6400500.0</v>
      </c>
      <c r="H679" s="9">
        <v>6400500.0</v>
      </c>
      <c r="I679" s="9">
        <v>6396950.86</v>
      </c>
      <c r="J679" s="9">
        <v>0.0</v>
      </c>
      <c r="K679" s="9">
        <v>0.0</v>
      </c>
      <c r="L679" s="9" t="s">
        <v>69</v>
      </c>
      <c r="M679" s="9" t="s">
        <v>55</v>
      </c>
      <c r="N679" s="9">
        <v>6048539.76</v>
      </c>
      <c r="O679" s="9">
        <v>803766.57</v>
      </c>
      <c r="P679" s="9">
        <v>0.0</v>
      </c>
      <c r="Q679" s="9">
        <v>124544.0</v>
      </c>
      <c r="R679" s="9" t="s">
        <v>60</v>
      </c>
      <c r="S679" s="9" t="s">
        <v>57</v>
      </c>
      <c r="T679" s="9" t="s">
        <v>61</v>
      </c>
      <c r="V679" s="9">
        <v>6048539.76</v>
      </c>
      <c r="W679" s="9">
        <v>124544.0</v>
      </c>
      <c r="X679" s="9">
        <v>0.0</v>
      </c>
    </row>
    <row r="680" ht="15.75" customHeight="1">
      <c r="A680" s="9">
        <v>2069000.0</v>
      </c>
      <c r="B680" s="9">
        <v>8443637.0</v>
      </c>
      <c r="C680" s="9">
        <v>29924.0</v>
      </c>
      <c r="D680" s="9" t="s">
        <v>52</v>
      </c>
      <c r="E680" s="9" t="s">
        <v>53</v>
      </c>
      <c r="F680" s="9">
        <v>70398.0</v>
      </c>
      <c r="G680" s="9">
        <v>1.4853793E7</v>
      </c>
      <c r="H680" s="9">
        <v>1.4853793E7</v>
      </c>
      <c r="I680" s="9">
        <v>1.514765484E7</v>
      </c>
      <c r="J680" s="9">
        <v>0.0</v>
      </c>
      <c r="K680" s="9">
        <v>0.0</v>
      </c>
      <c r="L680" s="9" t="s">
        <v>69</v>
      </c>
      <c r="M680" s="9" t="s">
        <v>55</v>
      </c>
      <c r="N680" s="9">
        <v>1.3864075E7</v>
      </c>
      <c r="O680" s="9">
        <v>1.386394968E7</v>
      </c>
      <c r="P680" s="9">
        <v>547592.0</v>
      </c>
      <c r="Q680" s="9">
        <v>547591.99</v>
      </c>
      <c r="R680" s="9" t="s">
        <v>60</v>
      </c>
      <c r="S680" s="9" t="s">
        <v>57</v>
      </c>
      <c r="T680" s="9" t="s">
        <v>61</v>
      </c>
      <c r="V680" s="9">
        <v>1.591518887E7</v>
      </c>
      <c r="W680" s="9">
        <v>0.0</v>
      </c>
      <c r="X680" s="9">
        <v>0.0</v>
      </c>
    </row>
    <row r="681" ht="15.75" customHeight="1">
      <c r="A681" s="9">
        <v>2069638.0</v>
      </c>
      <c r="B681" s="9">
        <v>1146172.0</v>
      </c>
      <c r="C681" s="9">
        <v>31261.0</v>
      </c>
      <c r="D681" s="9" t="s">
        <v>52</v>
      </c>
      <c r="E681" s="9" t="s">
        <v>53</v>
      </c>
      <c r="F681" s="9">
        <v>72250.0</v>
      </c>
      <c r="G681" s="9">
        <v>1471698.0</v>
      </c>
      <c r="M681" s="9" t="s">
        <v>55</v>
      </c>
      <c r="R681" s="9" t="s">
        <v>75</v>
      </c>
      <c r="S681" s="9" t="s">
        <v>57</v>
      </c>
      <c r="T681" s="9" t="s">
        <v>76</v>
      </c>
    </row>
    <row r="682" ht="15.75" customHeight="1">
      <c r="A682" s="9">
        <v>2042047.0</v>
      </c>
      <c r="B682" s="9">
        <v>673752.0</v>
      </c>
      <c r="C682" s="9">
        <v>30223.0</v>
      </c>
      <c r="D682" s="9" t="s">
        <v>52</v>
      </c>
      <c r="E682" s="9" t="s">
        <v>53</v>
      </c>
      <c r="F682" s="9">
        <v>44623.0</v>
      </c>
      <c r="G682" s="9">
        <v>673752.0</v>
      </c>
      <c r="H682" s="9">
        <v>673752.0</v>
      </c>
      <c r="I682" s="9">
        <v>0.0</v>
      </c>
      <c r="J682" s="9">
        <v>0.0</v>
      </c>
      <c r="K682" s="9">
        <v>0.0</v>
      </c>
      <c r="L682" s="9" t="s">
        <v>54</v>
      </c>
      <c r="M682" s="9" t="s">
        <v>55</v>
      </c>
      <c r="N682" s="9">
        <v>505314.0</v>
      </c>
      <c r="O682" s="9">
        <v>454782.6</v>
      </c>
      <c r="R682" s="9" t="s">
        <v>75</v>
      </c>
      <c r="S682" s="9" t="s">
        <v>57</v>
      </c>
      <c r="T682" s="9" t="s">
        <v>76</v>
      </c>
    </row>
    <row r="683" ht="15.75" customHeight="1">
      <c r="A683" s="9">
        <v>2042758.0</v>
      </c>
      <c r="B683" s="9">
        <v>3.859111E7</v>
      </c>
      <c r="C683" s="9">
        <v>31219.0</v>
      </c>
      <c r="D683" s="9" t="s">
        <v>52</v>
      </c>
      <c r="E683" s="9" t="s">
        <v>53</v>
      </c>
      <c r="F683" s="9">
        <v>29132.0</v>
      </c>
      <c r="G683" s="9">
        <v>3.756752242E7</v>
      </c>
      <c r="H683" s="9">
        <v>3.728899144E7</v>
      </c>
      <c r="I683" s="9">
        <v>3.683361017E7</v>
      </c>
      <c r="J683" s="9">
        <v>0.0</v>
      </c>
      <c r="K683" s="9">
        <v>0.0</v>
      </c>
      <c r="L683" s="9" t="s">
        <v>69</v>
      </c>
      <c r="M683" s="9" t="s">
        <v>55</v>
      </c>
      <c r="R683" s="9" t="s">
        <v>72</v>
      </c>
      <c r="S683" s="9" t="s">
        <v>57</v>
      </c>
      <c r="T683" s="9" t="s">
        <v>73</v>
      </c>
      <c r="V683" s="9">
        <v>3.350974479E7</v>
      </c>
      <c r="W683" s="9">
        <v>0.0</v>
      </c>
      <c r="X683" s="9">
        <v>0.0</v>
      </c>
    </row>
    <row r="684" ht="15.75" customHeight="1">
      <c r="A684" s="9">
        <v>2043362.0</v>
      </c>
      <c r="B684" s="9">
        <v>6876193.0</v>
      </c>
      <c r="C684" s="9">
        <v>47848.0</v>
      </c>
      <c r="D684" s="9" t="s">
        <v>52</v>
      </c>
      <c r="E684" s="9" t="s">
        <v>53</v>
      </c>
      <c r="F684" s="9">
        <v>49538.0</v>
      </c>
      <c r="G684" s="9">
        <v>4.410589263E7</v>
      </c>
      <c r="H684" s="9">
        <v>6.848487224E7</v>
      </c>
      <c r="I684" s="9">
        <v>5.128668398E7</v>
      </c>
      <c r="J684" s="9">
        <v>9590770.66</v>
      </c>
      <c r="K684" s="9">
        <v>1.2433259E7</v>
      </c>
      <c r="L684" s="9" t="s">
        <v>59</v>
      </c>
      <c r="M684" s="9" t="s">
        <v>62</v>
      </c>
      <c r="N684" s="9">
        <v>3.011525172E7</v>
      </c>
      <c r="O684" s="9">
        <v>3.011050605E7</v>
      </c>
      <c r="P684" s="9">
        <v>1882164.81</v>
      </c>
      <c r="Q684" s="9">
        <v>1693948.33</v>
      </c>
      <c r="R684" s="9" t="s">
        <v>113</v>
      </c>
      <c r="S684" s="9" t="s">
        <v>82</v>
      </c>
      <c r="T684" s="9" t="s">
        <v>83</v>
      </c>
      <c r="U684" s="9" t="s">
        <v>114</v>
      </c>
    </row>
    <row r="685" ht="15.75" customHeight="1">
      <c r="A685" s="9">
        <v>2043526.0</v>
      </c>
      <c r="B685" s="9">
        <v>4091870.0</v>
      </c>
      <c r="C685" s="9">
        <v>30245.0</v>
      </c>
      <c r="D685" s="9" t="s">
        <v>52</v>
      </c>
      <c r="E685" s="9" t="s">
        <v>53</v>
      </c>
      <c r="F685" s="9">
        <v>49190.0</v>
      </c>
      <c r="G685" s="9">
        <v>4433709.92</v>
      </c>
      <c r="H685" s="9">
        <v>4433709.92</v>
      </c>
      <c r="I685" s="9">
        <v>4779543.0</v>
      </c>
      <c r="J685" s="9">
        <v>0.0</v>
      </c>
      <c r="K685" s="9">
        <v>0.0</v>
      </c>
      <c r="L685" s="9" t="s">
        <v>69</v>
      </c>
      <c r="M685" s="9" t="s">
        <v>55</v>
      </c>
      <c r="N685" s="9">
        <v>4188709.92</v>
      </c>
      <c r="O685" s="9">
        <v>3904729.58</v>
      </c>
      <c r="P685" s="9">
        <v>140000.0</v>
      </c>
      <c r="Q685" s="9">
        <v>136000.0</v>
      </c>
      <c r="R685" s="9" t="s">
        <v>60</v>
      </c>
      <c r="S685" s="9" t="s">
        <v>57</v>
      </c>
      <c r="T685" s="9" t="s">
        <v>61</v>
      </c>
      <c r="V685" s="9">
        <v>4518058.0</v>
      </c>
      <c r="W685" s="9">
        <v>0.0</v>
      </c>
      <c r="X685" s="9">
        <v>0.0</v>
      </c>
    </row>
    <row r="686" ht="15.75" customHeight="1">
      <c r="A686" s="9">
        <v>2044430.0</v>
      </c>
      <c r="B686" s="9">
        <v>1566663.0</v>
      </c>
      <c r="C686" s="9">
        <v>31317.0</v>
      </c>
      <c r="D686" s="9" t="s">
        <v>52</v>
      </c>
      <c r="E686" s="9" t="s">
        <v>53</v>
      </c>
      <c r="F686" s="9">
        <v>46791.0</v>
      </c>
      <c r="G686" s="9">
        <v>1566663.0</v>
      </c>
      <c r="H686" s="9">
        <v>1566663.0</v>
      </c>
      <c r="I686" s="9">
        <v>1704438.46</v>
      </c>
      <c r="J686" s="9">
        <v>0.0</v>
      </c>
      <c r="K686" s="9">
        <v>0.0</v>
      </c>
      <c r="L686" s="9" t="s">
        <v>69</v>
      </c>
      <c r="M686" s="9" t="s">
        <v>55</v>
      </c>
      <c r="R686" s="9" t="s">
        <v>60</v>
      </c>
      <c r="S686" s="9" t="s">
        <v>57</v>
      </c>
      <c r="T686" s="9" t="s">
        <v>61</v>
      </c>
      <c r="V686" s="9">
        <v>1586601.18</v>
      </c>
      <c r="W686" s="9">
        <v>0.0</v>
      </c>
      <c r="X686" s="9">
        <v>0.0</v>
      </c>
    </row>
    <row r="687" ht="15.75" customHeight="1">
      <c r="A687" s="9">
        <v>2045164.0</v>
      </c>
      <c r="B687" s="9">
        <v>2.304032E7</v>
      </c>
      <c r="C687" s="9">
        <v>47166.0</v>
      </c>
      <c r="D687" s="9" t="s">
        <v>52</v>
      </c>
      <c r="E687" s="9" t="s">
        <v>53</v>
      </c>
      <c r="F687" s="9">
        <v>9999.0</v>
      </c>
      <c r="G687" s="9">
        <v>3.8162806E7</v>
      </c>
      <c r="H687" s="9">
        <v>3.906580852E7</v>
      </c>
      <c r="I687" s="9">
        <v>3.835731796E7</v>
      </c>
      <c r="J687" s="9">
        <v>26000.0</v>
      </c>
      <c r="K687" s="9">
        <v>26000.0</v>
      </c>
      <c r="L687" s="9" t="s">
        <v>59</v>
      </c>
      <c r="M687" s="9" t="s">
        <v>62</v>
      </c>
      <c r="R687" s="9" t="s">
        <v>72</v>
      </c>
      <c r="S687" s="9" t="s">
        <v>57</v>
      </c>
      <c r="T687" s="9" t="s">
        <v>73</v>
      </c>
      <c r="V687" s="9">
        <v>1445459.11</v>
      </c>
      <c r="W687" s="9">
        <v>0.0</v>
      </c>
      <c r="X687" s="9">
        <v>0.0</v>
      </c>
    </row>
    <row r="688" ht="15.75" customHeight="1">
      <c r="A688" s="9">
        <v>2045291.0</v>
      </c>
      <c r="B688" s="9">
        <v>1128000.0</v>
      </c>
      <c r="C688" s="9">
        <v>31137.0</v>
      </c>
      <c r="D688" s="9" t="s">
        <v>52</v>
      </c>
      <c r="E688" s="9" t="s">
        <v>53</v>
      </c>
      <c r="F688" s="9">
        <v>36220.0</v>
      </c>
      <c r="G688" s="9">
        <v>1128000.0</v>
      </c>
      <c r="H688" s="9">
        <v>1128000.0</v>
      </c>
      <c r="I688" s="9">
        <v>0.0</v>
      </c>
      <c r="J688" s="9">
        <v>0.0</v>
      </c>
      <c r="K688" s="9">
        <v>0.0</v>
      </c>
      <c r="L688" s="9" t="s">
        <v>59</v>
      </c>
      <c r="M688" s="9" t="s">
        <v>55</v>
      </c>
      <c r="R688" s="9" t="s">
        <v>94</v>
      </c>
      <c r="S688" s="9" t="s">
        <v>57</v>
      </c>
      <c r="T688" s="9" t="s">
        <v>95</v>
      </c>
      <c r="V688" s="9">
        <v>620636.78</v>
      </c>
      <c r="W688" s="9">
        <v>0.0</v>
      </c>
      <c r="X688" s="9">
        <v>0.0</v>
      </c>
    </row>
    <row r="689" ht="15.75" customHeight="1">
      <c r="A689" s="9">
        <v>2045391.0</v>
      </c>
      <c r="B689" s="9">
        <v>126382.0</v>
      </c>
      <c r="C689" s="9">
        <v>30226.0</v>
      </c>
      <c r="D689" s="9" t="s">
        <v>52</v>
      </c>
      <c r="E689" s="9" t="s">
        <v>53</v>
      </c>
      <c r="F689" s="9">
        <v>44715.0</v>
      </c>
      <c r="G689" s="9">
        <v>126382.0</v>
      </c>
      <c r="H689" s="9">
        <v>111060.0</v>
      </c>
      <c r="I689" s="9">
        <v>111060.0</v>
      </c>
      <c r="J689" s="9">
        <v>0.0</v>
      </c>
      <c r="K689" s="9">
        <v>0.0</v>
      </c>
      <c r="L689" s="9" t="s">
        <v>69</v>
      </c>
      <c r="M689" s="9" t="s">
        <v>55</v>
      </c>
      <c r="N689" s="9">
        <v>126382.0</v>
      </c>
      <c r="O689" s="9">
        <v>112300.0</v>
      </c>
      <c r="R689" s="9" t="s">
        <v>60</v>
      </c>
      <c r="S689" s="9" t="s">
        <v>57</v>
      </c>
      <c r="T689" s="9" t="s">
        <v>61</v>
      </c>
      <c r="V689" s="9">
        <v>100916.95</v>
      </c>
      <c r="W689" s="9">
        <v>0.0</v>
      </c>
      <c r="X689" s="9">
        <v>0.0</v>
      </c>
    </row>
    <row r="690" ht="15.75" customHeight="1">
      <c r="A690" s="9">
        <v>2045568.0</v>
      </c>
      <c r="B690" s="9">
        <v>983265.0</v>
      </c>
      <c r="C690" s="9">
        <v>30702.0</v>
      </c>
      <c r="D690" s="9" t="s">
        <v>52</v>
      </c>
      <c r="E690" s="9" t="s">
        <v>53</v>
      </c>
      <c r="F690" s="9">
        <v>43461.0</v>
      </c>
      <c r="G690" s="9">
        <v>983265.0</v>
      </c>
      <c r="H690" s="9">
        <v>983265.0</v>
      </c>
      <c r="I690" s="9">
        <v>1300014.4</v>
      </c>
      <c r="J690" s="9">
        <v>0.0</v>
      </c>
      <c r="K690" s="9">
        <v>0.0</v>
      </c>
      <c r="L690" s="9" t="s">
        <v>59</v>
      </c>
      <c r="M690" s="9" t="s">
        <v>55</v>
      </c>
      <c r="N690" s="9">
        <v>1054828.17</v>
      </c>
      <c r="O690" s="9">
        <v>1054828.17</v>
      </c>
      <c r="P690" s="9">
        <v>1054828.17</v>
      </c>
      <c r="Q690" s="9">
        <v>15000.0</v>
      </c>
      <c r="R690" s="9" t="s">
        <v>60</v>
      </c>
      <c r="S690" s="9" t="s">
        <v>57</v>
      </c>
      <c r="T690" s="9" t="s">
        <v>61</v>
      </c>
      <c r="V690" s="9">
        <v>1322128.26</v>
      </c>
      <c r="W690" s="9">
        <v>0.0</v>
      </c>
      <c r="X690" s="9">
        <v>0.0</v>
      </c>
    </row>
    <row r="691" ht="15.75" customHeight="1">
      <c r="A691" s="9">
        <v>2047202.0</v>
      </c>
      <c r="B691" s="9">
        <v>5978506.0</v>
      </c>
      <c r="C691" s="9">
        <v>29968.0</v>
      </c>
      <c r="D691" s="9" t="s">
        <v>52</v>
      </c>
      <c r="E691" s="9" t="s">
        <v>53</v>
      </c>
      <c r="F691" s="9">
        <v>59211.0</v>
      </c>
      <c r="G691" s="9">
        <v>6368002.69</v>
      </c>
      <c r="H691" s="9">
        <v>6368002.69</v>
      </c>
      <c r="I691" s="9">
        <v>6383402.96</v>
      </c>
      <c r="J691" s="9">
        <v>0.0</v>
      </c>
      <c r="K691" s="9">
        <v>0.0</v>
      </c>
      <c r="L691" s="9" t="s">
        <v>69</v>
      </c>
      <c r="M691" s="9" t="s">
        <v>55</v>
      </c>
      <c r="N691" s="9">
        <v>6208002.0</v>
      </c>
      <c r="O691" s="9">
        <v>6208002.0</v>
      </c>
      <c r="P691" s="9">
        <v>160000.0</v>
      </c>
      <c r="Q691" s="9">
        <v>160000.0</v>
      </c>
      <c r="R691" s="9" t="s">
        <v>60</v>
      </c>
      <c r="S691" s="9" t="s">
        <v>57</v>
      </c>
      <c r="T691" s="9" t="s">
        <v>61</v>
      </c>
      <c r="V691" s="9">
        <v>6230402.96</v>
      </c>
      <c r="W691" s="9">
        <v>159992.26</v>
      </c>
      <c r="X691" s="9">
        <v>0.0</v>
      </c>
    </row>
    <row r="692" ht="15.75" customHeight="1">
      <c r="A692" s="9">
        <v>2047304.0</v>
      </c>
      <c r="B692" s="9">
        <v>474932.0</v>
      </c>
      <c r="C692" s="9">
        <v>31250.0</v>
      </c>
      <c r="D692" s="9" t="s">
        <v>52</v>
      </c>
      <c r="E692" s="9" t="s">
        <v>53</v>
      </c>
      <c r="F692" s="9">
        <v>60440.0</v>
      </c>
      <c r="G692" s="9">
        <v>733922.43</v>
      </c>
      <c r="H692" s="9">
        <v>733922.43</v>
      </c>
      <c r="I692" s="9">
        <v>675384.46</v>
      </c>
      <c r="J692" s="9">
        <v>0.0</v>
      </c>
      <c r="K692" s="9">
        <v>0.0</v>
      </c>
      <c r="L692" s="9" t="s">
        <v>69</v>
      </c>
      <c r="M692" s="9" t="s">
        <v>55</v>
      </c>
      <c r="R692" s="9" t="s">
        <v>60</v>
      </c>
      <c r="S692" s="9" t="s">
        <v>57</v>
      </c>
      <c r="T692" s="9" t="s">
        <v>61</v>
      </c>
      <c r="V692" s="9">
        <v>675384.46</v>
      </c>
      <c r="W692" s="9">
        <v>0.0</v>
      </c>
      <c r="X692" s="9">
        <v>0.0</v>
      </c>
    </row>
    <row r="693" ht="15.75" customHeight="1">
      <c r="A693" s="9">
        <v>2047397.0</v>
      </c>
      <c r="B693" s="9">
        <v>3.0945047E7</v>
      </c>
      <c r="C693" s="9">
        <v>40562.0</v>
      </c>
      <c r="D693" s="9" t="s">
        <v>52</v>
      </c>
      <c r="E693" s="9" t="s">
        <v>53</v>
      </c>
      <c r="F693" s="9">
        <v>46269.0</v>
      </c>
      <c r="G693" s="9">
        <v>3.849870673E7</v>
      </c>
      <c r="H693" s="9">
        <v>3.855330647E7</v>
      </c>
      <c r="I693" s="9">
        <v>3.849692068E7</v>
      </c>
      <c r="J693" s="9">
        <v>0.0</v>
      </c>
      <c r="K693" s="9">
        <v>0.0</v>
      </c>
      <c r="L693" s="9" t="s">
        <v>59</v>
      </c>
      <c r="M693" s="9" t="s">
        <v>62</v>
      </c>
      <c r="N693" s="9">
        <v>1.556403137E7</v>
      </c>
      <c r="O693" s="9">
        <v>1.554102367E7</v>
      </c>
      <c r="P693" s="9">
        <v>344083.23</v>
      </c>
      <c r="Q693" s="9">
        <v>344083.23</v>
      </c>
      <c r="R693" s="9" t="s">
        <v>56</v>
      </c>
      <c r="S693" s="9" t="s">
        <v>57</v>
      </c>
      <c r="T693" s="9" t="s">
        <v>58</v>
      </c>
      <c r="V693" s="9">
        <v>1.544952589E7</v>
      </c>
      <c r="W693" s="9">
        <v>0.0</v>
      </c>
      <c r="X693" s="9">
        <v>0.0</v>
      </c>
    </row>
    <row r="694" ht="15.75" customHeight="1">
      <c r="A694" s="9">
        <v>2048531.0</v>
      </c>
      <c r="B694" s="9">
        <v>4337172.0</v>
      </c>
      <c r="C694" s="9">
        <v>30505.0</v>
      </c>
      <c r="D694" s="9" t="s">
        <v>52</v>
      </c>
      <c r="E694" s="9" t="s">
        <v>53</v>
      </c>
      <c r="F694" s="9">
        <v>39219.0</v>
      </c>
      <c r="G694" s="9">
        <v>4337172.0</v>
      </c>
      <c r="H694" s="9">
        <v>4337172.0</v>
      </c>
      <c r="I694" s="9">
        <v>2820425.99</v>
      </c>
      <c r="J694" s="9">
        <v>0.0</v>
      </c>
      <c r="K694" s="9">
        <v>0.0</v>
      </c>
      <c r="L694" s="9" t="s">
        <v>69</v>
      </c>
      <c r="M694" s="9" t="s">
        <v>55</v>
      </c>
      <c r="N694" s="9">
        <v>2500011.0</v>
      </c>
      <c r="O694" s="9">
        <v>2080455.45</v>
      </c>
      <c r="R694" s="9" t="s">
        <v>72</v>
      </c>
      <c r="S694" s="9" t="s">
        <v>57</v>
      </c>
      <c r="T694" s="9" t="s">
        <v>73</v>
      </c>
      <c r="V694" s="9">
        <v>3621225.17</v>
      </c>
      <c r="W694" s="9">
        <v>35000.0</v>
      </c>
      <c r="X694" s="9">
        <v>0.0</v>
      </c>
    </row>
    <row r="695" ht="15.75" customHeight="1">
      <c r="A695" s="9">
        <v>2050239.0</v>
      </c>
      <c r="B695" s="9">
        <v>298526.0</v>
      </c>
      <c r="C695" s="9">
        <v>30984.0</v>
      </c>
      <c r="D695" s="9" t="s">
        <v>52</v>
      </c>
      <c r="E695" s="9" t="s">
        <v>53</v>
      </c>
      <c r="F695" s="9">
        <v>49204.0</v>
      </c>
      <c r="G695" s="9">
        <v>298526.0</v>
      </c>
      <c r="H695" s="9">
        <v>228971.0</v>
      </c>
      <c r="I695" s="9">
        <v>228971.0</v>
      </c>
      <c r="J695" s="9">
        <v>0.0</v>
      </c>
      <c r="K695" s="9">
        <v>0.0</v>
      </c>
      <c r="L695" s="9" t="s">
        <v>69</v>
      </c>
      <c r="M695" s="9" t="s">
        <v>55</v>
      </c>
      <c r="R695" s="9" t="s">
        <v>60</v>
      </c>
      <c r="S695" s="9" t="s">
        <v>57</v>
      </c>
      <c r="T695" s="9" t="s">
        <v>61</v>
      </c>
      <c r="V695" s="9">
        <v>219971.0</v>
      </c>
      <c r="W695" s="9">
        <v>9000.0</v>
      </c>
      <c r="X695" s="9">
        <v>0.0</v>
      </c>
    </row>
    <row r="696" ht="15.75" customHeight="1">
      <c r="A696" s="9">
        <v>2050344.0</v>
      </c>
      <c r="B696" s="9">
        <v>1245641.0</v>
      </c>
      <c r="C696" s="9">
        <v>31216.0</v>
      </c>
      <c r="D696" s="9" t="s">
        <v>52</v>
      </c>
      <c r="E696" s="9" t="s">
        <v>53</v>
      </c>
      <c r="F696" s="9">
        <v>59890.0</v>
      </c>
      <c r="G696" s="9">
        <v>2441126.0</v>
      </c>
      <c r="H696" s="9">
        <v>2441126.0</v>
      </c>
      <c r="I696" s="9">
        <v>2669148.68</v>
      </c>
      <c r="J696" s="9">
        <v>0.0</v>
      </c>
      <c r="K696" s="9">
        <v>0.0</v>
      </c>
      <c r="L696" s="9" t="s">
        <v>69</v>
      </c>
      <c r="M696" s="9" t="s">
        <v>55</v>
      </c>
      <c r="R696" s="9" t="s">
        <v>60</v>
      </c>
      <c r="S696" s="9" t="s">
        <v>57</v>
      </c>
      <c r="T696" s="9" t="s">
        <v>61</v>
      </c>
      <c r="V696" s="9">
        <v>2669148.68</v>
      </c>
      <c r="W696" s="9">
        <v>0.0</v>
      </c>
      <c r="X696" s="9">
        <v>0.0</v>
      </c>
    </row>
    <row r="697" ht="15.75" customHeight="1">
      <c r="A697" s="9">
        <v>2050348.0</v>
      </c>
      <c r="B697" s="9">
        <v>172682.0</v>
      </c>
      <c r="C697" s="9">
        <v>30647.0</v>
      </c>
      <c r="D697" s="9" t="s">
        <v>52</v>
      </c>
      <c r="E697" s="9" t="s">
        <v>53</v>
      </c>
      <c r="F697" s="9">
        <v>48319.0</v>
      </c>
      <c r="G697" s="9">
        <v>172682.0</v>
      </c>
      <c r="H697" s="9">
        <v>172682.0</v>
      </c>
      <c r="I697" s="9">
        <v>219753.88</v>
      </c>
      <c r="J697" s="9">
        <v>0.0</v>
      </c>
      <c r="K697" s="9">
        <v>0.0</v>
      </c>
      <c r="L697" s="9" t="s">
        <v>69</v>
      </c>
      <c r="M697" s="9" t="s">
        <v>55</v>
      </c>
      <c r="N697" s="9">
        <v>172782.82</v>
      </c>
      <c r="O697" s="9">
        <v>159715.21</v>
      </c>
      <c r="R697" s="9" t="s">
        <v>60</v>
      </c>
      <c r="S697" s="9" t="s">
        <v>57</v>
      </c>
      <c r="T697" s="9" t="s">
        <v>61</v>
      </c>
      <c r="V697" s="9">
        <v>159715.6</v>
      </c>
      <c r="W697" s="9">
        <v>0.0</v>
      </c>
      <c r="X697" s="9">
        <v>0.0</v>
      </c>
    </row>
    <row r="698" ht="15.75" customHeight="1">
      <c r="A698" s="9">
        <v>2050371.0</v>
      </c>
      <c r="B698" s="9">
        <v>2312765.0</v>
      </c>
      <c r="C698" s="9">
        <v>31215.0</v>
      </c>
      <c r="D698" s="9" t="s">
        <v>52</v>
      </c>
      <c r="E698" s="9" t="s">
        <v>53</v>
      </c>
      <c r="F698" s="9">
        <v>59038.0</v>
      </c>
      <c r="G698" s="9">
        <v>4455674.0</v>
      </c>
      <c r="H698" s="9">
        <v>4455674.0</v>
      </c>
      <c r="I698" s="9">
        <v>4978917.3</v>
      </c>
      <c r="J698" s="9">
        <v>0.0</v>
      </c>
      <c r="K698" s="9">
        <v>0.0</v>
      </c>
      <c r="L698" s="9" t="s">
        <v>69</v>
      </c>
      <c r="M698" s="9" t="s">
        <v>55</v>
      </c>
      <c r="R698" s="9" t="s">
        <v>60</v>
      </c>
      <c r="S698" s="9" t="s">
        <v>57</v>
      </c>
      <c r="T698" s="9" t="s">
        <v>61</v>
      </c>
      <c r="V698" s="9">
        <v>4978917.3</v>
      </c>
      <c r="W698" s="9">
        <v>0.0</v>
      </c>
      <c r="X698" s="9">
        <v>0.0</v>
      </c>
    </row>
    <row r="699" ht="15.75" customHeight="1">
      <c r="A699" s="9">
        <v>2051075.0</v>
      </c>
      <c r="B699" s="9">
        <v>1921140.0</v>
      </c>
      <c r="C699" s="9">
        <v>30660.0</v>
      </c>
      <c r="D699" s="9" t="s">
        <v>52</v>
      </c>
      <c r="E699" s="9" t="s">
        <v>53</v>
      </c>
      <c r="F699" s="9">
        <v>51246.0</v>
      </c>
      <c r="G699" s="9">
        <v>1921140.0</v>
      </c>
      <c r="H699" s="9">
        <v>1921140.0</v>
      </c>
      <c r="I699" s="9">
        <v>1941550.67</v>
      </c>
      <c r="J699" s="9">
        <v>0.0</v>
      </c>
      <c r="K699" s="9">
        <v>0.0</v>
      </c>
      <c r="L699" s="9" t="s">
        <v>69</v>
      </c>
      <c r="M699" s="9" t="s">
        <v>55</v>
      </c>
      <c r="N699" s="9">
        <v>1834052.2</v>
      </c>
      <c r="O699" s="9">
        <v>1680294.03</v>
      </c>
      <c r="P699" s="9">
        <v>1834052.2</v>
      </c>
      <c r="Q699" s="9">
        <v>95700.0</v>
      </c>
      <c r="R699" s="9" t="s">
        <v>60</v>
      </c>
      <c r="S699" s="9" t="s">
        <v>57</v>
      </c>
      <c r="T699" s="9" t="s">
        <v>61</v>
      </c>
      <c r="V699" s="9">
        <v>1861840.78</v>
      </c>
      <c r="W699" s="9">
        <v>0.0</v>
      </c>
      <c r="X699" s="9">
        <v>0.0</v>
      </c>
    </row>
    <row r="700" ht="15.75" customHeight="1">
      <c r="A700" s="9">
        <v>2051105.0</v>
      </c>
      <c r="B700" s="9">
        <v>1723614.0</v>
      </c>
      <c r="C700" s="9">
        <v>29566.0</v>
      </c>
      <c r="D700" s="9" t="s">
        <v>52</v>
      </c>
      <c r="E700" s="9" t="s">
        <v>53</v>
      </c>
      <c r="F700" s="9">
        <v>51313.0</v>
      </c>
      <c r="G700" s="9">
        <v>1723614.0</v>
      </c>
      <c r="H700" s="9">
        <v>1723614.0</v>
      </c>
      <c r="I700" s="9">
        <v>78000.0</v>
      </c>
      <c r="J700" s="9">
        <v>0.0</v>
      </c>
      <c r="K700" s="9">
        <v>0.0</v>
      </c>
      <c r="L700" s="9" t="s">
        <v>59</v>
      </c>
      <c r="M700" s="9" t="s">
        <v>65</v>
      </c>
      <c r="N700" s="9">
        <v>78000.0</v>
      </c>
      <c r="O700" s="9">
        <v>78000.0</v>
      </c>
      <c r="R700" s="9" t="s">
        <v>60</v>
      </c>
      <c r="S700" s="9" t="s">
        <v>57</v>
      </c>
      <c r="T700" s="9" t="s">
        <v>61</v>
      </c>
      <c r="V700" s="9">
        <v>78000.0</v>
      </c>
      <c r="W700" s="9">
        <v>0.0</v>
      </c>
    </row>
    <row r="701" ht="15.75" customHeight="1">
      <c r="A701" s="9">
        <v>2051284.0</v>
      </c>
      <c r="B701" s="9">
        <v>435694.0</v>
      </c>
      <c r="C701" s="9">
        <v>30486.0</v>
      </c>
      <c r="D701" s="9" t="s">
        <v>52</v>
      </c>
      <c r="E701" s="9" t="s">
        <v>53</v>
      </c>
      <c r="F701" s="9">
        <v>51668.0</v>
      </c>
      <c r="G701" s="9">
        <v>435694.0</v>
      </c>
      <c r="H701" s="9">
        <v>435694.0</v>
      </c>
      <c r="I701" s="9">
        <v>433320.0</v>
      </c>
      <c r="J701" s="9">
        <v>3320.0</v>
      </c>
      <c r="K701" s="9">
        <v>3320.0</v>
      </c>
      <c r="L701" s="9" t="s">
        <v>59</v>
      </c>
      <c r="M701" s="9" t="s">
        <v>55</v>
      </c>
      <c r="N701" s="9">
        <v>435823.22</v>
      </c>
      <c r="O701" s="9">
        <v>435823.0</v>
      </c>
      <c r="P701" s="9">
        <v>435823.22</v>
      </c>
      <c r="Q701" s="9">
        <v>0.0</v>
      </c>
      <c r="R701" s="9" t="s">
        <v>75</v>
      </c>
      <c r="S701" s="9" t="s">
        <v>57</v>
      </c>
      <c r="T701" s="9" t="s">
        <v>76</v>
      </c>
    </row>
    <row r="702" ht="15.75" customHeight="1">
      <c r="A702" s="9">
        <v>2052109.0</v>
      </c>
      <c r="B702" s="9">
        <v>816794.0</v>
      </c>
      <c r="C702" s="9">
        <v>30920.0</v>
      </c>
      <c r="D702" s="9" t="s">
        <v>52</v>
      </c>
      <c r="E702" s="9" t="s">
        <v>53</v>
      </c>
      <c r="F702" s="9">
        <v>49087.0</v>
      </c>
      <c r="G702" s="9">
        <v>816794.0</v>
      </c>
      <c r="H702" s="9">
        <v>816794.0</v>
      </c>
      <c r="I702" s="9">
        <v>0.0</v>
      </c>
      <c r="J702" s="9">
        <v>0.0</v>
      </c>
      <c r="K702" s="9">
        <v>0.0</v>
      </c>
      <c r="L702" s="9" t="s">
        <v>54</v>
      </c>
      <c r="M702" s="9" t="s">
        <v>55</v>
      </c>
      <c r="N702" s="9">
        <v>808214.0</v>
      </c>
      <c r="O702" s="9">
        <v>808214.0</v>
      </c>
      <c r="R702" s="9" t="s">
        <v>60</v>
      </c>
      <c r="S702" s="9" t="s">
        <v>57</v>
      </c>
      <c r="T702" s="9" t="s">
        <v>61</v>
      </c>
      <c r="V702" s="9">
        <v>871671.18</v>
      </c>
      <c r="W702" s="9">
        <v>0.0</v>
      </c>
      <c r="X702" s="9">
        <v>0.0</v>
      </c>
    </row>
    <row r="703" ht="15.75" customHeight="1">
      <c r="A703" s="9">
        <v>2052118.0</v>
      </c>
      <c r="B703" s="9">
        <v>477395.0</v>
      </c>
      <c r="C703" s="9">
        <v>31058.0</v>
      </c>
      <c r="D703" s="9" t="s">
        <v>52</v>
      </c>
      <c r="E703" s="9" t="s">
        <v>53</v>
      </c>
      <c r="F703" s="9">
        <v>45854.0</v>
      </c>
      <c r="G703" s="9">
        <v>658603.0</v>
      </c>
      <c r="H703" s="9">
        <v>658603.0</v>
      </c>
      <c r="I703" s="9">
        <v>0.0</v>
      </c>
      <c r="J703" s="9">
        <v>0.0</v>
      </c>
      <c r="K703" s="9">
        <v>0.0</v>
      </c>
      <c r="L703" s="9" t="s">
        <v>69</v>
      </c>
      <c r="M703" s="9" t="s">
        <v>55</v>
      </c>
      <c r="R703" s="9" t="s">
        <v>60</v>
      </c>
      <c r="S703" s="9" t="s">
        <v>57</v>
      </c>
      <c r="T703" s="9" t="s">
        <v>61</v>
      </c>
      <c r="V703" s="9">
        <v>658602.4</v>
      </c>
      <c r="W703" s="9">
        <v>0.0</v>
      </c>
      <c r="X703" s="9">
        <v>0.0</v>
      </c>
    </row>
    <row r="704" ht="15.75" customHeight="1">
      <c r="A704" s="9">
        <v>2053790.0</v>
      </c>
      <c r="B704" s="9">
        <v>943515.0</v>
      </c>
      <c r="C704" s="9">
        <v>31089.0</v>
      </c>
      <c r="D704" s="9" t="s">
        <v>52</v>
      </c>
      <c r="E704" s="9" t="s">
        <v>53</v>
      </c>
      <c r="F704" s="9">
        <v>45436.0</v>
      </c>
      <c r="G704" s="9">
        <v>1169598.0</v>
      </c>
      <c r="H704" s="9">
        <v>1169598.0</v>
      </c>
      <c r="I704" s="9">
        <v>0.0</v>
      </c>
      <c r="J704" s="9">
        <v>0.0</v>
      </c>
      <c r="K704" s="9">
        <v>0.0</v>
      </c>
      <c r="L704" s="9" t="s">
        <v>69</v>
      </c>
      <c r="M704" s="9" t="s">
        <v>55</v>
      </c>
      <c r="R704" s="9" t="s">
        <v>60</v>
      </c>
      <c r="S704" s="9" t="s">
        <v>57</v>
      </c>
      <c r="T704" s="9" t="s">
        <v>61</v>
      </c>
      <c r="V704" s="9">
        <v>840603.06</v>
      </c>
      <c r="W704" s="9">
        <v>0.0</v>
      </c>
      <c r="X704" s="9">
        <v>0.0</v>
      </c>
    </row>
    <row r="705" ht="15.75" customHeight="1">
      <c r="A705" s="9">
        <v>2058103.0</v>
      </c>
      <c r="B705" s="9">
        <v>2.3956655E7</v>
      </c>
      <c r="C705" s="9">
        <v>30519.0</v>
      </c>
      <c r="D705" s="9" t="s">
        <v>52</v>
      </c>
      <c r="E705" s="9" t="s">
        <v>53</v>
      </c>
      <c r="F705" s="9">
        <v>54955.0</v>
      </c>
      <c r="G705" s="9">
        <v>2.577578289E7</v>
      </c>
      <c r="H705" s="9">
        <v>2.577578289E7</v>
      </c>
      <c r="I705" s="9">
        <v>2.407781472E7</v>
      </c>
      <c r="J705" s="9">
        <v>0.0</v>
      </c>
      <c r="K705" s="9">
        <v>0.0</v>
      </c>
      <c r="L705" s="9" t="s">
        <v>69</v>
      </c>
      <c r="M705" s="9" t="s">
        <v>55</v>
      </c>
      <c r="N705" s="9">
        <v>2.145E7</v>
      </c>
      <c r="O705" s="9">
        <v>2.145E7</v>
      </c>
      <c r="P705" s="9">
        <v>2.145E7</v>
      </c>
      <c r="Q705" s="9">
        <v>1500000.0</v>
      </c>
      <c r="R705" s="9" t="s">
        <v>60</v>
      </c>
      <c r="S705" s="9" t="s">
        <v>57</v>
      </c>
      <c r="T705" s="9" t="s">
        <v>61</v>
      </c>
      <c r="V705" s="9">
        <v>2.160462141E7</v>
      </c>
      <c r="W705" s="9">
        <v>1379982.37</v>
      </c>
      <c r="X705" s="9">
        <v>0.0</v>
      </c>
    </row>
    <row r="706" ht="15.75" customHeight="1">
      <c r="A706" s="9">
        <v>2059273.0</v>
      </c>
      <c r="B706" s="9">
        <v>1099297.0</v>
      </c>
      <c r="C706" s="9">
        <v>31190.0</v>
      </c>
      <c r="D706" s="9" t="s">
        <v>52</v>
      </c>
      <c r="E706" s="9" t="s">
        <v>53</v>
      </c>
      <c r="F706" s="9">
        <v>28987.0</v>
      </c>
      <c r="G706" s="9">
        <v>1184297.0</v>
      </c>
      <c r="H706" s="9">
        <v>1184297.0</v>
      </c>
      <c r="I706" s="9">
        <v>68571.98</v>
      </c>
      <c r="J706" s="9">
        <v>0.0</v>
      </c>
      <c r="K706" s="9">
        <v>0.0</v>
      </c>
      <c r="L706" s="9" t="s">
        <v>54</v>
      </c>
      <c r="M706" s="9" t="s">
        <v>55</v>
      </c>
      <c r="R706" s="9" t="s">
        <v>60</v>
      </c>
      <c r="S706" s="9" t="s">
        <v>57</v>
      </c>
      <c r="T706" s="9" t="s">
        <v>61</v>
      </c>
      <c r="V706" s="9">
        <v>1341997.31</v>
      </c>
      <c r="W706" s="9">
        <v>0.0</v>
      </c>
      <c r="X706" s="9">
        <v>0.0</v>
      </c>
    </row>
    <row r="707" ht="15.75" customHeight="1">
      <c r="A707" s="9">
        <v>2060513.0</v>
      </c>
      <c r="B707" s="9">
        <v>887121.0</v>
      </c>
      <c r="C707" s="9">
        <v>30994.0</v>
      </c>
      <c r="D707" s="9" t="s">
        <v>52</v>
      </c>
      <c r="E707" s="9" t="s">
        <v>53</v>
      </c>
      <c r="F707" s="9">
        <v>56085.0</v>
      </c>
      <c r="G707" s="9">
        <v>887121.0</v>
      </c>
      <c r="H707" s="9">
        <v>887121.0</v>
      </c>
      <c r="I707" s="9">
        <v>304203.96</v>
      </c>
      <c r="J707" s="9">
        <v>0.0</v>
      </c>
      <c r="K707" s="9">
        <v>0.0</v>
      </c>
      <c r="L707" s="9" t="s">
        <v>69</v>
      </c>
      <c r="M707" s="9" t="s">
        <v>55</v>
      </c>
      <c r="R707" s="9" t="s">
        <v>60</v>
      </c>
      <c r="S707" s="9" t="s">
        <v>57</v>
      </c>
      <c r="T707" s="9" t="s">
        <v>61</v>
      </c>
      <c r="V707" s="9">
        <v>775728.0</v>
      </c>
      <c r="W707" s="9">
        <v>0.0</v>
      </c>
      <c r="X707" s="9">
        <v>0.0</v>
      </c>
    </row>
    <row r="708" ht="15.75" customHeight="1">
      <c r="A708" s="9">
        <v>2061279.0</v>
      </c>
      <c r="B708" s="9">
        <v>602843.0</v>
      </c>
      <c r="C708" s="9">
        <v>30594.0</v>
      </c>
      <c r="D708" s="9" t="s">
        <v>52</v>
      </c>
      <c r="E708" s="9" t="s">
        <v>53</v>
      </c>
      <c r="F708" s="9">
        <v>29375.0</v>
      </c>
      <c r="G708" s="9">
        <v>850703.83</v>
      </c>
      <c r="H708" s="9">
        <v>850703.83</v>
      </c>
      <c r="I708" s="9">
        <v>2250.0</v>
      </c>
      <c r="J708" s="9">
        <v>0.0</v>
      </c>
      <c r="K708" s="9">
        <v>0.0</v>
      </c>
      <c r="L708" s="9" t="s">
        <v>59</v>
      </c>
      <c r="M708" s="9" t="s">
        <v>55</v>
      </c>
      <c r="N708" s="9">
        <v>201804.78</v>
      </c>
      <c r="O708" s="9">
        <v>197768.68</v>
      </c>
      <c r="P708" s="9">
        <v>12852.0</v>
      </c>
      <c r="Q708" s="9">
        <v>12852.0</v>
      </c>
      <c r="R708" s="9" t="s">
        <v>60</v>
      </c>
      <c r="S708" s="9" t="s">
        <v>57</v>
      </c>
      <c r="T708" s="9" t="s">
        <v>61</v>
      </c>
      <c r="V708" s="9">
        <v>574074.35</v>
      </c>
      <c r="W708" s="9">
        <v>0.0</v>
      </c>
      <c r="X708" s="9">
        <v>0.0</v>
      </c>
    </row>
    <row r="709" ht="15.75" customHeight="1">
      <c r="A709" s="9">
        <v>2061281.0</v>
      </c>
      <c r="B709" s="9">
        <v>320982.0</v>
      </c>
      <c r="C709" s="9">
        <v>30596.0</v>
      </c>
      <c r="D709" s="9" t="s">
        <v>52</v>
      </c>
      <c r="E709" s="9" t="s">
        <v>53</v>
      </c>
      <c r="F709" s="9">
        <v>45565.0</v>
      </c>
      <c r="G709" s="9">
        <v>320982.0</v>
      </c>
      <c r="H709" s="9">
        <v>320982.0</v>
      </c>
      <c r="I709" s="9">
        <v>336677.0</v>
      </c>
      <c r="J709" s="9">
        <v>0.0</v>
      </c>
      <c r="K709" s="9">
        <v>0.0</v>
      </c>
      <c r="L709" s="9" t="s">
        <v>59</v>
      </c>
      <c r="M709" s="9" t="s">
        <v>55</v>
      </c>
      <c r="N709" s="9">
        <v>338422.0</v>
      </c>
      <c r="O709" s="9">
        <v>304579.8</v>
      </c>
      <c r="R709" s="9" t="s">
        <v>60</v>
      </c>
      <c r="S709" s="9" t="s">
        <v>57</v>
      </c>
      <c r="T709" s="9" t="s">
        <v>61</v>
      </c>
      <c r="V709" s="9">
        <v>304579.8</v>
      </c>
      <c r="W709" s="9">
        <v>0.0</v>
      </c>
      <c r="X709" s="9">
        <v>0.0</v>
      </c>
    </row>
    <row r="710" ht="15.75" customHeight="1">
      <c r="A710" s="9">
        <v>2062351.0</v>
      </c>
      <c r="B710" s="9">
        <v>3668753.0</v>
      </c>
      <c r="C710" s="9">
        <v>31044.0</v>
      </c>
      <c r="D710" s="9" t="s">
        <v>52</v>
      </c>
      <c r="E710" s="9" t="s">
        <v>53</v>
      </c>
      <c r="F710" s="9">
        <v>68945.0</v>
      </c>
      <c r="G710" s="9">
        <v>4550889.0</v>
      </c>
      <c r="H710" s="9">
        <v>4550889.0</v>
      </c>
      <c r="I710" s="9">
        <v>0.0</v>
      </c>
      <c r="J710" s="9">
        <v>0.0</v>
      </c>
      <c r="K710" s="9">
        <v>0.0</v>
      </c>
      <c r="L710" s="9" t="s">
        <v>54</v>
      </c>
      <c r="M710" s="9" t="s">
        <v>55</v>
      </c>
      <c r="R710" s="9" t="s">
        <v>56</v>
      </c>
      <c r="S710" s="9" t="s">
        <v>57</v>
      </c>
      <c r="T710" s="9" t="s">
        <v>58</v>
      </c>
      <c r="V710" s="9">
        <v>1226621.66</v>
      </c>
      <c r="W710" s="9">
        <v>0.0</v>
      </c>
      <c r="X710" s="9">
        <v>0.0</v>
      </c>
    </row>
    <row r="711" ht="15.75" customHeight="1">
      <c r="A711" s="9">
        <v>2062751.0</v>
      </c>
      <c r="B711" s="9">
        <v>3.2704197E7</v>
      </c>
      <c r="C711" s="9">
        <v>39553.0</v>
      </c>
      <c r="D711" s="9" t="s">
        <v>52</v>
      </c>
      <c r="E711" s="9" t="s">
        <v>53</v>
      </c>
      <c r="F711" s="9">
        <v>51753.0</v>
      </c>
      <c r="G711" s="9">
        <v>3.4647009E7</v>
      </c>
      <c r="H711" s="9">
        <v>4.203549143E7</v>
      </c>
      <c r="I711" s="9">
        <v>4.184017017E7</v>
      </c>
      <c r="J711" s="9">
        <v>0.0</v>
      </c>
      <c r="K711" s="9">
        <v>0.0</v>
      </c>
      <c r="L711" s="9" t="s">
        <v>59</v>
      </c>
      <c r="M711" s="9" t="s">
        <v>55</v>
      </c>
      <c r="N711" s="9">
        <v>3.137984581E7</v>
      </c>
      <c r="O711" s="9">
        <v>3.137984581E7</v>
      </c>
      <c r="P711" s="9">
        <v>1030466.38</v>
      </c>
      <c r="Q711" s="9">
        <v>1030466.38</v>
      </c>
      <c r="R711" s="9" t="s">
        <v>60</v>
      </c>
      <c r="S711" s="9" t="s">
        <v>57</v>
      </c>
      <c r="T711" s="9" t="s">
        <v>61</v>
      </c>
      <c r="V711" s="9">
        <v>3.716224582E7</v>
      </c>
      <c r="W711" s="9">
        <v>2151018.16</v>
      </c>
      <c r="X711" s="9">
        <v>0.0</v>
      </c>
    </row>
    <row r="712" ht="15.75" customHeight="1">
      <c r="A712" s="9">
        <v>2064374.0</v>
      </c>
      <c r="B712" s="9">
        <v>230756.0</v>
      </c>
      <c r="C712" s="9">
        <v>30987.0</v>
      </c>
      <c r="D712" s="9" t="s">
        <v>52</v>
      </c>
      <c r="E712" s="9" t="s">
        <v>53</v>
      </c>
      <c r="F712" s="9">
        <v>49621.0</v>
      </c>
      <c r="G712" s="9">
        <v>230756.0</v>
      </c>
      <c r="H712" s="9">
        <v>230756.0</v>
      </c>
      <c r="I712" s="9">
        <v>0.0</v>
      </c>
      <c r="J712" s="9">
        <v>0.0</v>
      </c>
      <c r="K712" s="9">
        <v>0.0</v>
      </c>
      <c r="L712" s="9" t="s">
        <v>54</v>
      </c>
      <c r="M712" s="9" t="s">
        <v>55</v>
      </c>
      <c r="R712" s="9" t="s">
        <v>60</v>
      </c>
      <c r="S712" s="9" t="s">
        <v>57</v>
      </c>
      <c r="T712" s="9" t="s">
        <v>61</v>
      </c>
      <c r="V712" s="9">
        <v>234016.5</v>
      </c>
      <c r="W712" s="9">
        <v>0.0</v>
      </c>
      <c r="X712" s="9">
        <v>0.0</v>
      </c>
    </row>
    <row r="713" ht="15.75" customHeight="1">
      <c r="A713" s="9">
        <v>2064808.0</v>
      </c>
      <c r="B713" s="9">
        <v>83957.0</v>
      </c>
      <c r="C713" s="9">
        <v>31152.0</v>
      </c>
      <c r="D713" s="9" t="s">
        <v>52</v>
      </c>
      <c r="E713" s="9" t="s">
        <v>53</v>
      </c>
      <c r="F713" s="9">
        <v>20941.0</v>
      </c>
      <c r="G713" s="9">
        <v>83957.0</v>
      </c>
      <c r="H713" s="9">
        <v>83957.0</v>
      </c>
      <c r="I713" s="9">
        <v>81310.38</v>
      </c>
      <c r="J713" s="9">
        <v>0.0</v>
      </c>
      <c r="K713" s="9">
        <v>0.0</v>
      </c>
      <c r="L713" s="9" t="s">
        <v>69</v>
      </c>
      <c r="M713" s="9" t="s">
        <v>55</v>
      </c>
      <c r="R713" s="9" t="s">
        <v>60</v>
      </c>
      <c r="S713" s="9" t="s">
        <v>57</v>
      </c>
      <c r="T713" s="9" t="s">
        <v>61</v>
      </c>
      <c r="V713" s="9">
        <v>86279.03</v>
      </c>
      <c r="W713" s="9">
        <v>0.0</v>
      </c>
      <c r="X713" s="9">
        <v>0.0</v>
      </c>
    </row>
    <row r="714" ht="15.75" customHeight="1">
      <c r="A714" s="9">
        <v>2064874.0</v>
      </c>
      <c r="B714" s="9">
        <v>1914000.0</v>
      </c>
      <c r="C714" s="9">
        <v>31118.0</v>
      </c>
      <c r="D714" s="9" t="s">
        <v>52</v>
      </c>
      <c r="E714" s="9" t="s">
        <v>53</v>
      </c>
      <c r="F714" s="9">
        <v>47472.0</v>
      </c>
      <c r="G714" s="9">
        <v>1914000.0</v>
      </c>
      <c r="H714" s="9">
        <v>1914000.0</v>
      </c>
      <c r="I714" s="9">
        <v>37137.56</v>
      </c>
      <c r="J714" s="9">
        <v>0.0</v>
      </c>
      <c r="K714" s="9">
        <v>0.0</v>
      </c>
      <c r="L714" s="9" t="s">
        <v>59</v>
      </c>
      <c r="M714" s="9" t="s">
        <v>55</v>
      </c>
      <c r="R714" s="9" t="s">
        <v>60</v>
      </c>
      <c r="S714" s="9" t="s">
        <v>57</v>
      </c>
      <c r="T714" s="9" t="s">
        <v>61</v>
      </c>
      <c r="V714" s="9">
        <v>2046902.91</v>
      </c>
      <c r="W714" s="9">
        <v>0.0</v>
      </c>
      <c r="X714" s="9">
        <v>0.0</v>
      </c>
    </row>
    <row r="715" ht="15.75" customHeight="1">
      <c r="A715" s="9">
        <v>2064908.0</v>
      </c>
      <c r="B715" s="9">
        <v>205949.0</v>
      </c>
      <c r="C715" s="9">
        <v>30230.0</v>
      </c>
      <c r="D715" s="9" t="s">
        <v>52</v>
      </c>
      <c r="E715" s="9" t="s">
        <v>53</v>
      </c>
      <c r="F715" s="9">
        <v>48874.0</v>
      </c>
      <c r="G715" s="9">
        <v>205949.0</v>
      </c>
      <c r="H715" s="9">
        <v>205949.0</v>
      </c>
      <c r="I715" s="9">
        <v>95261.97</v>
      </c>
      <c r="J715" s="9">
        <v>0.0</v>
      </c>
      <c r="K715" s="9">
        <v>0.0</v>
      </c>
      <c r="L715" s="9" t="s">
        <v>69</v>
      </c>
      <c r="M715" s="9" t="s">
        <v>55</v>
      </c>
      <c r="N715" s="9">
        <v>194999.01</v>
      </c>
      <c r="O715" s="9">
        <v>175499.11</v>
      </c>
      <c r="R715" s="9" t="s">
        <v>60</v>
      </c>
      <c r="S715" s="9" t="s">
        <v>57</v>
      </c>
      <c r="T715" s="9" t="s">
        <v>61</v>
      </c>
      <c r="V715" s="9">
        <v>175499.11</v>
      </c>
      <c r="W715" s="9">
        <v>0.0</v>
      </c>
      <c r="X715" s="9">
        <v>0.0</v>
      </c>
    </row>
    <row r="716" ht="15.75" customHeight="1">
      <c r="A716" s="9">
        <v>2065008.0</v>
      </c>
      <c r="B716" s="9">
        <v>4722642.0</v>
      </c>
      <c r="C716" s="9">
        <v>30516.0</v>
      </c>
      <c r="D716" s="9" t="s">
        <v>52</v>
      </c>
      <c r="E716" s="9" t="s">
        <v>53</v>
      </c>
      <c r="F716" s="9">
        <v>50852.0</v>
      </c>
      <c r="G716" s="9">
        <v>6315333.66</v>
      </c>
      <c r="H716" s="9">
        <v>6315333.66</v>
      </c>
      <c r="I716" s="9">
        <v>6159201.69</v>
      </c>
      <c r="J716" s="9">
        <v>0.0</v>
      </c>
      <c r="K716" s="9">
        <v>0.0</v>
      </c>
      <c r="L716" s="9" t="s">
        <v>59</v>
      </c>
      <c r="M716" s="9" t="s">
        <v>55</v>
      </c>
      <c r="N716" s="9">
        <v>4824548.25</v>
      </c>
      <c r="O716" s="9">
        <v>5162266.63</v>
      </c>
      <c r="P716" s="9">
        <v>32633.42</v>
      </c>
      <c r="Q716" s="9">
        <v>32633.42</v>
      </c>
      <c r="R716" s="9" t="s">
        <v>60</v>
      </c>
      <c r="S716" s="9" t="s">
        <v>57</v>
      </c>
      <c r="T716" s="9" t="s">
        <v>61</v>
      </c>
      <c r="V716" s="9">
        <v>5960277.28</v>
      </c>
      <c r="W716" s="9">
        <v>43462.64</v>
      </c>
      <c r="X716" s="9">
        <v>11594.08</v>
      </c>
    </row>
    <row r="717" ht="15.75" customHeight="1">
      <c r="A717" s="9">
        <v>2065440.0</v>
      </c>
      <c r="B717" s="9">
        <v>8962486.0</v>
      </c>
      <c r="C717" s="9">
        <v>30493.0</v>
      </c>
      <c r="D717" s="9" t="s">
        <v>52</v>
      </c>
      <c r="E717" s="9" t="s">
        <v>53</v>
      </c>
      <c r="F717" s="9">
        <v>56268.0</v>
      </c>
      <c r="G717" s="9">
        <v>8962486.0</v>
      </c>
      <c r="H717" s="9">
        <v>8962486.0</v>
      </c>
      <c r="I717" s="9">
        <v>5635262.5</v>
      </c>
      <c r="J717" s="9">
        <v>0.0</v>
      </c>
      <c r="K717" s="9">
        <v>0.0</v>
      </c>
      <c r="L717" s="9" t="s">
        <v>69</v>
      </c>
      <c r="M717" s="9" t="s">
        <v>55</v>
      </c>
      <c r="N717" s="9">
        <v>8734626.09</v>
      </c>
      <c r="O717" s="9">
        <v>8407590.7</v>
      </c>
      <c r="P717" s="9">
        <v>227859.81</v>
      </c>
      <c r="Q717" s="9">
        <v>226700.0</v>
      </c>
      <c r="R717" s="9" t="s">
        <v>56</v>
      </c>
      <c r="S717" s="9" t="s">
        <v>57</v>
      </c>
      <c r="T717" s="9" t="s">
        <v>58</v>
      </c>
      <c r="V717" s="9">
        <v>8729385.31</v>
      </c>
      <c r="W717" s="9">
        <v>226700.0</v>
      </c>
      <c r="X717" s="9">
        <v>0.0</v>
      </c>
    </row>
    <row r="718" ht="15.75" customHeight="1">
      <c r="A718" s="9">
        <v>2065642.0</v>
      </c>
      <c r="B718" s="9">
        <v>1120047.0</v>
      </c>
      <c r="C718" s="9">
        <v>31069.0</v>
      </c>
      <c r="D718" s="9" t="s">
        <v>52</v>
      </c>
      <c r="E718" s="9" t="s">
        <v>53</v>
      </c>
      <c r="F718" s="9">
        <v>58062.0</v>
      </c>
      <c r="G718" s="9">
        <v>1185047.0</v>
      </c>
      <c r="H718" s="9">
        <v>1185047.0</v>
      </c>
      <c r="I718" s="9">
        <v>1185047.0</v>
      </c>
      <c r="J718" s="9">
        <v>0.0</v>
      </c>
      <c r="K718" s="9">
        <v>0.0</v>
      </c>
      <c r="L718" s="9" t="s">
        <v>69</v>
      </c>
      <c r="M718" s="9" t="s">
        <v>55</v>
      </c>
      <c r="P718" s="9">
        <v>28200.0</v>
      </c>
      <c r="Q718" s="9">
        <v>28200.0</v>
      </c>
      <c r="R718" s="9" t="s">
        <v>60</v>
      </c>
      <c r="S718" s="9" t="s">
        <v>57</v>
      </c>
      <c r="T718" s="9" t="s">
        <v>61</v>
      </c>
      <c r="V718" s="9">
        <v>1128704.0</v>
      </c>
      <c r="W718" s="9">
        <v>0.0</v>
      </c>
      <c r="X718" s="9">
        <v>0.0</v>
      </c>
    </row>
    <row r="719" ht="15.75" customHeight="1">
      <c r="A719" s="9">
        <v>2065644.0</v>
      </c>
      <c r="B719" s="9">
        <v>661419.0</v>
      </c>
      <c r="C719" s="9">
        <v>29913.0</v>
      </c>
      <c r="D719" s="9" t="s">
        <v>52</v>
      </c>
      <c r="E719" s="9" t="s">
        <v>53</v>
      </c>
      <c r="F719" s="9">
        <v>58094.0</v>
      </c>
      <c r="G719" s="9">
        <v>661419.0</v>
      </c>
      <c r="H719" s="9">
        <v>661419.0</v>
      </c>
      <c r="I719" s="9">
        <v>661419.0</v>
      </c>
      <c r="J719" s="9">
        <v>0.0</v>
      </c>
      <c r="K719" s="9">
        <v>0.0</v>
      </c>
      <c r="L719" s="9" t="s">
        <v>59</v>
      </c>
      <c r="M719" s="9" t="s">
        <v>55</v>
      </c>
      <c r="N719" s="9">
        <v>734910.0</v>
      </c>
      <c r="O719" s="9">
        <v>661419.0</v>
      </c>
      <c r="P719" s="9">
        <v>98000.0</v>
      </c>
      <c r="Q719" s="9">
        <v>98000.0</v>
      </c>
      <c r="R719" s="9" t="s">
        <v>60</v>
      </c>
      <c r="S719" s="9" t="s">
        <v>57</v>
      </c>
      <c r="T719" s="9" t="s">
        <v>61</v>
      </c>
      <c r="V719" s="9">
        <v>613119.78</v>
      </c>
      <c r="W719" s="9">
        <v>98000.0</v>
      </c>
      <c r="X719" s="9">
        <v>0.0</v>
      </c>
    </row>
    <row r="720" ht="15.75" customHeight="1">
      <c r="A720" s="9">
        <v>2065878.0</v>
      </c>
      <c r="B720" s="9">
        <v>399445.0</v>
      </c>
      <c r="C720" s="9">
        <v>30983.0</v>
      </c>
      <c r="D720" s="9" t="s">
        <v>52</v>
      </c>
      <c r="E720" s="9" t="s">
        <v>53</v>
      </c>
      <c r="F720" s="9">
        <v>60164.0</v>
      </c>
      <c r="G720" s="9">
        <v>399445.0</v>
      </c>
      <c r="H720" s="9">
        <v>399445.0</v>
      </c>
      <c r="I720" s="9">
        <v>80786.17</v>
      </c>
      <c r="J720" s="9">
        <v>0.0</v>
      </c>
      <c r="K720" s="9">
        <v>0.0</v>
      </c>
      <c r="L720" s="9" t="s">
        <v>69</v>
      </c>
      <c r="M720" s="9" t="s">
        <v>55</v>
      </c>
      <c r="R720" s="9" t="s">
        <v>60</v>
      </c>
      <c r="S720" s="9" t="s">
        <v>57</v>
      </c>
      <c r="T720" s="9" t="s">
        <v>61</v>
      </c>
      <c r="V720" s="9">
        <v>399445.48</v>
      </c>
      <c r="W720" s="9">
        <v>0.0</v>
      </c>
      <c r="X720" s="9">
        <v>0.0</v>
      </c>
    </row>
    <row r="721" ht="15.75" customHeight="1">
      <c r="A721" s="9">
        <v>2066027.0</v>
      </c>
      <c r="B721" s="9">
        <v>8247915.0</v>
      </c>
      <c r="C721" s="9">
        <v>30547.0</v>
      </c>
      <c r="D721" s="9" t="s">
        <v>52</v>
      </c>
      <c r="E721" s="9" t="s">
        <v>53</v>
      </c>
      <c r="F721" s="9">
        <v>61274.0</v>
      </c>
      <c r="G721" s="9">
        <v>8247913.75</v>
      </c>
      <c r="H721" s="9">
        <v>8247913.75</v>
      </c>
      <c r="I721" s="9">
        <v>8246417.0</v>
      </c>
      <c r="J721" s="9">
        <v>0.0</v>
      </c>
      <c r="K721" s="9">
        <v>0.0</v>
      </c>
      <c r="L721" s="9" t="s">
        <v>69</v>
      </c>
      <c r="M721" s="9" t="s">
        <v>55</v>
      </c>
      <c r="N721" s="9">
        <v>7911949.75</v>
      </c>
      <c r="O721" s="9">
        <v>7911949.75</v>
      </c>
      <c r="P721" s="9">
        <v>335964.0</v>
      </c>
      <c r="Q721" s="9">
        <v>302367.6</v>
      </c>
      <c r="R721" s="9" t="s">
        <v>60</v>
      </c>
      <c r="S721" s="9" t="s">
        <v>57</v>
      </c>
      <c r="T721" s="9" t="s">
        <v>61</v>
      </c>
      <c r="V721" s="9">
        <v>8221241.55</v>
      </c>
      <c r="W721" s="9">
        <v>104500.0</v>
      </c>
      <c r="X721" s="9">
        <v>0.0</v>
      </c>
    </row>
    <row r="722" ht="15.75" customHeight="1">
      <c r="A722" s="9">
        <v>2066178.0</v>
      </c>
      <c r="B722" s="9">
        <v>3775402.0</v>
      </c>
      <c r="C722" s="9">
        <v>30238.0</v>
      </c>
      <c r="D722" s="9" t="s">
        <v>52</v>
      </c>
      <c r="E722" s="9" t="s">
        <v>53</v>
      </c>
      <c r="F722" s="9">
        <v>61681.0</v>
      </c>
      <c r="G722" s="9">
        <v>3775402.0</v>
      </c>
      <c r="H722" s="9">
        <v>3775402.0</v>
      </c>
      <c r="I722" s="9">
        <v>0.0</v>
      </c>
      <c r="J722" s="9">
        <v>0.0</v>
      </c>
      <c r="K722" s="9">
        <v>0.0</v>
      </c>
      <c r="L722" s="9" t="s">
        <v>54</v>
      </c>
      <c r="M722" s="9" t="s">
        <v>55</v>
      </c>
      <c r="N722" s="9">
        <v>3634103.82</v>
      </c>
      <c r="O722" s="9">
        <v>3634103.82</v>
      </c>
      <c r="P722" s="9">
        <v>141298.19</v>
      </c>
      <c r="Q722" s="9">
        <v>127168.38</v>
      </c>
      <c r="R722" s="9" t="s">
        <v>60</v>
      </c>
      <c r="S722" s="9" t="s">
        <v>57</v>
      </c>
      <c r="T722" s="9" t="s">
        <v>61</v>
      </c>
      <c r="V722" s="9">
        <v>3626103.0</v>
      </c>
      <c r="W722" s="9">
        <v>149294.89</v>
      </c>
      <c r="X722" s="9">
        <v>0.0</v>
      </c>
    </row>
    <row r="723" ht="15.75" customHeight="1">
      <c r="A723" s="9">
        <v>2066244.0</v>
      </c>
      <c r="B723" s="9">
        <v>379160.0</v>
      </c>
      <c r="C723" s="9">
        <v>30042.0</v>
      </c>
      <c r="D723" s="9" t="s">
        <v>52</v>
      </c>
      <c r="E723" s="9" t="s">
        <v>53</v>
      </c>
      <c r="F723" s="9">
        <v>61801.0</v>
      </c>
      <c r="G723" s="9">
        <v>379160.0</v>
      </c>
      <c r="H723" s="9">
        <v>379160.0</v>
      </c>
      <c r="I723" s="9">
        <v>0.0</v>
      </c>
      <c r="J723" s="9">
        <v>0.0</v>
      </c>
      <c r="K723" s="9">
        <v>0.0</v>
      </c>
      <c r="L723" s="9" t="s">
        <v>54</v>
      </c>
      <c r="M723" s="9" t="s">
        <v>55</v>
      </c>
      <c r="N723" s="9">
        <v>443898.51</v>
      </c>
      <c r="O723" s="9">
        <v>443898.51</v>
      </c>
      <c r="P723" s="9">
        <v>20900.0</v>
      </c>
      <c r="Q723" s="9">
        <v>20900.0</v>
      </c>
      <c r="R723" s="9" t="s">
        <v>60</v>
      </c>
      <c r="S723" s="9" t="s">
        <v>57</v>
      </c>
      <c r="T723" s="9" t="s">
        <v>61</v>
      </c>
      <c r="V723" s="9">
        <v>443898.51</v>
      </c>
      <c r="W723" s="9">
        <v>18900.0</v>
      </c>
      <c r="X723" s="9">
        <v>0.0</v>
      </c>
    </row>
    <row r="724" ht="15.75" customHeight="1">
      <c r="A724" s="9">
        <v>2066576.0</v>
      </c>
      <c r="B724" s="9">
        <v>296733.0</v>
      </c>
      <c r="C724" s="9">
        <v>31186.0</v>
      </c>
      <c r="D724" s="9" t="s">
        <v>52</v>
      </c>
      <c r="E724" s="9" t="s">
        <v>53</v>
      </c>
      <c r="F724" s="9">
        <v>62762.0</v>
      </c>
      <c r="G724" s="9">
        <v>296733.0</v>
      </c>
      <c r="H724" s="9">
        <v>296733.0</v>
      </c>
      <c r="I724" s="9">
        <v>0.0</v>
      </c>
      <c r="J724" s="9">
        <v>0.0</v>
      </c>
      <c r="K724" s="9">
        <v>0.0</v>
      </c>
      <c r="L724" s="9" t="s">
        <v>54</v>
      </c>
      <c r="M724" s="9" t="s">
        <v>55</v>
      </c>
      <c r="R724" s="9" t="s">
        <v>70</v>
      </c>
      <c r="S724" s="9" t="s">
        <v>57</v>
      </c>
      <c r="T724" s="9" t="s">
        <v>71</v>
      </c>
    </row>
    <row r="725" ht="15.75" customHeight="1">
      <c r="A725" s="9">
        <v>2067163.0</v>
      </c>
      <c r="B725" s="9">
        <v>1996391.0</v>
      </c>
      <c r="C725" s="9">
        <v>31170.0</v>
      </c>
      <c r="D725" s="9" t="s">
        <v>52</v>
      </c>
      <c r="E725" s="9" t="s">
        <v>53</v>
      </c>
      <c r="F725" s="9">
        <v>64702.0</v>
      </c>
      <c r="G725" s="9">
        <v>1996391.0</v>
      </c>
      <c r="H725" s="9">
        <v>1996391.0</v>
      </c>
      <c r="I725" s="9">
        <v>2064001.78</v>
      </c>
      <c r="J725" s="9">
        <v>0.0</v>
      </c>
      <c r="K725" s="9">
        <v>0.0</v>
      </c>
      <c r="L725" s="9" t="s">
        <v>59</v>
      </c>
      <c r="M725" s="9" t="s">
        <v>55</v>
      </c>
      <c r="R725" s="9" t="s">
        <v>60</v>
      </c>
      <c r="S725" s="9" t="s">
        <v>57</v>
      </c>
      <c r="T725" s="9" t="s">
        <v>61</v>
      </c>
      <c r="V725" s="9">
        <v>2064001.78</v>
      </c>
      <c r="W725" s="9">
        <v>0.0</v>
      </c>
      <c r="X725" s="9">
        <v>0.0</v>
      </c>
    </row>
    <row r="726" ht="15.75" customHeight="1">
      <c r="A726" s="9">
        <v>2067395.0</v>
      </c>
      <c r="B726" s="9">
        <v>1202300.0</v>
      </c>
      <c r="C726" s="9">
        <v>30234.0</v>
      </c>
      <c r="D726" s="9" t="s">
        <v>52</v>
      </c>
      <c r="E726" s="9" t="s">
        <v>53</v>
      </c>
      <c r="F726" s="9">
        <v>65572.0</v>
      </c>
      <c r="G726" s="9">
        <v>1324266.0</v>
      </c>
      <c r="H726" s="9">
        <v>1202300.0</v>
      </c>
      <c r="I726" s="9">
        <v>0.0</v>
      </c>
      <c r="J726" s="9">
        <v>0.0</v>
      </c>
      <c r="K726" s="9">
        <v>0.0</v>
      </c>
      <c r="L726" s="9" t="s">
        <v>54</v>
      </c>
      <c r="M726" s="9" t="s">
        <v>55</v>
      </c>
      <c r="N726" s="9">
        <v>1284266.0</v>
      </c>
      <c r="O726" s="9">
        <v>1284266.0</v>
      </c>
      <c r="P726" s="9">
        <v>40000.0</v>
      </c>
      <c r="Q726" s="9">
        <v>39950.0</v>
      </c>
      <c r="R726" s="9" t="s">
        <v>75</v>
      </c>
      <c r="S726" s="9" t="s">
        <v>57</v>
      </c>
      <c r="T726" s="9" t="s">
        <v>76</v>
      </c>
    </row>
    <row r="727" ht="15.75" customHeight="1">
      <c r="A727" s="9">
        <v>2071990.0</v>
      </c>
      <c r="B727" s="9">
        <v>535900.0</v>
      </c>
      <c r="C727" s="9">
        <v>30024.0</v>
      </c>
      <c r="D727" s="9" t="s">
        <v>52</v>
      </c>
      <c r="E727" s="9" t="s">
        <v>53</v>
      </c>
      <c r="F727" s="9">
        <v>78666.0</v>
      </c>
      <c r="G727" s="9">
        <v>535900.0</v>
      </c>
      <c r="H727" s="9">
        <v>535900.0</v>
      </c>
      <c r="I727" s="9">
        <v>444361.94</v>
      </c>
      <c r="J727" s="9">
        <v>0.0</v>
      </c>
      <c r="K727" s="9">
        <v>0.0</v>
      </c>
      <c r="L727" s="9" t="s">
        <v>59</v>
      </c>
      <c r="M727" s="9" t="s">
        <v>55</v>
      </c>
      <c r="N727" s="9">
        <v>488664.21</v>
      </c>
      <c r="O727" s="9">
        <v>488664.21</v>
      </c>
      <c r="P727" s="9">
        <v>488664.21</v>
      </c>
      <c r="Q727" s="9">
        <v>0.0</v>
      </c>
      <c r="R727" s="9" t="s">
        <v>75</v>
      </c>
      <c r="S727" s="9" t="s">
        <v>57</v>
      </c>
      <c r="T727" s="9" t="s">
        <v>76</v>
      </c>
    </row>
    <row r="728" ht="15.75" customHeight="1">
      <c r="A728" s="9">
        <v>2072547.0</v>
      </c>
      <c r="B728" s="9">
        <v>4197248.0</v>
      </c>
      <c r="C728" s="9">
        <v>30964.0</v>
      </c>
      <c r="D728" s="9" t="s">
        <v>52</v>
      </c>
      <c r="E728" s="9" t="s">
        <v>53</v>
      </c>
      <c r="F728" s="9">
        <v>80110.0</v>
      </c>
      <c r="G728" s="9">
        <v>4241342.29</v>
      </c>
      <c r="H728" s="9">
        <v>4241342.29</v>
      </c>
      <c r="I728" s="9">
        <v>4286511.77</v>
      </c>
      <c r="J728" s="9">
        <v>0.0</v>
      </c>
      <c r="K728" s="9">
        <v>0.0</v>
      </c>
      <c r="L728" s="9" t="s">
        <v>69</v>
      </c>
      <c r="M728" s="9" t="s">
        <v>55</v>
      </c>
      <c r="N728" s="9">
        <v>3804557.51</v>
      </c>
      <c r="O728" s="9">
        <v>3414722.26</v>
      </c>
      <c r="P728" s="9">
        <v>304564.0</v>
      </c>
      <c r="Q728" s="9">
        <v>304364.0</v>
      </c>
      <c r="R728" s="9" t="s">
        <v>60</v>
      </c>
      <c r="S728" s="9" t="s">
        <v>57</v>
      </c>
      <c r="T728" s="9" t="s">
        <v>61</v>
      </c>
      <c r="V728" s="9">
        <v>3823867.77</v>
      </c>
      <c r="W728" s="9">
        <v>336727.0</v>
      </c>
      <c r="X728" s="9">
        <v>0.0</v>
      </c>
    </row>
    <row r="729" ht="15.75" customHeight="1">
      <c r="A729" s="9">
        <v>2073619.0</v>
      </c>
      <c r="B729" s="9">
        <v>5494310.0</v>
      </c>
      <c r="C729" s="9">
        <v>38112.0</v>
      </c>
      <c r="D729" s="9" t="s">
        <v>52</v>
      </c>
      <c r="E729" s="9" t="s">
        <v>53</v>
      </c>
      <c r="F729" s="9">
        <v>83143.0</v>
      </c>
      <c r="G729" s="9">
        <v>9165008.0</v>
      </c>
      <c r="H729" s="9">
        <v>1.0E7</v>
      </c>
      <c r="I729" s="9">
        <v>1.011049035E7</v>
      </c>
      <c r="J729" s="9">
        <v>136601.91</v>
      </c>
      <c r="K729" s="9">
        <v>136602.0</v>
      </c>
      <c r="L729" s="9" t="s">
        <v>69</v>
      </c>
      <c r="M729" s="9" t="s">
        <v>74</v>
      </c>
      <c r="N729" s="9">
        <v>372408.0</v>
      </c>
      <c r="O729" s="9">
        <v>372408.0</v>
      </c>
      <c r="R729" s="9" t="s">
        <v>85</v>
      </c>
      <c r="S729" s="9" t="s">
        <v>67</v>
      </c>
      <c r="T729" s="9" t="s">
        <v>86</v>
      </c>
    </row>
    <row r="730" ht="15.75" customHeight="1">
      <c r="A730" s="9">
        <v>2073692.0</v>
      </c>
      <c r="B730" s="9">
        <v>2702161.5</v>
      </c>
      <c r="C730" s="9">
        <v>47181.0</v>
      </c>
      <c r="D730" s="9" t="s">
        <v>52</v>
      </c>
      <c r="E730" s="9" t="s">
        <v>53</v>
      </c>
      <c r="F730" s="9">
        <v>83462.0</v>
      </c>
      <c r="G730" s="9">
        <v>2.376088476E7</v>
      </c>
      <c r="H730" s="9">
        <v>2.608282078E7</v>
      </c>
      <c r="I730" s="9">
        <v>2.315386623E7</v>
      </c>
      <c r="J730" s="9">
        <v>4714746.62</v>
      </c>
      <c r="K730" s="9">
        <v>5803057.0</v>
      </c>
      <c r="L730" s="9" t="s">
        <v>59</v>
      </c>
      <c r="M730" s="9" t="s">
        <v>55</v>
      </c>
      <c r="N730" s="9">
        <v>2.312848791E7</v>
      </c>
      <c r="O730" s="9">
        <v>2.15604548E7</v>
      </c>
      <c r="P730" s="9">
        <v>1133492.96</v>
      </c>
      <c r="Q730" s="9">
        <v>1056645.95</v>
      </c>
      <c r="R730" s="9" t="s">
        <v>98</v>
      </c>
      <c r="S730" s="9" t="s">
        <v>82</v>
      </c>
      <c r="T730" s="9" t="s">
        <v>99</v>
      </c>
    </row>
    <row r="731" ht="15.75" customHeight="1">
      <c r="A731" s="9">
        <v>2074957.0</v>
      </c>
      <c r="B731" s="9">
        <v>95913.0</v>
      </c>
      <c r="C731" s="9">
        <v>31150.0</v>
      </c>
      <c r="D731" s="9" t="s">
        <v>52</v>
      </c>
      <c r="E731" s="9" t="s">
        <v>53</v>
      </c>
      <c r="F731" s="9">
        <v>86558.0</v>
      </c>
      <c r="G731" s="9">
        <v>95913.0</v>
      </c>
      <c r="H731" s="9">
        <v>95913.0</v>
      </c>
      <c r="I731" s="9">
        <v>2535.0</v>
      </c>
      <c r="J731" s="9">
        <v>0.0</v>
      </c>
      <c r="K731" s="9">
        <v>0.0</v>
      </c>
      <c r="L731" s="9" t="s">
        <v>69</v>
      </c>
      <c r="M731" s="9" t="s">
        <v>55</v>
      </c>
      <c r="R731" s="9" t="s">
        <v>60</v>
      </c>
      <c r="S731" s="9" t="s">
        <v>57</v>
      </c>
      <c r="T731" s="9" t="s">
        <v>61</v>
      </c>
      <c r="V731" s="9">
        <v>99946.07</v>
      </c>
      <c r="W731" s="9">
        <v>0.0</v>
      </c>
      <c r="X731" s="9">
        <v>0.0</v>
      </c>
    </row>
    <row r="732" ht="15.75" customHeight="1">
      <c r="A732" s="9">
        <v>2074996.0</v>
      </c>
      <c r="B732" s="9">
        <v>5842481.0</v>
      </c>
      <c r="C732" s="9">
        <v>29930.0</v>
      </c>
      <c r="D732" s="9" t="s">
        <v>52</v>
      </c>
      <c r="E732" s="9" t="s">
        <v>53</v>
      </c>
      <c r="F732" s="9">
        <v>86645.0</v>
      </c>
      <c r="G732" s="9">
        <v>5842481.0</v>
      </c>
      <c r="H732" s="9">
        <v>5842481.0</v>
      </c>
      <c r="I732" s="9">
        <v>0.0</v>
      </c>
      <c r="J732" s="9">
        <v>0.0</v>
      </c>
      <c r="K732" s="9">
        <v>0.0</v>
      </c>
      <c r="L732" s="9" t="s">
        <v>69</v>
      </c>
      <c r="M732" s="9" t="s">
        <v>55</v>
      </c>
      <c r="N732" s="9">
        <v>5871039.22</v>
      </c>
      <c r="O732" s="9">
        <v>6165000.0</v>
      </c>
      <c r="P732" s="9">
        <v>70000.0</v>
      </c>
      <c r="Q732" s="9">
        <v>70000.0</v>
      </c>
      <c r="R732" s="9" t="s">
        <v>60</v>
      </c>
      <c r="S732" s="9" t="s">
        <v>57</v>
      </c>
      <c r="T732" s="9" t="s">
        <v>61</v>
      </c>
      <c r="V732" s="9">
        <v>5830980.8</v>
      </c>
      <c r="W732" s="9">
        <v>70000.0</v>
      </c>
      <c r="X732" s="9">
        <v>0.0</v>
      </c>
    </row>
    <row r="733" ht="15.75" customHeight="1">
      <c r="A733" s="9">
        <v>2075132.0</v>
      </c>
      <c r="B733" s="9">
        <v>409832.0</v>
      </c>
      <c r="C733" s="9">
        <v>29731.0</v>
      </c>
      <c r="D733" s="9" t="s">
        <v>52</v>
      </c>
      <c r="E733" s="9" t="s">
        <v>53</v>
      </c>
      <c r="F733" s="9">
        <v>87154.0</v>
      </c>
      <c r="G733" s="9">
        <v>409832.0</v>
      </c>
      <c r="H733" s="9">
        <v>409832.0</v>
      </c>
      <c r="I733" s="9">
        <v>164838.2</v>
      </c>
      <c r="J733" s="9">
        <v>0.0</v>
      </c>
      <c r="K733" s="9">
        <v>0.0</v>
      </c>
      <c r="L733" s="9" t="s">
        <v>59</v>
      </c>
      <c r="M733" s="9" t="s">
        <v>65</v>
      </c>
      <c r="N733" s="9">
        <v>12295.0</v>
      </c>
      <c r="O733" s="9">
        <v>12295.0</v>
      </c>
      <c r="R733" s="9" t="s">
        <v>92</v>
      </c>
      <c r="S733" s="9" t="s">
        <v>57</v>
      </c>
      <c r="T733" s="9" t="s">
        <v>93</v>
      </c>
    </row>
    <row r="734" ht="15.75" customHeight="1">
      <c r="A734" s="9">
        <v>2075589.0</v>
      </c>
      <c r="B734" s="9">
        <v>695713.0</v>
      </c>
      <c r="C734" s="9">
        <v>30944.0</v>
      </c>
      <c r="D734" s="9" t="s">
        <v>52</v>
      </c>
      <c r="E734" s="9" t="s">
        <v>53</v>
      </c>
      <c r="F734" s="9">
        <v>88336.0</v>
      </c>
      <c r="G734" s="9">
        <v>853832.99</v>
      </c>
      <c r="H734" s="9">
        <v>853832.99</v>
      </c>
      <c r="I734" s="9">
        <v>1152287.88</v>
      </c>
      <c r="J734" s="9">
        <v>0.0</v>
      </c>
      <c r="K734" s="9">
        <v>0.0</v>
      </c>
      <c r="L734" s="9" t="s">
        <v>59</v>
      </c>
      <c r="M734" s="9" t="s">
        <v>55</v>
      </c>
      <c r="N734" s="9">
        <v>800736.23</v>
      </c>
      <c r="O734" s="9">
        <v>800736.23</v>
      </c>
      <c r="P734" s="9">
        <v>800736.23</v>
      </c>
      <c r="Q734" s="9">
        <v>20000.0</v>
      </c>
      <c r="R734" s="9" t="s">
        <v>60</v>
      </c>
      <c r="S734" s="9" t="s">
        <v>57</v>
      </c>
      <c r="T734" s="9" t="s">
        <v>61</v>
      </c>
      <c r="V734" s="9">
        <v>951855.17</v>
      </c>
      <c r="W734" s="9">
        <v>0.0</v>
      </c>
      <c r="X734" s="9">
        <v>0.0</v>
      </c>
    </row>
    <row r="735" ht="15.75" customHeight="1">
      <c r="A735" s="9">
        <v>2075900.0</v>
      </c>
      <c r="B735" s="9">
        <v>1599003.0</v>
      </c>
      <c r="C735" s="9">
        <v>30465.0</v>
      </c>
      <c r="D735" s="9" t="s">
        <v>52</v>
      </c>
      <c r="E735" s="9" t="s">
        <v>53</v>
      </c>
      <c r="F735" s="9">
        <v>89432.0</v>
      </c>
      <c r="G735" s="9">
        <v>1635886.34</v>
      </c>
      <c r="H735" s="9">
        <v>1553598.18</v>
      </c>
      <c r="I735" s="9">
        <v>1607244.51</v>
      </c>
      <c r="J735" s="9">
        <v>0.0</v>
      </c>
      <c r="K735" s="9">
        <v>0.0</v>
      </c>
      <c r="L735" s="9" t="s">
        <v>69</v>
      </c>
      <c r="M735" s="9" t="s">
        <v>55</v>
      </c>
      <c r="N735" s="9">
        <v>1553598.34</v>
      </c>
      <c r="O735" s="9">
        <v>1553598.34</v>
      </c>
      <c r="P735" s="9">
        <v>54858.7</v>
      </c>
      <c r="Q735" s="9">
        <v>54858.7</v>
      </c>
      <c r="R735" s="9" t="s">
        <v>94</v>
      </c>
      <c r="S735" s="9" t="s">
        <v>57</v>
      </c>
      <c r="T735" s="9" t="s">
        <v>95</v>
      </c>
    </row>
    <row r="736" ht="15.75" customHeight="1">
      <c r="A736" s="9">
        <v>2076561.0</v>
      </c>
      <c r="B736" s="9">
        <v>5988977.0</v>
      </c>
      <c r="C736" s="9">
        <v>30181.0</v>
      </c>
      <c r="D736" s="9" t="s">
        <v>52</v>
      </c>
      <c r="E736" s="9" t="s">
        <v>53</v>
      </c>
      <c r="F736" s="9">
        <v>91184.0</v>
      </c>
      <c r="G736" s="9">
        <v>7684830.0</v>
      </c>
      <c r="H736" s="9">
        <v>7684830.0</v>
      </c>
      <c r="I736" s="9">
        <v>7405914.59</v>
      </c>
      <c r="J736" s="9">
        <v>0.0</v>
      </c>
      <c r="K736" s="9">
        <v>0.0</v>
      </c>
      <c r="L736" s="9" t="s">
        <v>59</v>
      </c>
      <c r="M736" s="9" t="s">
        <v>55</v>
      </c>
      <c r="N736" s="9">
        <v>5507683.05</v>
      </c>
      <c r="O736" s="9">
        <v>5507683.05</v>
      </c>
      <c r="P736" s="9">
        <v>275384.15</v>
      </c>
      <c r="Q736" s="9">
        <v>275384.15</v>
      </c>
      <c r="R736" s="9" t="s">
        <v>72</v>
      </c>
      <c r="S736" s="9" t="s">
        <v>57</v>
      </c>
      <c r="T736" s="9" t="s">
        <v>73</v>
      </c>
      <c r="V736" s="9">
        <v>5507683.06</v>
      </c>
      <c r="W736" s="9">
        <v>275384.15</v>
      </c>
      <c r="X736" s="9">
        <v>730000.0</v>
      </c>
    </row>
    <row r="737" ht="15.75" customHeight="1">
      <c r="A737" s="9">
        <v>2077438.0</v>
      </c>
      <c r="B737" s="9">
        <v>2686580.0</v>
      </c>
      <c r="C737" s="9">
        <v>29948.0</v>
      </c>
      <c r="D737" s="9" t="s">
        <v>52</v>
      </c>
      <c r="E737" s="9" t="s">
        <v>53</v>
      </c>
      <c r="F737" s="9">
        <v>93995.0</v>
      </c>
      <c r="G737" s="9">
        <v>2861224.28</v>
      </c>
      <c r="H737" s="9">
        <v>2861224.28</v>
      </c>
      <c r="I737" s="9">
        <v>2846367.28</v>
      </c>
      <c r="J737" s="9">
        <v>0.0</v>
      </c>
      <c r="K737" s="9">
        <v>0.0</v>
      </c>
      <c r="L737" s="9" t="s">
        <v>59</v>
      </c>
      <c r="M737" s="9" t="s">
        <v>55</v>
      </c>
      <c r="N737" s="9">
        <v>2413364.58</v>
      </c>
      <c r="O737" s="9">
        <v>2654499.93</v>
      </c>
      <c r="P737" s="9">
        <v>2413364.58</v>
      </c>
      <c r="Q737" s="9">
        <v>80595.0</v>
      </c>
      <c r="R737" s="9" t="s">
        <v>60</v>
      </c>
      <c r="S737" s="9" t="s">
        <v>57</v>
      </c>
      <c r="T737" s="9" t="s">
        <v>61</v>
      </c>
      <c r="V737" s="9">
        <v>2654499.93</v>
      </c>
      <c r="W737" s="9">
        <v>0.0</v>
      </c>
      <c r="X737" s="9">
        <v>0.0</v>
      </c>
    </row>
    <row r="738" ht="15.75" customHeight="1">
      <c r="A738" s="9">
        <v>2077761.0</v>
      </c>
      <c r="B738" s="9">
        <v>5622936.0</v>
      </c>
      <c r="C738" s="9">
        <v>30237.0</v>
      </c>
      <c r="D738" s="9" t="s">
        <v>52</v>
      </c>
      <c r="E738" s="9" t="s">
        <v>53</v>
      </c>
      <c r="F738" s="9">
        <v>95632.0</v>
      </c>
      <c r="G738" s="9">
        <v>5789171.33</v>
      </c>
      <c r="H738" s="9">
        <v>5789171.33</v>
      </c>
      <c r="I738" s="9">
        <v>5698000.0</v>
      </c>
      <c r="J738" s="9">
        <v>0.0</v>
      </c>
      <c r="K738" s="9">
        <v>0.0</v>
      </c>
      <c r="L738" s="9" t="s">
        <v>59</v>
      </c>
      <c r="M738" s="9" t="s">
        <v>55</v>
      </c>
      <c r="N738" s="9">
        <v>6087591.14</v>
      </c>
      <c r="O738" s="9">
        <v>5192357.15</v>
      </c>
      <c r="P738" s="9">
        <v>405839.41</v>
      </c>
      <c r="Q738" s="9">
        <v>341041.52</v>
      </c>
      <c r="R738" s="9" t="s">
        <v>77</v>
      </c>
      <c r="S738" s="9" t="s">
        <v>78</v>
      </c>
      <c r="T738" s="9" t="s">
        <v>79</v>
      </c>
      <c r="U738" s="9" t="s">
        <v>80</v>
      </c>
    </row>
    <row r="739" ht="15.75" customHeight="1">
      <c r="A739" s="9">
        <v>2078297.0</v>
      </c>
      <c r="B739" s="9">
        <v>1847577.0</v>
      </c>
      <c r="C739" s="9">
        <v>31289.0</v>
      </c>
      <c r="D739" s="9" t="s">
        <v>52</v>
      </c>
      <c r="E739" s="9" t="s">
        <v>53</v>
      </c>
      <c r="F739" s="9">
        <v>10519.0</v>
      </c>
      <c r="G739" s="9">
        <v>1847577.0</v>
      </c>
      <c r="H739" s="9">
        <v>1847577.0</v>
      </c>
      <c r="I739" s="9">
        <v>2336699.06</v>
      </c>
      <c r="J739" s="9">
        <v>0.0</v>
      </c>
      <c r="K739" s="9">
        <v>0.0</v>
      </c>
      <c r="L739" s="9" t="s">
        <v>59</v>
      </c>
      <c r="M739" s="9" t="s">
        <v>55</v>
      </c>
      <c r="R739" s="9" t="s">
        <v>60</v>
      </c>
      <c r="S739" s="9" t="s">
        <v>57</v>
      </c>
      <c r="T739" s="9" t="s">
        <v>61</v>
      </c>
      <c r="V739" s="9">
        <v>2267300.85</v>
      </c>
      <c r="W739" s="9">
        <v>0.0</v>
      </c>
      <c r="X739" s="9">
        <v>0.0</v>
      </c>
    </row>
    <row r="740" ht="15.75" customHeight="1">
      <c r="A740" s="9">
        <v>2079199.0</v>
      </c>
      <c r="B740" s="9">
        <v>5655344.0</v>
      </c>
      <c r="C740" s="9">
        <v>32259.0</v>
      </c>
      <c r="D740" s="9" t="s">
        <v>52</v>
      </c>
      <c r="E740" s="9" t="s">
        <v>53</v>
      </c>
      <c r="F740" s="9">
        <v>66206.0</v>
      </c>
      <c r="G740" s="9">
        <v>8086425.0</v>
      </c>
      <c r="H740" s="9">
        <v>8439175.75</v>
      </c>
      <c r="I740" s="9">
        <v>7876092.62</v>
      </c>
      <c r="J740" s="9">
        <v>19000.0</v>
      </c>
      <c r="K740" s="9">
        <v>400000.0</v>
      </c>
      <c r="L740" s="9" t="s">
        <v>59</v>
      </c>
      <c r="M740" s="9" t="s">
        <v>55</v>
      </c>
      <c r="N740" s="9">
        <v>7592014.86</v>
      </c>
      <c r="O740" s="9">
        <v>7592014.86</v>
      </c>
      <c r="P740" s="9">
        <v>300937.23</v>
      </c>
      <c r="Q740" s="9">
        <v>300000.0</v>
      </c>
      <c r="R740" s="9" t="s">
        <v>96</v>
      </c>
      <c r="S740" s="9" t="s">
        <v>78</v>
      </c>
      <c r="T740" s="9" t="s">
        <v>79</v>
      </c>
      <c r="U740" s="9" t="s">
        <v>97</v>
      </c>
    </row>
    <row r="741" ht="15.75" customHeight="1">
      <c r="A741" s="9">
        <v>2084747.0</v>
      </c>
      <c r="B741" s="9">
        <v>2451640.0</v>
      </c>
      <c r="C741" s="9">
        <v>30450.0</v>
      </c>
      <c r="D741" s="9" t="s">
        <v>52</v>
      </c>
      <c r="E741" s="9" t="s">
        <v>53</v>
      </c>
      <c r="F741" s="9">
        <v>91632.0</v>
      </c>
      <c r="G741" s="9">
        <v>2451640.0</v>
      </c>
      <c r="H741" s="9">
        <v>2451640.0</v>
      </c>
      <c r="I741" s="9">
        <v>2438732.6</v>
      </c>
      <c r="J741" s="9">
        <v>0.0</v>
      </c>
      <c r="K741" s="9">
        <v>0.0</v>
      </c>
      <c r="L741" s="9" t="s">
        <v>69</v>
      </c>
      <c r="M741" s="9" t="s">
        <v>55</v>
      </c>
      <c r="N741" s="9">
        <v>2300490.8</v>
      </c>
      <c r="O741" s="9">
        <v>2300490.8</v>
      </c>
      <c r="P741" s="9">
        <v>71149.2</v>
      </c>
      <c r="Q741" s="9">
        <v>71149.2</v>
      </c>
      <c r="R741" s="9" t="s">
        <v>56</v>
      </c>
      <c r="S741" s="9" t="s">
        <v>57</v>
      </c>
      <c r="T741" s="9" t="s">
        <v>58</v>
      </c>
      <c r="V741" s="9">
        <v>2300490.8</v>
      </c>
      <c r="W741" s="9">
        <v>0.0</v>
      </c>
      <c r="X741" s="9">
        <v>0.0</v>
      </c>
    </row>
    <row r="742" ht="15.75" customHeight="1">
      <c r="A742" s="9">
        <v>2084815.0</v>
      </c>
      <c r="B742" s="9">
        <v>1.2978296E8</v>
      </c>
      <c r="C742" s="9">
        <v>40197.0</v>
      </c>
      <c r="D742" s="9" t="s">
        <v>52</v>
      </c>
      <c r="E742" s="9" t="s">
        <v>53</v>
      </c>
      <c r="F742" s="9">
        <v>74176.0</v>
      </c>
      <c r="G742" s="9">
        <v>2.14800802E8</v>
      </c>
      <c r="H742" s="9">
        <v>7.0625418938E8</v>
      </c>
      <c r="I742" s="9">
        <v>2.3973295396E8</v>
      </c>
      <c r="J742" s="9">
        <v>5.440933053E7</v>
      </c>
      <c r="K742" s="9">
        <v>6.9666959E7</v>
      </c>
      <c r="L742" s="9" t="s">
        <v>59</v>
      </c>
      <c r="M742" s="9" t="s">
        <v>62</v>
      </c>
      <c r="R742" s="9" t="s">
        <v>63</v>
      </c>
      <c r="S742" s="9" t="s">
        <v>63</v>
      </c>
    </row>
    <row r="743" ht="15.75" customHeight="1">
      <c r="A743" s="9">
        <v>2085260.0</v>
      </c>
      <c r="B743" s="9">
        <v>5925980.0</v>
      </c>
      <c r="C743" s="9">
        <v>37494.0</v>
      </c>
      <c r="D743" s="9" t="s">
        <v>52</v>
      </c>
      <c r="E743" s="9" t="s">
        <v>53</v>
      </c>
      <c r="F743" s="9">
        <v>86303.0</v>
      </c>
      <c r="G743" s="9">
        <v>7108555.17</v>
      </c>
      <c r="H743" s="9">
        <v>7108555.17</v>
      </c>
      <c r="I743" s="9">
        <v>7221687.69</v>
      </c>
      <c r="J743" s="9">
        <v>0.0</v>
      </c>
      <c r="K743" s="9">
        <v>0.0</v>
      </c>
      <c r="L743" s="9" t="s">
        <v>69</v>
      </c>
      <c r="M743" s="9" t="s">
        <v>55</v>
      </c>
      <c r="N743" s="9">
        <v>6770052.54</v>
      </c>
      <c r="O743" s="9">
        <v>6770052.53</v>
      </c>
      <c r="P743" s="9">
        <v>334000.0</v>
      </c>
      <c r="Q743" s="9">
        <v>334000.0</v>
      </c>
      <c r="R743" s="9" t="s">
        <v>60</v>
      </c>
      <c r="S743" s="9" t="s">
        <v>57</v>
      </c>
      <c r="T743" s="9" t="s">
        <v>61</v>
      </c>
      <c r="V743" s="9">
        <v>5778659.79</v>
      </c>
      <c r="W743" s="9">
        <v>334000.0</v>
      </c>
      <c r="X743" s="9">
        <v>0.0</v>
      </c>
    </row>
    <row r="744" ht="15.75" customHeight="1">
      <c r="A744" s="9">
        <v>2085792.0</v>
      </c>
      <c r="B744" s="9">
        <v>1971315.0</v>
      </c>
      <c r="C744" s="9">
        <v>30697.0</v>
      </c>
      <c r="D744" s="9" t="s">
        <v>52</v>
      </c>
      <c r="E744" s="9" t="s">
        <v>53</v>
      </c>
      <c r="F744" s="9">
        <v>36932.0</v>
      </c>
      <c r="G744" s="9">
        <v>1971315.0</v>
      </c>
      <c r="H744" s="9">
        <v>1971315.0</v>
      </c>
      <c r="I744" s="9">
        <v>279157.52</v>
      </c>
      <c r="J744" s="9">
        <v>0.0</v>
      </c>
      <c r="K744" s="9">
        <v>0.0</v>
      </c>
      <c r="L744" s="9" t="s">
        <v>59</v>
      </c>
      <c r="M744" s="9" t="s">
        <v>55</v>
      </c>
      <c r="N744" s="9">
        <v>1254000.0</v>
      </c>
      <c r="O744" s="9">
        <v>1128600.0</v>
      </c>
      <c r="P744" s="9">
        <v>32600.0</v>
      </c>
      <c r="Q744" s="9">
        <v>32600.0</v>
      </c>
      <c r="R744" s="9" t="s">
        <v>60</v>
      </c>
      <c r="S744" s="9" t="s">
        <v>57</v>
      </c>
      <c r="T744" s="9" t="s">
        <v>61</v>
      </c>
      <c r="V744" s="9">
        <v>1128600.0</v>
      </c>
      <c r="W744" s="9">
        <v>0.0</v>
      </c>
      <c r="X744" s="9">
        <v>0.0</v>
      </c>
    </row>
    <row r="745" ht="15.75" customHeight="1">
      <c r="A745" s="9">
        <v>2086798.0</v>
      </c>
      <c r="B745" s="9">
        <v>1773754.0</v>
      </c>
      <c r="C745" s="9">
        <v>30775.0</v>
      </c>
      <c r="D745" s="9" t="s">
        <v>52</v>
      </c>
      <c r="E745" s="9" t="s">
        <v>53</v>
      </c>
      <c r="F745" s="9">
        <v>66087.0</v>
      </c>
      <c r="G745" s="9">
        <v>1773754.0</v>
      </c>
      <c r="H745" s="9">
        <v>1773754.0</v>
      </c>
      <c r="I745" s="9">
        <v>0.0</v>
      </c>
      <c r="J745" s="9">
        <v>0.0</v>
      </c>
      <c r="K745" s="9">
        <v>0.0</v>
      </c>
      <c r="L745" s="9" t="s">
        <v>54</v>
      </c>
      <c r="M745" s="9" t="s">
        <v>55</v>
      </c>
      <c r="N745" s="9">
        <v>928177.11</v>
      </c>
      <c r="O745" s="9">
        <v>920317.07</v>
      </c>
      <c r="P745" s="9">
        <v>26000.0</v>
      </c>
      <c r="Q745" s="9">
        <v>26000.0</v>
      </c>
      <c r="R745" s="9" t="s">
        <v>60</v>
      </c>
      <c r="S745" s="9" t="s">
        <v>57</v>
      </c>
      <c r="T745" s="9" t="s">
        <v>61</v>
      </c>
      <c r="V745" s="9">
        <v>916094.95</v>
      </c>
      <c r="W745" s="9">
        <v>0.0</v>
      </c>
      <c r="X745" s="9">
        <v>0.0</v>
      </c>
    </row>
    <row r="746" ht="15.75" customHeight="1">
      <c r="A746" s="9">
        <v>2087287.0</v>
      </c>
      <c r="B746" s="9">
        <v>3659010.0</v>
      </c>
      <c r="C746" s="9">
        <v>30914.0</v>
      </c>
      <c r="D746" s="9" t="s">
        <v>52</v>
      </c>
      <c r="E746" s="9" t="s">
        <v>53</v>
      </c>
      <c r="F746" s="9">
        <v>103698.0</v>
      </c>
      <c r="G746" s="9">
        <v>3258614.06</v>
      </c>
      <c r="H746" s="9">
        <v>3258614.06</v>
      </c>
      <c r="I746" s="9">
        <v>3280772.76</v>
      </c>
      <c r="J746" s="9">
        <v>0.0</v>
      </c>
      <c r="K746" s="9">
        <v>0.0</v>
      </c>
      <c r="L746" s="9" t="s">
        <v>59</v>
      </c>
      <c r="M746" s="9" t="s">
        <v>55</v>
      </c>
      <c r="N746" s="9">
        <v>3084715.71</v>
      </c>
      <c r="O746" s="9">
        <v>3084715.71</v>
      </c>
      <c r="R746" s="9" t="s">
        <v>60</v>
      </c>
      <c r="S746" s="9" t="s">
        <v>57</v>
      </c>
      <c r="T746" s="9" t="s">
        <v>61</v>
      </c>
      <c r="V746" s="9">
        <v>3084716.0</v>
      </c>
      <c r="W746" s="9">
        <v>154235.0</v>
      </c>
      <c r="X746" s="9">
        <v>0.0</v>
      </c>
    </row>
    <row r="747" ht="15.75" customHeight="1">
      <c r="A747" s="9">
        <v>2087457.0</v>
      </c>
      <c r="B747" s="9">
        <v>5308730.0</v>
      </c>
      <c r="C747" s="9">
        <v>29703.0</v>
      </c>
      <c r="D747" s="9" t="s">
        <v>52</v>
      </c>
      <c r="E747" s="9" t="s">
        <v>53</v>
      </c>
      <c r="F747" s="9">
        <v>50588.0</v>
      </c>
      <c r="G747" s="9">
        <v>5835720.91</v>
      </c>
      <c r="H747" s="9">
        <v>5835720.91</v>
      </c>
      <c r="I747" s="9">
        <v>5983393.11</v>
      </c>
      <c r="J747" s="9">
        <v>0.0</v>
      </c>
      <c r="K747" s="9">
        <v>0.0</v>
      </c>
      <c r="L747" s="9" t="s">
        <v>59</v>
      </c>
      <c r="M747" s="9" t="s">
        <v>65</v>
      </c>
      <c r="N747" s="9">
        <v>189852.6</v>
      </c>
      <c r="O747" s="9">
        <v>189852.6</v>
      </c>
      <c r="R747" s="9" t="s">
        <v>60</v>
      </c>
      <c r="S747" s="9" t="s">
        <v>57</v>
      </c>
      <c r="T747" s="9" t="s">
        <v>61</v>
      </c>
      <c r="V747" s="9">
        <v>189852.6</v>
      </c>
      <c r="W747" s="9">
        <v>0.0</v>
      </c>
    </row>
    <row r="748" ht="15.75" customHeight="1">
      <c r="A748" s="9">
        <v>2087766.0</v>
      </c>
      <c r="B748" s="9">
        <v>9818233.0</v>
      </c>
      <c r="C748" s="9">
        <v>29702.0</v>
      </c>
      <c r="D748" s="9" t="s">
        <v>52</v>
      </c>
      <c r="E748" s="9" t="s">
        <v>53</v>
      </c>
      <c r="F748" s="9">
        <v>50444.0</v>
      </c>
      <c r="G748" s="9">
        <v>1.124792672E7</v>
      </c>
      <c r="H748" s="9">
        <v>1.124792672E7</v>
      </c>
      <c r="I748" s="9">
        <v>1.098159116E7</v>
      </c>
      <c r="J748" s="9">
        <v>0.0</v>
      </c>
      <c r="K748" s="9">
        <v>0.0</v>
      </c>
      <c r="L748" s="9" t="s">
        <v>59</v>
      </c>
      <c r="M748" s="9" t="s">
        <v>65</v>
      </c>
      <c r="N748" s="9">
        <v>107000.0</v>
      </c>
      <c r="O748" s="9">
        <v>96300.0</v>
      </c>
      <c r="R748" s="9" t="s">
        <v>60</v>
      </c>
      <c r="S748" s="9" t="s">
        <v>57</v>
      </c>
      <c r="T748" s="9" t="s">
        <v>61</v>
      </c>
    </row>
    <row r="749" ht="15.75" customHeight="1">
      <c r="A749" s="9">
        <v>2101916.0</v>
      </c>
      <c r="B749" s="9">
        <v>3333623.0</v>
      </c>
      <c r="C749" s="9">
        <v>30712.0</v>
      </c>
      <c r="D749" s="9" t="s">
        <v>52</v>
      </c>
      <c r="E749" s="9" t="s">
        <v>53</v>
      </c>
      <c r="F749" s="9">
        <v>104652.0</v>
      </c>
      <c r="G749" s="9">
        <v>3244099.2</v>
      </c>
      <c r="H749" s="9">
        <v>3244099.2</v>
      </c>
      <c r="I749" s="9">
        <v>3248332.07</v>
      </c>
      <c r="J749" s="9">
        <v>0.0</v>
      </c>
      <c r="K749" s="9">
        <v>0.0</v>
      </c>
      <c r="L749" s="9" t="s">
        <v>69</v>
      </c>
      <c r="M749" s="9" t="s">
        <v>55</v>
      </c>
      <c r="N749" s="9">
        <v>2949952.26</v>
      </c>
      <c r="O749" s="9">
        <v>2949952.26</v>
      </c>
      <c r="P749" s="9">
        <v>104146.94</v>
      </c>
      <c r="Q749" s="9">
        <v>104146.94</v>
      </c>
      <c r="R749" s="9" t="s">
        <v>60</v>
      </c>
      <c r="S749" s="9" t="s">
        <v>57</v>
      </c>
      <c r="T749" s="9" t="s">
        <v>61</v>
      </c>
      <c r="V749" s="9">
        <v>3133455.13</v>
      </c>
      <c r="W749" s="9">
        <v>104146.94</v>
      </c>
      <c r="X749" s="9">
        <v>0.0</v>
      </c>
    </row>
    <row r="750" ht="15.75" customHeight="1">
      <c r="A750" s="9">
        <v>2102084.0</v>
      </c>
      <c r="B750" s="9">
        <v>230463.0</v>
      </c>
      <c r="C750" s="9">
        <v>29889.0</v>
      </c>
      <c r="D750" s="9" t="s">
        <v>52</v>
      </c>
      <c r="E750" s="9" t="s">
        <v>53</v>
      </c>
      <c r="F750" s="9">
        <v>92758.0</v>
      </c>
      <c r="G750" s="9">
        <v>248403.85</v>
      </c>
      <c r="H750" s="9">
        <v>248403.85</v>
      </c>
      <c r="I750" s="9">
        <v>0.0</v>
      </c>
      <c r="J750" s="9">
        <v>0.0</v>
      </c>
      <c r="K750" s="9">
        <v>0.0</v>
      </c>
      <c r="L750" s="9" t="s">
        <v>54</v>
      </c>
      <c r="M750" s="9" t="s">
        <v>55</v>
      </c>
      <c r="N750" s="9">
        <v>312165.63</v>
      </c>
      <c r="O750" s="9">
        <v>264547.14</v>
      </c>
      <c r="R750" s="9" t="s">
        <v>60</v>
      </c>
      <c r="S750" s="9" t="s">
        <v>57</v>
      </c>
      <c r="T750" s="9" t="s">
        <v>61</v>
      </c>
      <c r="V750" s="9">
        <v>264547.0</v>
      </c>
      <c r="W750" s="9">
        <v>13500.0</v>
      </c>
      <c r="X750" s="9">
        <v>0.0</v>
      </c>
    </row>
    <row r="751" ht="15.75" customHeight="1">
      <c r="A751" s="9">
        <v>2103470.0</v>
      </c>
      <c r="B751" s="9">
        <v>3152082.0</v>
      </c>
      <c r="C751" s="9">
        <v>26613.0</v>
      </c>
      <c r="D751" s="9" t="s">
        <v>52</v>
      </c>
      <c r="E751" s="9" t="s">
        <v>53</v>
      </c>
      <c r="F751" s="9">
        <v>98939.0</v>
      </c>
      <c r="G751" s="9">
        <v>4056840.19</v>
      </c>
      <c r="H751" s="9">
        <v>4380486.07</v>
      </c>
      <c r="I751" s="9">
        <v>4016831.42</v>
      </c>
      <c r="J751" s="9">
        <v>0.0</v>
      </c>
      <c r="K751" s="9">
        <v>0.0</v>
      </c>
      <c r="L751" s="9" t="s">
        <v>59</v>
      </c>
      <c r="M751" s="9" t="s">
        <v>55</v>
      </c>
      <c r="N751" s="9">
        <v>3877263.52</v>
      </c>
      <c r="O751" s="9">
        <v>3877263.52</v>
      </c>
      <c r="P751" s="9">
        <v>168576.67</v>
      </c>
      <c r="Q751" s="9">
        <v>168576.67</v>
      </c>
      <c r="R751" s="9" t="s">
        <v>70</v>
      </c>
      <c r="S751" s="9" t="s">
        <v>57</v>
      </c>
      <c r="T751" s="9" t="s">
        <v>71</v>
      </c>
    </row>
    <row r="752" ht="15.75" customHeight="1">
      <c r="A752" s="9">
        <v>2104809.0</v>
      </c>
      <c r="B752" s="9">
        <v>4.6197049E7</v>
      </c>
      <c r="C752" s="9">
        <v>30440.0</v>
      </c>
      <c r="D752" s="9" t="s">
        <v>52</v>
      </c>
      <c r="E752" s="9" t="s">
        <v>53</v>
      </c>
      <c r="F752" s="9">
        <v>103113.0</v>
      </c>
      <c r="G752" s="9">
        <v>5.704629691E7</v>
      </c>
      <c r="H752" s="9">
        <v>5.704629691E7</v>
      </c>
      <c r="I752" s="9">
        <v>5.696528629E7</v>
      </c>
      <c r="J752" s="9">
        <v>0.0</v>
      </c>
      <c r="K752" s="9">
        <v>0.0</v>
      </c>
      <c r="L752" s="9" t="s">
        <v>59</v>
      </c>
      <c r="M752" s="9" t="s">
        <v>55</v>
      </c>
      <c r="N752" s="9">
        <v>5.32507165E7</v>
      </c>
      <c r="O752" s="9">
        <v>5.05937513E7</v>
      </c>
      <c r="P752" s="9">
        <v>1898918.24</v>
      </c>
      <c r="Q752" s="9">
        <v>1898918.24</v>
      </c>
      <c r="R752" s="9" t="s">
        <v>60</v>
      </c>
      <c r="S752" s="9" t="s">
        <v>57</v>
      </c>
      <c r="T752" s="9" t="s">
        <v>61</v>
      </c>
      <c r="V752" s="9">
        <v>5.480636809E7</v>
      </c>
      <c r="W752" s="9">
        <v>2158918.24</v>
      </c>
      <c r="X752" s="9">
        <v>0.0</v>
      </c>
    </row>
    <row r="753" ht="15.75" customHeight="1">
      <c r="A753" s="9">
        <v>2105027.0</v>
      </c>
      <c r="B753" s="9">
        <v>2049623.0</v>
      </c>
      <c r="C753" s="9">
        <v>31106.0</v>
      </c>
      <c r="D753" s="9" t="s">
        <v>52</v>
      </c>
      <c r="E753" s="9" t="s">
        <v>53</v>
      </c>
      <c r="F753" s="9">
        <v>124351.0</v>
      </c>
      <c r="G753" s="9">
        <v>2860273.1</v>
      </c>
      <c r="H753" s="9">
        <v>2860273.1</v>
      </c>
      <c r="I753" s="9">
        <v>2871457.1</v>
      </c>
      <c r="J753" s="9">
        <v>0.0</v>
      </c>
      <c r="K753" s="9">
        <v>0.0</v>
      </c>
      <c r="L753" s="9" t="s">
        <v>59</v>
      </c>
      <c r="M753" s="9" t="s">
        <v>55</v>
      </c>
      <c r="R753" s="9" t="s">
        <v>60</v>
      </c>
      <c r="S753" s="9" t="s">
        <v>57</v>
      </c>
      <c r="T753" s="9" t="s">
        <v>61</v>
      </c>
      <c r="V753" s="9">
        <v>2385395.16</v>
      </c>
      <c r="W753" s="9">
        <v>0.0</v>
      </c>
      <c r="X753" s="9">
        <v>0.0</v>
      </c>
    </row>
    <row r="754" ht="15.75" customHeight="1">
      <c r="A754" s="9">
        <v>2106360.0</v>
      </c>
      <c r="B754" s="9">
        <v>5739132.0</v>
      </c>
      <c r="C754" s="9">
        <v>37498.0</v>
      </c>
      <c r="D754" s="9" t="s">
        <v>52</v>
      </c>
      <c r="E754" s="9" t="s">
        <v>53</v>
      </c>
      <c r="F754" s="9">
        <v>129503.0</v>
      </c>
      <c r="G754" s="9">
        <v>6625667.84</v>
      </c>
      <c r="H754" s="9">
        <v>6625667.84</v>
      </c>
      <c r="I754" s="9">
        <v>6562928.18</v>
      </c>
      <c r="J754" s="9">
        <v>0.0</v>
      </c>
      <c r="K754" s="9">
        <v>0.0</v>
      </c>
      <c r="L754" s="9" t="s">
        <v>59</v>
      </c>
      <c r="M754" s="9" t="s">
        <v>55</v>
      </c>
      <c r="N754" s="9">
        <v>5776205.39</v>
      </c>
      <c r="O754" s="9">
        <v>5776205.39</v>
      </c>
      <c r="P754" s="9">
        <v>288810.0</v>
      </c>
      <c r="Q754" s="9">
        <v>259929.0</v>
      </c>
      <c r="R754" s="9" t="s">
        <v>56</v>
      </c>
      <c r="S754" s="9" t="s">
        <v>57</v>
      </c>
      <c r="T754" s="9" t="s">
        <v>58</v>
      </c>
      <c r="V754" s="9">
        <v>6363607.81</v>
      </c>
      <c r="W754" s="9">
        <v>0.0</v>
      </c>
      <c r="X754" s="9">
        <v>0.0</v>
      </c>
    </row>
    <row r="755" ht="15.75" customHeight="1">
      <c r="A755" s="9">
        <v>2106781.0</v>
      </c>
      <c r="B755" s="9">
        <v>1058323.0</v>
      </c>
      <c r="C755" s="9">
        <v>30551.0</v>
      </c>
      <c r="D755" s="9" t="s">
        <v>52</v>
      </c>
      <c r="E755" s="9" t="s">
        <v>53</v>
      </c>
      <c r="F755" s="9">
        <v>114087.0</v>
      </c>
      <c r="G755" s="9">
        <v>1141294.59</v>
      </c>
      <c r="H755" s="9">
        <v>1141294.59</v>
      </c>
      <c r="I755" s="9">
        <v>1149322.19</v>
      </c>
      <c r="J755" s="9">
        <v>0.0</v>
      </c>
      <c r="K755" s="9">
        <v>0.0</v>
      </c>
      <c r="L755" s="9" t="s">
        <v>59</v>
      </c>
      <c r="M755" s="9" t="s">
        <v>55</v>
      </c>
      <c r="N755" s="9">
        <v>1129094.19</v>
      </c>
      <c r="O755" s="9">
        <v>1129094.19</v>
      </c>
      <c r="P755" s="9">
        <v>1129094.19</v>
      </c>
      <c r="Q755" s="9">
        <v>0.0</v>
      </c>
      <c r="R755" s="9" t="s">
        <v>60</v>
      </c>
      <c r="S755" s="9" t="s">
        <v>57</v>
      </c>
      <c r="T755" s="9" t="s">
        <v>61</v>
      </c>
      <c r="V755" s="9">
        <v>1133748.81</v>
      </c>
      <c r="W755" s="9">
        <v>0.0</v>
      </c>
      <c r="X755" s="9">
        <v>0.0</v>
      </c>
    </row>
    <row r="756" ht="15.75" customHeight="1">
      <c r="A756" s="9">
        <v>2106813.0</v>
      </c>
      <c r="B756" s="9">
        <v>839142.0</v>
      </c>
      <c r="C756" s="9">
        <v>30060.0</v>
      </c>
      <c r="D756" s="9" t="s">
        <v>52</v>
      </c>
      <c r="E756" s="9" t="s">
        <v>53</v>
      </c>
      <c r="F756" s="9">
        <v>121502.0</v>
      </c>
      <c r="G756" s="9">
        <v>916671.03</v>
      </c>
      <c r="H756" s="9">
        <v>916671.03</v>
      </c>
      <c r="I756" s="9">
        <v>846249.96</v>
      </c>
      <c r="J756" s="9">
        <v>0.0</v>
      </c>
      <c r="K756" s="9">
        <v>0.0</v>
      </c>
      <c r="L756" s="9" t="s">
        <v>59</v>
      </c>
      <c r="M756" s="9" t="s">
        <v>55</v>
      </c>
      <c r="N756" s="9">
        <v>866514.55</v>
      </c>
      <c r="O756" s="9">
        <v>2097287.69</v>
      </c>
      <c r="R756" s="9" t="s">
        <v>60</v>
      </c>
      <c r="S756" s="9" t="s">
        <v>57</v>
      </c>
      <c r="T756" s="9" t="s">
        <v>61</v>
      </c>
      <c r="V756" s="9">
        <v>824675.55</v>
      </c>
      <c r="W756" s="9">
        <v>10700.0</v>
      </c>
      <c r="X756" s="9">
        <v>0.0</v>
      </c>
    </row>
    <row r="757" ht="15.75" customHeight="1">
      <c r="A757" s="9">
        <v>2107682.0</v>
      </c>
      <c r="B757" s="9">
        <v>1.2721706E7</v>
      </c>
      <c r="C757" s="9">
        <v>30299.0</v>
      </c>
      <c r="D757" s="9" t="s">
        <v>52</v>
      </c>
      <c r="E757" s="9" t="s">
        <v>53</v>
      </c>
      <c r="F757" s="9">
        <v>58994.0</v>
      </c>
      <c r="G757" s="9">
        <v>1.66020366E7</v>
      </c>
      <c r="H757" s="9">
        <v>1.66020366E7</v>
      </c>
      <c r="I757" s="9">
        <v>1.588289592E7</v>
      </c>
      <c r="J757" s="9">
        <v>0.0</v>
      </c>
      <c r="K757" s="9">
        <v>0.0</v>
      </c>
      <c r="L757" s="9" t="s">
        <v>59</v>
      </c>
      <c r="M757" s="9" t="s">
        <v>55</v>
      </c>
      <c r="N757" s="9">
        <v>1.476978375E7</v>
      </c>
      <c r="O757" s="9">
        <v>1.476978375E7</v>
      </c>
      <c r="P757" s="9">
        <v>443094.0</v>
      </c>
      <c r="Q757" s="9">
        <v>443094.0</v>
      </c>
      <c r="R757" s="9" t="s">
        <v>56</v>
      </c>
      <c r="S757" s="9" t="s">
        <v>57</v>
      </c>
      <c r="T757" s="9" t="s">
        <v>58</v>
      </c>
      <c r="V757" s="9">
        <v>1.525227914E7</v>
      </c>
      <c r="W757" s="9">
        <v>0.0</v>
      </c>
      <c r="X757" s="9">
        <v>0.0</v>
      </c>
    </row>
    <row r="758" ht="15.75" customHeight="1">
      <c r="A758" s="9">
        <v>2109704.0</v>
      </c>
      <c r="B758" s="9">
        <v>1.8063627E7</v>
      </c>
      <c r="C758" s="9">
        <v>30541.0</v>
      </c>
      <c r="D758" s="9" t="s">
        <v>52</v>
      </c>
      <c r="E758" s="9" t="s">
        <v>53</v>
      </c>
      <c r="F758" s="9">
        <v>113575.0</v>
      </c>
      <c r="G758" s="9">
        <v>1.740513962E7</v>
      </c>
      <c r="H758" s="9">
        <v>1.740513962E7</v>
      </c>
      <c r="I758" s="9">
        <v>2.027517529E7</v>
      </c>
      <c r="J758" s="9">
        <v>0.0</v>
      </c>
      <c r="K758" s="9">
        <v>0.0</v>
      </c>
      <c r="L758" s="9" t="s">
        <v>69</v>
      </c>
      <c r="M758" s="9" t="s">
        <v>55</v>
      </c>
      <c r="N758" s="9">
        <v>1.69216326E7</v>
      </c>
      <c r="O758" s="9">
        <v>1.69216326E7</v>
      </c>
      <c r="P758" s="9">
        <v>1.69216326E7</v>
      </c>
      <c r="Q758" s="9">
        <v>447800.0</v>
      </c>
      <c r="R758" s="9" t="s">
        <v>60</v>
      </c>
      <c r="S758" s="9" t="s">
        <v>57</v>
      </c>
      <c r="T758" s="9" t="s">
        <v>61</v>
      </c>
      <c r="V758" s="9">
        <v>1.972270812E7</v>
      </c>
      <c r="W758" s="9">
        <v>0.0</v>
      </c>
      <c r="X758" s="9">
        <v>0.0</v>
      </c>
    </row>
    <row r="759" ht="15.75" customHeight="1">
      <c r="A759" s="9">
        <v>2111443.0</v>
      </c>
      <c r="B759" s="9">
        <v>2266364.0</v>
      </c>
      <c r="C759" s="9">
        <v>29810.0</v>
      </c>
      <c r="D759" s="9" t="s">
        <v>52</v>
      </c>
      <c r="E759" s="9" t="s">
        <v>53</v>
      </c>
      <c r="F759" s="9">
        <v>134749.0</v>
      </c>
      <c r="G759" s="9">
        <v>2926004.94</v>
      </c>
      <c r="H759" s="9">
        <v>2926004.94</v>
      </c>
      <c r="I759" s="9">
        <v>61810.0</v>
      </c>
      <c r="J759" s="9">
        <v>0.0</v>
      </c>
      <c r="K759" s="9">
        <v>0.0</v>
      </c>
      <c r="L759" s="9" t="s">
        <v>69</v>
      </c>
      <c r="M759" s="9" t="s">
        <v>65</v>
      </c>
      <c r="N759" s="9">
        <v>0.0</v>
      </c>
      <c r="O759" s="9">
        <v>0.0</v>
      </c>
      <c r="R759" s="9" t="s">
        <v>92</v>
      </c>
      <c r="S759" s="9" t="s">
        <v>57</v>
      </c>
      <c r="T759" s="9" t="s">
        <v>93</v>
      </c>
    </row>
    <row r="760" ht="15.75" customHeight="1">
      <c r="A760" s="9">
        <v>2111444.0</v>
      </c>
      <c r="B760" s="9">
        <v>1120314.0</v>
      </c>
      <c r="C760" s="9">
        <v>29811.0</v>
      </c>
      <c r="D760" s="9" t="s">
        <v>52</v>
      </c>
      <c r="E760" s="9" t="s">
        <v>53</v>
      </c>
      <c r="F760" s="9">
        <v>139419.0</v>
      </c>
      <c r="G760" s="9">
        <v>1568321.65</v>
      </c>
      <c r="H760" s="9">
        <v>1568321.65</v>
      </c>
      <c r="I760" s="9">
        <v>48922.0</v>
      </c>
      <c r="J760" s="9">
        <v>0.0</v>
      </c>
      <c r="K760" s="9">
        <v>0.0</v>
      </c>
      <c r="L760" s="9" t="s">
        <v>59</v>
      </c>
      <c r="M760" s="9" t="s">
        <v>65</v>
      </c>
      <c r="N760" s="9">
        <v>0.0</v>
      </c>
      <c r="O760" s="9">
        <v>0.0</v>
      </c>
      <c r="R760" s="9" t="s">
        <v>92</v>
      </c>
      <c r="S760" s="9" t="s">
        <v>57</v>
      </c>
      <c r="T760" s="9" t="s">
        <v>93</v>
      </c>
    </row>
    <row r="761" ht="15.75" customHeight="1">
      <c r="A761" s="9">
        <v>2115923.0</v>
      </c>
      <c r="B761" s="9">
        <v>5277245.0</v>
      </c>
      <c r="C761" s="9">
        <v>26618.0</v>
      </c>
      <c r="D761" s="9" t="s">
        <v>52</v>
      </c>
      <c r="E761" s="9" t="s">
        <v>53</v>
      </c>
      <c r="F761" s="9">
        <v>158400.0</v>
      </c>
      <c r="G761" s="9">
        <v>6013050.29</v>
      </c>
      <c r="H761" s="9">
        <v>6013050.29</v>
      </c>
      <c r="I761" s="9">
        <v>6013050.0</v>
      </c>
      <c r="J761" s="9">
        <v>0.0</v>
      </c>
      <c r="K761" s="9">
        <v>0.0</v>
      </c>
      <c r="L761" s="9" t="s">
        <v>59</v>
      </c>
      <c r="M761" s="9" t="s">
        <v>55</v>
      </c>
      <c r="N761" s="9">
        <v>5731639.63</v>
      </c>
      <c r="O761" s="9">
        <v>5731639.63</v>
      </c>
      <c r="P761" s="9">
        <v>211187.9</v>
      </c>
      <c r="Q761" s="9">
        <v>211187.9</v>
      </c>
      <c r="R761" s="9" t="s">
        <v>60</v>
      </c>
      <c r="S761" s="9" t="s">
        <v>57</v>
      </c>
      <c r="T761" s="9" t="s">
        <v>61</v>
      </c>
      <c r="V761" s="9">
        <v>5734639.63</v>
      </c>
      <c r="W761" s="9">
        <v>211187.9</v>
      </c>
      <c r="X761" s="9">
        <v>0.0</v>
      </c>
    </row>
    <row r="762" ht="15.75" customHeight="1">
      <c r="A762" s="9">
        <v>2124193.0</v>
      </c>
      <c r="B762" s="9">
        <v>1.2427249E7</v>
      </c>
      <c r="C762" s="9">
        <v>30651.0</v>
      </c>
      <c r="D762" s="9" t="s">
        <v>52</v>
      </c>
      <c r="E762" s="9" t="s">
        <v>53</v>
      </c>
      <c r="F762" s="9">
        <v>23644.0</v>
      </c>
      <c r="G762" s="9">
        <v>1.471023605E7</v>
      </c>
      <c r="M762" s="9" t="s">
        <v>55</v>
      </c>
      <c r="N762" s="9">
        <v>1.336765995E7</v>
      </c>
      <c r="O762" s="9">
        <v>1.443692555E7</v>
      </c>
      <c r="P762" s="9">
        <v>273310.5</v>
      </c>
      <c r="Q762" s="9">
        <v>229672.68</v>
      </c>
      <c r="R762" s="9" t="s">
        <v>60</v>
      </c>
      <c r="S762" s="9" t="s">
        <v>57</v>
      </c>
      <c r="T762" s="9" t="s">
        <v>61</v>
      </c>
      <c r="V762" s="9">
        <v>1.802513641E7</v>
      </c>
      <c r="W762" s="9">
        <v>304313.13</v>
      </c>
      <c r="X762" s="9">
        <v>0.0</v>
      </c>
    </row>
    <row r="763" ht="15.75" customHeight="1">
      <c r="A763" s="9">
        <v>2124194.0</v>
      </c>
      <c r="B763" s="9">
        <v>5658773.0</v>
      </c>
      <c r="C763" s="9">
        <v>30301.0</v>
      </c>
      <c r="D763" s="9" t="s">
        <v>52</v>
      </c>
      <c r="E763" s="9" t="s">
        <v>53</v>
      </c>
      <c r="F763" s="9">
        <v>156016.0</v>
      </c>
      <c r="G763" s="9">
        <v>5626440.34</v>
      </c>
      <c r="H763" s="9">
        <v>5626440.34</v>
      </c>
      <c r="I763" s="9">
        <v>6046921.98</v>
      </c>
      <c r="J763" s="9">
        <v>0.0</v>
      </c>
      <c r="K763" s="9">
        <v>0.0</v>
      </c>
      <c r="L763" s="9" t="s">
        <v>69</v>
      </c>
      <c r="M763" s="9" t="s">
        <v>55</v>
      </c>
      <c r="N763" s="9">
        <v>5309379.25</v>
      </c>
      <c r="O763" s="9">
        <v>5309379.25</v>
      </c>
      <c r="P763" s="9">
        <v>199580.92</v>
      </c>
      <c r="Q763" s="9">
        <v>199580.92</v>
      </c>
      <c r="R763" s="9" t="s">
        <v>60</v>
      </c>
      <c r="S763" s="9" t="s">
        <v>57</v>
      </c>
      <c r="T763" s="9" t="s">
        <v>61</v>
      </c>
      <c r="V763" s="9">
        <v>5849379.25</v>
      </c>
      <c r="W763" s="9">
        <v>0.0</v>
      </c>
      <c r="X763" s="9">
        <v>0.0</v>
      </c>
    </row>
    <row r="764" ht="15.75" customHeight="1">
      <c r="A764" s="9">
        <v>2125180.0</v>
      </c>
      <c r="B764" s="9">
        <v>3802239.0</v>
      </c>
      <c r="C764" s="9">
        <v>33195.0</v>
      </c>
      <c r="D764" s="9" t="s">
        <v>52</v>
      </c>
      <c r="E764" s="9" t="s">
        <v>53</v>
      </c>
      <c r="F764" s="9">
        <v>117510.0</v>
      </c>
      <c r="G764" s="9">
        <v>4173293.6</v>
      </c>
      <c r="H764" s="9">
        <v>4173293.6</v>
      </c>
      <c r="I764" s="9">
        <v>4168131.72</v>
      </c>
      <c r="J764" s="9">
        <v>0.0</v>
      </c>
      <c r="K764" s="9">
        <v>0.0</v>
      </c>
      <c r="L764" s="9" t="s">
        <v>69</v>
      </c>
      <c r="M764" s="9" t="s">
        <v>62</v>
      </c>
      <c r="N764" s="9">
        <v>0.0</v>
      </c>
      <c r="O764" s="9">
        <v>3937069.43</v>
      </c>
      <c r="P764" s="9">
        <v>90000.0</v>
      </c>
      <c r="Q764" s="9">
        <v>90000.0</v>
      </c>
      <c r="R764" s="9" t="s">
        <v>60</v>
      </c>
      <c r="S764" s="9" t="s">
        <v>57</v>
      </c>
      <c r="T764" s="9" t="s">
        <v>61</v>
      </c>
      <c r="V764" s="9">
        <v>3937069.43</v>
      </c>
      <c r="W764" s="9">
        <v>177662.3</v>
      </c>
      <c r="X764" s="9">
        <v>0.0</v>
      </c>
    </row>
    <row r="765" ht="15.75" customHeight="1">
      <c r="A765" s="9">
        <v>2125480.0</v>
      </c>
      <c r="B765" s="9">
        <v>1035737.0</v>
      </c>
      <c r="C765" s="9">
        <v>29854.0</v>
      </c>
      <c r="D765" s="9" t="s">
        <v>52</v>
      </c>
      <c r="E765" s="9" t="s">
        <v>53</v>
      </c>
      <c r="F765" s="9">
        <v>29820.0</v>
      </c>
      <c r="G765" s="9">
        <v>1035737.0</v>
      </c>
      <c r="H765" s="9">
        <v>1035737.0</v>
      </c>
      <c r="I765" s="9">
        <v>0.0</v>
      </c>
      <c r="J765" s="9">
        <v>0.0</v>
      </c>
      <c r="K765" s="9">
        <v>0.0</v>
      </c>
      <c r="L765" s="9" t="s">
        <v>54</v>
      </c>
      <c r="M765" s="9" t="s">
        <v>55</v>
      </c>
      <c r="N765" s="9">
        <v>1038815.57</v>
      </c>
      <c r="O765" s="9">
        <v>1098419.46</v>
      </c>
      <c r="P765" s="9">
        <v>29042.0</v>
      </c>
      <c r="Q765" s="9">
        <v>29042.0</v>
      </c>
      <c r="R765" s="9" t="s">
        <v>75</v>
      </c>
      <c r="S765" s="9" t="s">
        <v>57</v>
      </c>
      <c r="T765" s="9" t="s">
        <v>76</v>
      </c>
    </row>
    <row r="766" ht="15.75" customHeight="1">
      <c r="A766" s="9">
        <v>2127870.0</v>
      </c>
      <c r="B766" s="9">
        <v>1172741.53</v>
      </c>
      <c r="C766" s="9">
        <v>30799.0</v>
      </c>
      <c r="D766" s="9" t="s">
        <v>52</v>
      </c>
      <c r="E766" s="9" t="s">
        <v>53</v>
      </c>
      <c r="F766" s="9">
        <v>128300.0</v>
      </c>
      <c r="G766" s="9">
        <v>1388116.5</v>
      </c>
      <c r="H766" s="9">
        <v>1388116.5</v>
      </c>
      <c r="I766" s="9">
        <v>1492637.09</v>
      </c>
      <c r="J766" s="9">
        <v>0.0</v>
      </c>
      <c r="K766" s="9">
        <v>0.0</v>
      </c>
      <c r="L766" s="9" t="s">
        <v>59</v>
      </c>
      <c r="M766" s="9" t="s">
        <v>55</v>
      </c>
      <c r="N766" s="9">
        <v>1318025.2</v>
      </c>
      <c r="O766" s="9">
        <v>1318025.2</v>
      </c>
      <c r="R766" s="9" t="s">
        <v>60</v>
      </c>
      <c r="S766" s="9" t="s">
        <v>57</v>
      </c>
      <c r="T766" s="9" t="s">
        <v>61</v>
      </c>
      <c r="V766" s="9">
        <v>1492065.03</v>
      </c>
      <c r="W766" s="9">
        <v>0.0</v>
      </c>
      <c r="X766" s="9">
        <v>0.0</v>
      </c>
    </row>
    <row r="767" ht="15.75" customHeight="1">
      <c r="A767" s="9">
        <v>2128523.0</v>
      </c>
      <c r="B767" s="9">
        <v>2055930.0</v>
      </c>
      <c r="C767" s="9">
        <v>30192.0</v>
      </c>
      <c r="D767" s="9" t="s">
        <v>52</v>
      </c>
      <c r="E767" s="9" t="s">
        <v>53</v>
      </c>
      <c r="F767" s="9">
        <v>145785.0</v>
      </c>
      <c r="G767" s="9">
        <v>2056565.86</v>
      </c>
      <c r="H767" s="9">
        <v>2056565.86</v>
      </c>
      <c r="I767" s="9">
        <v>2038717.0</v>
      </c>
      <c r="J767" s="9">
        <v>0.0</v>
      </c>
      <c r="K767" s="9">
        <v>0.0</v>
      </c>
      <c r="L767" s="9" t="s">
        <v>69</v>
      </c>
      <c r="M767" s="9" t="s">
        <v>55</v>
      </c>
      <c r="N767" s="9">
        <v>1926238.0</v>
      </c>
      <c r="O767" s="9">
        <v>1926238.0</v>
      </c>
      <c r="P767" s="9">
        <v>91229.0</v>
      </c>
      <c r="Q767" s="9">
        <v>91229.0</v>
      </c>
      <c r="R767" s="9" t="s">
        <v>60</v>
      </c>
      <c r="S767" s="9" t="s">
        <v>57</v>
      </c>
      <c r="T767" s="9" t="s">
        <v>61</v>
      </c>
      <c r="V767" s="9">
        <v>1926238.0</v>
      </c>
      <c r="W767" s="9">
        <v>91112.9</v>
      </c>
      <c r="X767" s="9">
        <v>0.0</v>
      </c>
    </row>
    <row r="768" ht="15.75" customHeight="1">
      <c r="A768" s="9">
        <v>2128524.0</v>
      </c>
      <c r="B768" s="9">
        <v>1254899.0</v>
      </c>
      <c r="C768" s="9">
        <v>30191.0</v>
      </c>
      <c r="D768" s="9" t="s">
        <v>52</v>
      </c>
      <c r="E768" s="9" t="s">
        <v>53</v>
      </c>
      <c r="F768" s="9">
        <v>145791.0</v>
      </c>
      <c r="G768" s="9">
        <v>1307962.37</v>
      </c>
      <c r="H768" s="9">
        <v>1307962.37</v>
      </c>
      <c r="I768" s="9">
        <v>1288286.99</v>
      </c>
      <c r="J768" s="9">
        <v>0.0</v>
      </c>
      <c r="K768" s="9">
        <v>0.0</v>
      </c>
      <c r="L768" s="9" t="s">
        <v>69</v>
      </c>
      <c r="M768" s="9" t="s">
        <v>55</v>
      </c>
      <c r="N768" s="9">
        <v>1209742.0</v>
      </c>
      <c r="O768" s="9">
        <v>1209741.99</v>
      </c>
      <c r="P768" s="9">
        <v>57295.0</v>
      </c>
      <c r="Q768" s="9">
        <v>57295.0</v>
      </c>
      <c r="R768" s="9" t="s">
        <v>60</v>
      </c>
      <c r="S768" s="9" t="s">
        <v>57</v>
      </c>
      <c r="T768" s="9" t="s">
        <v>61</v>
      </c>
      <c r="V768" s="9">
        <v>1209742.0</v>
      </c>
      <c r="W768" s="9">
        <v>57295.0</v>
      </c>
      <c r="X768" s="9">
        <v>0.0</v>
      </c>
    </row>
    <row r="769" ht="15.75" customHeight="1">
      <c r="A769" s="9">
        <v>2128841.0</v>
      </c>
      <c r="B769" s="9">
        <v>142894.0</v>
      </c>
      <c r="C769" s="9">
        <v>29858.0</v>
      </c>
      <c r="D769" s="9" t="s">
        <v>52</v>
      </c>
      <c r="E769" s="9" t="s">
        <v>53</v>
      </c>
      <c r="F769" s="9">
        <v>30257.0</v>
      </c>
      <c r="G769" s="9">
        <v>142894.0</v>
      </c>
      <c r="H769" s="9">
        <v>142894.0</v>
      </c>
      <c r="I769" s="9">
        <v>0.0</v>
      </c>
      <c r="J769" s="9">
        <v>0.0</v>
      </c>
      <c r="K769" s="9">
        <v>0.0</v>
      </c>
      <c r="L769" s="9" t="s">
        <v>54</v>
      </c>
      <c r="M769" s="9" t="s">
        <v>55</v>
      </c>
      <c r="N769" s="9">
        <v>177488.0</v>
      </c>
      <c r="O769" s="9">
        <v>159739.58</v>
      </c>
      <c r="P769" s="9">
        <v>6000.0</v>
      </c>
      <c r="Q769" s="9">
        <v>6000.0</v>
      </c>
      <c r="R769" s="9" t="s">
        <v>60</v>
      </c>
      <c r="S769" s="9" t="s">
        <v>57</v>
      </c>
      <c r="T769" s="9" t="s">
        <v>61</v>
      </c>
      <c r="V769" s="9">
        <v>168424.18</v>
      </c>
      <c r="W769" s="9">
        <v>0.0</v>
      </c>
      <c r="X769" s="9">
        <v>0.0</v>
      </c>
    </row>
    <row r="770" ht="15.75" customHeight="1">
      <c r="A770" s="9">
        <v>2128873.0</v>
      </c>
      <c r="B770" s="9">
        <v>1011648.0</v>
      </c>
      <c r="C770" s="9">
        <v>31176.0</v>
      </c>
      <c r="D770" s="9" t="s">
        <v>52</v>
      </c>
      <c r="E770" s="9" t="s">
        <v>53</v>
      </c>
      <c r="F770" s="9">
        <v>138364.0</v>
      </c>
      <c r="G770" s="9">
        <v>1145486.79</v>
      </c>
      <c r="H770" s="9">
        <v>1145486.79</v>
      </c>
      <c r="I770" s="9">
        <v>0.0</v>
      </c>
      <c r="J770" s="9">
        <v>0.0</v>
      </c>
      <c r="K770" s="9">
        <v>0.0</v>
      </c>
      <c r="L770" s="9" t="s">
        <v>54</v>
      </c>
      <c r="M770" s="9" t="s">
        <v>55</v>
      </c>
      <c r="P770" s="9">
        <v>60000.0</v>
      </c>
      <c r="Q770" s="9">
        <v>0.0</v>
      </c>
      <c r="R770" s="9" t="s">
        <v>56</v>
      </c>
      <c r="S770" s="9" t="s">
        <v>57</v>
      </c>
      <c r="T770" s="9" t="s">
        <v>58</v>
      </c>
      <c r="V770" s="9">
        <v>1011648.0</v>
      </c>
      <c r="W770" s="9">
        <v>0.0</v>
      </c>
      <c r="X770" s="9">
        <v>0.0</v>
      </c>
    </row>
    <row r="771" ht="15.75" customHeight="1">
      <c r="A771" s="9">
        <v>2074841.0</v>
      </c>
      <c r="B771" s="9">
        <v>6550612.0</v>
      </c>
      <c r="C771" s="9">
        <v>30543.0</v>
      </c>
      <c r="D771" s="9" t="s">
        <v>52</v>
      </c>
      <c r="E771" s="9" t="s">
        <v>53</v>
      </c>
      <c r="F771" s="9">
        <v>86202.0</v>
      </c>
      <c r="G771" s="9">
        <v>6550612.0</v>
      </c>
      <c r="H771" s="9">
        <v>6550612.0</v>
      </c>
      <c r="I771" s="9">
        <v>6455212.66</v>
      </c>
      <c r="J771" s="9">
        <v>0.0</v>
      </c>
      <c r="K771" s="9">
        <v>0.0</v>
      </c>
      <c r="L771" s="9" t="s">
        <v>59</v>
      </c>
      <c r="M771" s="9" t="s">
        <v>55</v>
      </c>
      <c r="N771" s="9">
        <v>5957994.15</v>
      </c>
      <c r="O771" s="9">
        <v>5928204.35</v>
      </c>
      <c r="P771" s="9">
        <v>476639.53</v>
      </c>
      <c r="Q771" s="9">
        <v>476639.53</v>
      </c>
      <c r="R771" s="9" t="s">
        <v>56</v>
      </c>
      <c r="S771" s="9" t="s">
        <v>57</v>
      </c>
      <c r="T771" s="9" t="s">
        <v>58</v>
      </c>
      <c r="V771" s="9">
        <v>5886463.42</v>
      </c>
      <c r="W771" s="9">
        <v>0.0</v>
      </c>
      <c r="X771" s="9">
        <v>0.0</v>
      </c>
    </row>
    <row r="772" ht="15.75" customHeight="1">
      <c r="A772" s="9">
        <v>2077417.0</v>
      </c>
      <c r="B772" s="9">
        <v>5499262.0</v>
      </c>
      <c r="C772" s="9">
        <v>39514.0</v>
      </c>
      <c r="D772" s="9" t="s">
        <v>52</v>
      </c>
      <c r="E772" s="9" t="s">
        <v>53</v>
      </c>
      <c r="F772" s="9">
        <v>93884.0</v>
      </c>
      <c r="G772" s="9">
        <v>8540472.0</v>
      </c>
      <c r="H772" s="9">
        <v>8494826.61</v>
      </c>
      <c r="I772" s="9">
        <v>8187533.59</v>
      </c>
      <c r="J772" s="9">
        <v>42000.0</v>
      </c>
      <c r="K772" s="9">
        <v>52000.0</v>
      </c>
      <c r="L772" s="9" t="s">
        <v>59</v>
      </c>
      <c r="M772" s="9" t="s">
        <v>62</v>
      </c>
      <c r="N772" s="9">
        <v>1895444.97</v>
      </c>
      <c r="O772" s="9">
        <v>1895444.97</v>
      </c>
      <c r="P772" s="9">
        <v>56863.35</v>
      </c>
      <c r="Q772" s="9">
        <v>56863.35</v>
      </c>
      <c r="R772" s="9" t="s">
        <v>96</v>
      </c>
      <c r="S772" s="9" t="s">
        <v>78</v>
      </c>
      <c r="T772" s="9" t="s">
        <v>79</v>
      </c>
      <c r="U772" s="9" t="s">
        <v>97</v>
      </c>
    </row>
    <row r="773" ht="15.75" customHeight="1">
      <c r="A773" s="9">
        <v>2078454.0</v>
      </c>
      <c r="B773" s="9">
        <v>3.6238985E7</v>
      </c>
      <c r="C773" s="9">
        <v>40454.0</v>
      </c>
      <c r="D773" s="9" t="s">
        <v>52</v>
      </c>
      <c r="E773" s="9" t="s">
        <v>53</v>
      </c>
      <c r="F773" s="9">
        <v>70941.0</v>
      </c>
      <c r="G773" s="9">
        <v>8.3541771E7</v>
      </c>
      <c r="H773" s="9">
        <v>8.017797911E7</v>
      </c>
      <c r="I773" s="9">
        <v>7.150216789E7</v>
      </c>
      <c r="J773" s="9">
        <v>850234.27</v>
      </c>
      <c r="K773" s="9">
        <v>1255000.0</v>
      </c>
      <c r="L773" s="9" t="s">
        <v>59</v>
      </c>
      <c r="M773" s="9" t="s">
        <v>62</v>
      </c>
      <c r="N773" s="9">
        <v>7152059.52</v>
      </c>
      <c r="O773" s="9">
        <v>7152059.52</v>
      </c>
      <c r="P773" s="9">
        <v>228584.38</v>
      </c>
      <c r="Q773" s="9">
        <v>228584.38</v>
      </c>
      <c r="R773" s="9" t="s">
        <v>94</v>
      </c>
      <c r="S773" s="9" t="s">
        <v>57</v>
      </c>
      <c r="T773" s="9" t="s">
        <v>95</v>
      </c>
    </row>
    <row r="774" ht="15.75" customHeight="1">
      <c r="A774" s="9">
        <v>2079989.0</v>
      </c>
      <c r="B774" s="9">
        <v>7944844.0</v>
      </c>
      <c r="C774" s="9">
        <v>38334.0</v>
      </c>
      <c r="D774" s="9" t="s">
        <v>52</v>
      </c>
      <c r="E774" s="9" t="s">
        <v>53</v>
      </c>
      <c r="F774" s="9">
        <v>77484.0</v>
      </c>
      <c r="G774" s="9">
        <v>1.3835688E7</v>
      </c>
      <c r="H774" s="9">
        <v>1.456772164E7</v>
      </c>
      <c r="I774" s="9">
        <v>1.437532623E7</v>
      </c>
      <c r="J774" s="9">
        <v>0.0</v>
      </c>
      <c r="K774" s="9">
        <v>0.0</v>
      </c>
      <c r="L774" s="9" t="s">
        <v>59</v>
      </c>
      <c r="M774" s="9" t="s">
        <v>62</v>
      </c>
      <c r="N774" s="9">
        <v>4662005.68</v>
      </c>
      <c r="O774" s="9">
        <v>4662005.68</v>
      </c>
      <c r="P774" s="9">
        <v>200000.0</v>
      </c>
      <c r="Q774" s="9">
        <v>200000.0</v>
      </c>
      <c r="R774" s="9" t="s">
        <v>60</v>
      </c>
      <c r="S774" s="9" t="s">
        <v>57</v>
      </c>
      <c r="T774" s="9" t="s">
        <v>61</v>
      </c>
      <c r="V774" s="9">
        <v>5176556.95</v>
      </c>
      <c r="W774" s="9">
        <v>0.0</v>
      </c>
      <c r="X774" s="9">
        <v>0.0</v>
      </c>
    </row>
    <row r="775" ht="15.75" customHeight="1">
      <c r="A775" s="9">
        <v>2081275.0</v>
      </c>
      <c r="B775" s="9">
        <v>4630233.0</v>
      </c>
      <c r="C775" s="9">
        <v>31971.0</v>
      </c>
      <c r="D775" s="9" t="s">
        <v>52</v>
      </c>
      <c r="E775" s="9" t="s">
        <v>53</v>
      </c>
      <c r="F775" s="9">
        <v>72041.0</v>
      </c>
      <c r="G775" s="9">
        <v>8053966.0</v>
      </c>
      <c r="H775" s="9">
        <v>8195559.02</v>
      </c>
      <c r="I775" s="9">
        <v>8191815.33</v>
      </c>
      <c r="J775" s="9">
        <v>0.0</v>
      </c>
      <c r="K775" s="9">
        <v>0.0</v>
      </c>
      <c r="L775" s="9" t="s">
        <v>59</v>
      </c>
      <c r="M775" s="9" t="s">
        <v>55</v>
      </c>
      <c r="N775" s="9">
        <v>7326110.6</v>
      </c>
      <c r="O775" s="9">
        <v>7326110.6</v>
      </c>
      <c r="P775" s="9">
        <v>365158.08</v>
      </c>
      <c r="Q775" s="9">
        <v>365158.08</v>
      </c>
      <c r="R775" s="9" t="s">
        <v>60</v>
      </c>
      <c r="S775" s="9" t="s">
        <v>57</v>
      </c>
      <c r="T775" s="9" t="s">
        <v>61</v>
      </c>
      <c r="V775" s="9">
        <v>7543157.79</v>
      </c>
      <c r="W775" s="9">
        <v>198865.09</v>
      </c>
      <c r="X775" s="9">
        <v>0.0</v>
      </c>
    </row>
    <row r="776" ht="15.75" customHeight="1">
      <c r="A776" s="9">
        <v>2081794.0</v>
      </c>
      <c r="B776" s="9">
        <v>195268.0</v>
      </c>
      <c r="C776" s="9">
        <v>29750.0</v>
      </c>
      <c r="D776" s="9" t="s">
        <v>52</v>
      </c>
      <c r="E776" s="9" t="s">
        <v>53</v>
      </c>
      <c r="F776" s="9">
        <v>97090.0</v>
      </c>
      <c r="G776" s="9">
        <v>195268.0</v>
      </c>
      <c r="H776" s="9">
        <v>195268.0</v>
      </c>
      <c r="I776" s="9">
        <v>215292.5</v>
      </c>
      <c r="J776" s="9">
        <v>0.0</v>
      </c>
      <c r="K776" s="9">
        <v>0.0</v>
      </c>
      <c r="L776" s="9" t="s">
        <v>69</v>
      </c>
      <c r="M776" s="9" t="s">
        <v>65</v>
      </c>
      <c r="N776" s="9">
        <v>7811.0</v>
      </c>
      <c r="O776" s="9">
        <v>7811.0</v>
      </c>
      <c r="R776" s="9" t="s">
        <v>60</v>
      </c>
      <c r="S776" s="9" t="s">
        <v>57</v>
      </c>
      <c r="T776" s="9" t="s">
        <v>61</v>
      </c>
      <c r="V776" s="9">
        <v>7811.0</v>
      </c>
      <c r="W776" s="9">
        <v>0.0</v>
      </c>
    </row>
    <row r="777" ht="15.75" customHeight="1">
      <c r="A777" s="9">
        <v>2085556.0</v>
      </c>
      <c r="B777" s="9">
        <v>2822220.0</v>
      </c>
      <c r="C777" s="9">
        <v>30778.0</v>
      </c>
      <c r="D777" s="9" t="s">
        <v>52</v>
      </c>
      <c r="E777" s="9" t="s">
        <v>53</v>
      </c>
      <c r="F777" s="9">
        <v>75125.0</v>
      </c>
      <c r="G777" s="9">
        <v>3459981.0</v>
      </c>
      <c r="H777" s="9">
        <v>3459981.0</v>
      </c>
      <c r="I777" s="9">
        <v>0.0</v>
      </c>
      <c r="J777" s="9">
        <v>0.0</v>
      </c>
      <c r="K777" s="9">
        <v>0.0</v>
      </c>
      <c r="L777" s="9" t="s">
        <v>54</v>
      </c>
      <c r="M777" s="9" t="s">
        <v>55</v>
      </c>
      <c r="N777" s="9">
        <v>3195078.27</v>
      </c>
      <c r="O777" s="9">
        <v>3500470.8</v>
      </c>
      <c r="P777" s="9">
        <v>118803.0</v>
      </c>
      <c r="Q777" s="9">
        <v>118803.0</v>
      </c>
      <c r="R777" s="9" t="s">
        <v>60</v>
      </c>
      <c r="S777" s="9" t="s">
        <v>57</v>
      </c>
      <c r="T777" s="9" t="s">
        <v>61</v>
      </c>
      <c r="V777" s="9">
        <v>1803307.67</v>
      </c>
      <c r="W777" s="9">
        <v>0.0</v>
      </c>
      <c r="X777" s="9">
        <v>0.0</v>
      </c>
    </row>
    <row r="778" ht="15.75" customHeight="1">
      <c r="A778" s="9">
        <v>2087510.0</v>
      </c>
      <c r="B778" s="9">
        <v>4169312.0</v>
      </c>
      <c r="C778" s="9">
        <v>30782.0</v>
      </c>
      <c r="D778" s="9" t="s">
        <v>52</v>
      </c>
      <c r="E778" s="9" t="s">
        <v>53</v>
      </c>
      <c r="F778" s="9">
        <v>9953.0</v>
      </c>
      <c r="G778" s="9">
        <v>4515125.03</v>
      </c>
      <c r="H778" s="9">
        <v>4515125.03</v>
      </c>
      <c r="I778" s="9">
        <v>239480.96</v>
      </c>
      <c r="J778" s="9">
        <v>0.0</v>
      </c>
      <c r="K778" s="9">
        <v>0.0</v>
      </c>
      <c r="L778" s="9" t="s">
        <v>59</v>
      </c>
      <c r="M778" s="9" t="s">
        <v>55</v>
      </c>
      <c r="N778" s="9">
        <v>3665605.54</v>
      </c>
      <c r="O778" s="9">
        <v>3652237.63</v>
      </c>
      <c r="P778" s="9">
        <v>182081.9</v>
      </c>
      <c r="Q778" s="9">
        <v>178440.26</v>
      </c>
      <c r="R778" s="9" t="s">
        <v>60</v>
      </c>
      <c r="S778" s="9" t="s">
        <v>57</v>
      </c>
      <c r="T778" s="9" t="s">
        <v>61</v>
      </c>
      <c r="V778" s="9">
        <v>3652237.63</v>
      </c>
      <c r="W778" s="9">
        <v>0.0</v>
      </c>
      <c r="X778" s="9">
        <v>0.0</v>
      </c>
    </row>
    <row r="779" ht="15.75" customHeight="1">
      <c r="A779" s="9">
        <v>2087578.0</v>
      </c>
      <c r="B779" s="9">
        <v>9947028.0</v>
      </c>
      <c r="C779" s="9">
        <v>33962.0</v>
      </c>
      <c r="D779" s="9" t="s">
        <v>52</v>
      </c>
      <c r="E779" s="9" t="s">
        <v>53</v>
      </c>
      <c r="F779" s="9">
        <v>31283.0</v>
      </c>
      <c r="G779" s="9">
        <v>2.734823429E7</v>
      </c>
      <c r="H779" s="9">
        <v>2.827652696E7</v>
      </c>
      <c r="I779" s="9">
        <v>2.821067565E7</v>
      </c>
      <c r="J779" s="9">
        <v>0.0</v>
      </c>
      <c r="K779" s="9">
        <v>0.0</v>
      </c>
      <c r="L779" s="9" t="s">
        <v>59</v>
      </c>
      <c r="M779" s="9" t="s">
        <v>62</v>
      </c>
      <c r="N779" s="9">
        <v>1.031616906E7</v>
      </c>
      <c r="O779" s="9">
        <v>1.03E7</v>
      </c>
      <c r="P779" s="9">
        <v>309485.07</v>
      </c>
      <c r="Q779" s="9">
        <v>309485.07</v>
      </c>
      <c r="R779" s="9" t="s">
        <v>94</v>
      </c>
      <c r="S779" s="9" t="s">
        <v>57</v>
      </c>
      <c r="T779" s="9" t="s">
        <v>95</v>
      </c>
    </row>
    <row r="780" ht="15.75" customHeight="1">
      <c r="A780" s="9">
        <v>2088913.0</v>
      </c>
      <c r="B780" s="9">
        <v>48321.0</v>
      </c>
      <c r="C780" s="9">
        <v>31298.0</v>
      </c>
      <c r="D780" s="9" t="s">
        <v>52</v>
      </c>
      <c r="E780" s="9" t="s">
        <v>53</v>
      </c>
      <c r="F780" s="9">
        <v>81851.0</v>
      </c>
      <c r="G780" s="9">
        <v>48321.0</v>
      </c>
      <c r="H780" s="9">
        <v>48321.0</v>
      </c>
      <c r="I780" s="9">
        <v>0.0</v>
      </c>
      <c r="J780" s="9">
        <v>0.0</v>
      </c>
      <c r="K780" s="9">
        <v>0.0</v>
      </c>
      <c r="L780" s="9" t="s">
        <v>69</v>
      </c>
      <c r="M780" s="9" t="s">
        <v>55</v>
      </c>
      <c r="R780" s="9" t="s">
        <v>72</v>
      </c>
      <c r="S780" s="9" t="s">
        <v>57</v>
      </c>
      <c r="T780" s="9" t="s">
        <v>73</v>
      </c>
      <c r="V780" s="9">
        <v>46677.62</v>
      </c>
      <c r="W780" s="9">
        <v>0.0</v>
      </c>
      <c r="X780" s="9">
        <v>0.0</v>
      </c>
    </row>
    <row r="781" ht="15.75" customHeight="1">
      <c r="A781" s="9">
        <v>2088914.0</v>
      </c>
      <c r="B781" s="9">
        <v>132908.0</v>
      </c>
      <c r="C781" s="9">
        <v>31297.0</v>
      </c>
      <c r="D781" s="9" t="s">
        <v>52</v>
      </c>
      <c r="E781" s="9" t="s">
        <v>53</v>
      </c>
      <c r="F781" s="9">
        <v>79775.0</v>
      </c>
      <c r="G781" s="9">
        <v>155819.3</v>
      </c>
      <c r="H781" s="9">
        <v>155819.3</v>
      </c>
      <c r="I781" s="9">
        <v>0.0</v>
      </c>
      <c r="J781" s="9">
        <v>0.0</v>
      </c>
      <c r="K781" s="9">
        <v>0.0</v>
      </c>
      <c r="L781" s="9" t="s">
        <v>69</v>
      </c>
      <c r="M781" s="9" t="s">
        <v>55</v>
      </c>
      <c r="R781" s="9" t="s">
        <v>60</v>
      </c>
      <c r="S781" s="9" t="s">
        <v>57</v>
      </c>
      <c r="T781" s="9" t="s">
        <v>61</v>
      </c>
      <c r="V781" s="9">
        <v>155936.07</v>
      </c>
      <c r="W781" s="9">
        <v>0.0</v>
      </c>
      <c r="X781" s="9">
        <v>0.0</v>
      </c>
    </row>
    <row r="782" ht="15.75" customHeight="1">
      <c r="A782" s="9">
        <v>2090768.0</v>
      </c>
      <c r="B782" s="9">
        <v>1998829.0</v>
      </c>
      <c r="C782" s="9">
        <v>29682.0</v>
      </c>
      <c r="D782" s="9" t="s">
        <v>52</v>
      </c>
      <c r="E782" s="9" t="s">
        <v>53</v>
      </c>
      <c r="F782" s="9">
        <v>27581.0</v>
      </c>
      <c r="G782" s="9">
        <v>1998829.0</v>
      </c>
      <c r="H782" s="9">
        <v>1998829.0</v>
      </c>
      <c r="I782" s="9">
        <v>0.0</v>
      </c>
      <c r="J782" s="9">
        <v>0.0</v>
      </c>
      <c r="K782" s="9">
        <v>0.0</v>
      </c>
      <c r="L782" s="9" t="s">
        <v>54</v>
      </c>
      <c r="M782" s="9" t="s">
        <v>65</v>
      </c>
      <c r="N782" s="9">
        <v>46056.0</v>
      </c>
      <c r="O782" s="9">
        <v>41400.0</v>
      </c>
      <c r="R782" s="9" t="s">
        <v>92</v>
      </c>
      <c r="S782" s="9" t="s">
        <v>57</v>
      </c>
      <c r="T782" s="9" t="s">
        <v>93</v>
      </c>
    </row>
    <row r="783" ht="15.75" customHeight="1">
      <c r="A783" s="9">
        <v>2090771.0</v>
      </c>
      <c r="B783" s="9">
        <v>5999160.0</v>
      </c>
      <c r="C783" s="9">
        <v>26998.0</v>
      </c>
      <c r="D783" s="9" t="s">
        <v>52</v>
      </c>
      <c r="E783" s="9" t="s">
        <v>53</v>
      </c>
      <c r="F783" s="9">
        <v>104668.0</v>
      </c>
      <c r="G783" s="9">
        <v>8219477.64</v>
      </c>
      <c r="H783" s="9">
        <v>9200579.76</v>
      </c>
      <c r="I783" s="9">
        <v>6864035.81</v>
      </c>
      <c r="J783" s="9">
        <v>17900.0</v>
      </c>
      <c r="K783" s="9">
        <v>36850.0</v>
      </c>
      <c r="L783" s="9" t="s">
        <v>59</v>
      </c>
      <c r="M783" s="9" t="s">
        <v>55</v>
      </c>
      <c r="N783" s="9">
        <v>7451974.44</v>
      </c>
      <c r="O783" s="9">
        <v>7451974.44</v>
      </c>
      <c r="P783" s="9">
        <v>274575.33</v>
      </c>
      <c r="Q783" s="9">
        <v>274275.33</v>
      </c>
      <c r="R783" s="9" t="s">
        <v>96</v>
      </c>
      <c r="S783" s="9" t="s">
        <v>78</v>
      </c>
      <c r="T783" s="9" t="s">
        <v>79</v>
      </c>
      <c r="U783" s="9" t="s">
        <v>97</v>
      </c>
    </row>
    <row r="784" ht="15.75" customHeight="1">
      <c r="A784" s="9">
        <v>2090885.0</v>
      </c>
      <c r="B784" s="9">
        <v>8381644.0</v>
      </c>
      <c r="C784" s="9">
        <v>47485.0</v>
      </c>
      <c r="D784" s="9" t="s">
        <v>52</v>
      </c>
      <c r="E784" s="9" t="s">
        <v>53</v>
      </c>
      <c r="F784" s="9">
        <v>41333.0</v>
      </c>
      <c r="G784" s="9">
        <v>0.0</v>
      </c>
      <c r="H784" s="9">
        <v>9669813.49</v>
      </c>
      <c r="I784" s="9">
        <v>974153.05</v>
      </c>
      <c r="J784" s="9">
        <v>0.0</v>
      </c>
      <c r="K784" s="9">
        <v>363689.0</v>
      </c>
      <c r="L784" s="9" t="s">
        <v>59</v>
      </c>
      <c r="M784" s="9" t="s">
        <v>74</v>
      </c>
      <c r="N784" s="9">
        <v>1029217.0</v>
      </c>
      <c r="O784" s="9">
        <v>1029217.0</v>
      </c>
      <c r="R784" s="9" t="s">
        <v>85</v>
      </c>
      <c r="S784" s="9" t="s">
        <v>67</v>
      </c>
      <c r="T784" s="9" t="s">
        <v>86</v>
      </c>
    </row>
    <row r="785" ht="15.75" customHeight="1">
      <c r="A785" s="9">
        <v>2090886.0</v>
      </c>
      <c r="B785" s="9">
        <v>1693566.0</v>
      </c>
      <c r="C785" s="9">
        <v>30824.0</v>
      </c>
      <c r="D785" s="9" t="s">
        <v>52</v>
      </c>
      <c r="E785" s="9" t="s">
        <v>53</v>
      </c>
      <c r="F785" s="9">
        <v>104982.0</v>
      </c>
      <c r="G785" s="9">
        <v>1693566.0</v>
      </c>
      <c r="H785" s="9">
        <v>1693566.0</v>
      </c>
      <c r="I785" s="9">
        <v>0.0</v>
      </c>
      <c r="J785" s="9">
        <v>0.0</v>
      </c>
      <c r="K785" s="9">
        <v>0.0</v>
      </c>
      <c r="L785" s="9" t="s">
        <v>69</v>
      </c>
      <c r="M785" s="9" t="s">
        <v>55</v>
      </c>
      <c r="N785" s="9">
        <v>1630566.0</v>
      </c>
      <c r="O785" s="9">
        <v>1630566.0</v>
      </c>
      <c r="P785" s="9">
        <v>1630566.0</v>
      </c>
      <c r="Q785" s="9">
        <v>63000.0</v>
      </c>
      <c r="R785" s="9" t="s">
        <v>75</v>
      </c>
      <c r="S785" s="9" t="s">
        <v>57</v>
      </c>
      <c r="T785" s="9" t="s">
        <v>76</v>
      </c>
    </row>
    <row r="786" ht="15.75" customHeight="1">
      <c r="A786" s="9">
        <v>2091389.0</v>
      </c>
      <c r="B786" s="9">
        <v>424857.0</v>
      </c>
      <c r="C786" s="9">
        <v>26614.0</v>
      </c>
      <c r="D786" s="9" t="s">
        <v>52</v>
      </c>
      <c r="E786" s="9" t="s">
        <v>53</v>
      </c>
      <c r="F786" s="9">
        <v>114526.0</v>
      </c>
      <c r="G786" s="9">
        <v>594328.54</v>
      </c>
      <c r="H786" s="9">
        <v>594328.54</v>
      </c>
      <c r="I786" s="9">
        <v>0.0</v>
      </c>
      <c r="J786" s="9">
        <v>0.0</v>
      </c>
      <c r="K786" s="9">
        <v>0.0</v>
      </c>
      <c r="L786" s="9" t="s">
        <v>54</v>
      </c>
      <c r="M786" s="9" t="s">
        <v>55</v>
      </c>
      <c r="N786" s="9">
        <v>573828.0</v>
      </c>
      <c r="O786" s="9">
        <v>573828.0</v>
      </c>
      <c r="R786" s="9" t="s">
        <v>60</v>
      </c>
      <c r="S786" s="9" t="s">
        <v>57</v>
      </c>
      <c r="T786" s="9" t="s">
        <v>61</v>
      </c>
      <c r="V786" s="9">
        <v>577868.5</v>
      </c>
      <c r="W786" s="9">
        <v>6949.15</v>
      </c>
      <c r="X786" s="9">
        <v>0.0</v>
      </c>
    </row>
    <row r="787" ht="15.75" customHeight="1">
      <c r="A787" s="9">
        <v>2091572.0</v>
      </c>
      <c r="B787" s="9">
        <v>1014732.0</v>
      </c>
      <c r="C787" s="9">
        <v>30347.0</v>
      </c>
      <c r="D787" s="9" t="s">
        <v>52</v>
      </c>
      <c r="E787" s="9" t="s">
        <v>53</v>
      </c>
      <c r="F787" s="9">
        <v>102578.0</v>
      </c>
      <c r="G787" s="9">
        <v>1014732.0</v>
      </c>
      <c r="H787" s="9">
        <v>1014732.0</v>
      </c>
      <c r="I787" s="9">
        <v>0.0</v>
      </c>
      <c r="J787" s="9">
        <v>0.0</v>
      </c>
      <c r="K787" s="9">
        <v>0.0</v>
      </c>
      <c r="L787" s="9" t="s">
        <v>54</v>
      </c>
      <c r="M787" s="9" t="s">
        <v>55</v>
      </c>
      <c r="N787" s="9">
        <v>1075271.62</v>
      </c>
      <c r="O787" s="9">
        <v>1075271.62</v>
      </c>
      <c r="P787" s="9">
        <v>1075271.62</v>
      </c>
      <c r="Q787" s="9">
        <v>0.0</v>
      </c>
      <c r="R787" s="9" t="s">
        <v>60</v>
      </c>
      <c r="S787" s="9" t="s">
        <v>57</v>
      </c>
      <c r="T787" s="9" t="s">
        <v>61</v>
      </c>
      <c r="V787" s="9">
        <v>1116151.99</v>
      </c>
      <c r="W787" s="9">
        <v>0.0</v>
      </c>
      <c r="X787" s="9">
        <v>0.0</v>
      </c>
    </row>
    <row r="788" ht="15.75" customHeight="1">
      <c r="A788" s="9">
        <v>2092708.0</v>
      </c>
      <c r="B788" s="9">
        <v>1867364.0</v>
      </c>
      <c r="C788" s="9">
        <v>30780.0</v>
      </c>
      <c r="D788" s="9" t="s">
        <v>52</v>
      </c>
      <c r="E788" s="9" t="s">
        <v>53</v>
      </c>
      <c r="F788" s="9">
        <v>37791.0</v>
      </c>
      <c r="G788" s="9">
        <v>2368300.0</v>
      </c>
      <c r="H788" s="9">
        <v>2368300.0</v>
      </c>
      <c r="I788" s="9">
        <v>0.0</v>
      </c>
      <c r="J788" s="9">
        <v>0.0</v>
      </c>
      <c r="K788" s="9">
        <v>0.0</v>
      </c>
      <c r="L788" s="9" t="s">
        <v>54</v>
      </c>
      <c r="M788" s="9" t="s">
        <v>55</v>
      </c>
      <c r="N788" s="9">
        <v>2320627.63</v>
      </c>
      <c r="O788" s="9">
        <v>2320605.23</v>
      </c>
      <c r="P788" s="9">
        <v>277156.42</v>
      </c>
      <c r="Q788" s="9">
        <v>271756.42</v>
      </c>
      <c r="R788" s="9" t="s">
        <v>56</v>
      </c>
      <c r="S788" s="9" t="s">
        <v>57</v>
      </c>
      <c r="T788" s="9" t="s">
        <v>58</v>
      </c>
      <c r="V788" s="9">
        <v>2197155.0</v>
      </c>
      <c r="W788" s="9">
        <v>0.0</v>
      </c>
      <c r="X788" s="9">
        <v>0.0</v>
      </c>
    </row>
    <row r="789" ht="15.75" customHeight="1">
      <c r="A789" s="9">
        <v>2095915.0</v>
      </c>
      <c r="B789" s="9">
        <v>3237633.0</v>
      </c>
      <c r="C789" s="9">
        <v>30076.0</v>
      </c>
      <c r="D789" s="9" t="s">
        <v>52</v>
      </c>
      <c r="E789" s="9" t="s">
        <v>53</v>
      </c>
      <c r="F789" s="9">
        <v>125494.0</v>
      </c>
      <c r="G789" s="9">
        <v>4057801.79</v>
      </c>
      <c r="H789" s="9">
        <v>4057801.79</v>
      </c>
      <c r="I789" s="9">
        <v>3813027.51</v>
      </c>
      <c r="J789" s="9">
        <v>0.0</v>
      </c>
      <c r="K789" s="9">
        <v>0.0</v>
      </c>
      <c r="L789" s="9" t="s">
        <v>59</v>
      </c>
      <c r="M789" s="9" t="s">
        <v>55</v>
      </c>
      <c r="N789" s="9">
        <v>4039420.18</v>
      </c>
      <c r="O789" s="9">
        <v>1136116.0</v>
      </c>
      <c r="P789" s="9">
        <v>0.0</v>
      </c>
      <c r="Q789" s="9">
        <v>164932.41</v>
      </c>
      <c r="R789" s="9" t="s">
        <v>60</v>
      </c>
      <c r="S789" s="9" t="s">
        <v>57</v>
      </c>
      <c r="T789" s="9" t="s">
        <v>61</v>
      </c>
      <c r="V789" s="9">
        <v>3986823.89</v>
      </c>
      <c r="W789" s="9">
        <v>182568.87</v>
      </c>
      <c r="X789" s="9">
        <v>0.0</v>
      </c>
    </row>
    <row r="790" ht="15.75" customHeight="1">
      <c r="A790" s="9">
        <v>2096101.0</v>
      </c>
      <c r="B790" s="9">
        <v>3523734.0</v>
      </c>
      <c r="C790" s="9">
        <v>30552.0</v>
      </c>
      <c r="D790" s="9" t="s">
        <v>52</v>
      </c>
      <c r="E790" s="9" t="s">
        <v>53</v>
      </c>
      <c r="F790" s="9">
        <v>114522.0</v>
      </c>
      <c r="G790" s="9">
        <v>3872580.81</v>
      </c>
      <c r="H790" s="9">
        <v>3872580.81</v>
      </c>
      <c r="I790" s="9">
        <v>3929132.8</v>
      </c>
      <c r="J790" s="9">
        <v>0.0</v>
      </c>
      <c r="K790" s="9">
        <v>0.0</v>
      </c>
      <c r="L790" s="9" t="s">
        <v>59</v>
      </c>
      <c r="M790" s="9" t="s">
        <v>55</v>
      </c>
      <c r="N790" s="9">
        <v>3652580.63</v>
      </c>
      <c r="O790" s="9">
        <v>3652580.61</v>
      </c>
      <c r="P790" s="9">
        <v>135000.0</v>
      </c>
      <c r="Q790" s="9">
        <v>135000.0</v>
      </c>
      <c r="R790" s="9" t="s">
        <v>72</v>
      </c>
      <c r="S790" s="9" t="s">
        <v>57</v>
      </c>
      <c r="T790" s="9" t="s">
        <v>73</v>
      </c>
      <c r="V790" s="9">
        <v>3619752.51</v>
      </c>
      <c r="W790" s="9">
        <v>135000.0</v>
      </c>
      <c r="X790" s="9">
        <v>0.0</v>
      </c>
    </row>
    <row r="791" ht="15.75" customHeight="1">
      <c r="A791" s="9">
        <v>2104139.0</v>
      </c>
      <c r="B791" s="9">
        <v>1715265.0</v>
      </c>
      <c r="C791" s="9">
        <v>30244.0</v>
      </c>
      <c r="D791" s="9" t="s">
        <v>52</v>
      </c>
      <c r="E791" s="9" t="s">
        <v>53</v>
      </c>
      <c r="F791" s="9">
        <v>95670.0</v>
      </c>
      <c r="G791" s="9">
        <v>1646654.0</v>
      </c>
      <c r="H791" s="9">
        <v>1646654.0</v>
      </c>
      <c r="I791" s="9">
        <v>1697143.0</v>
      </c>
      <c r="J791" s="9">
        <v>0.0</v>
      </c>
      <c r="K791" s="9">
        <v>0.0</v>
      </c>
      <c r="L791" s="9" t="s">
        <v>59</v>
      </c>
      <c r="M791" s="9" t="s">
        <v>55</v>
      </c>
      <c r="N791" s="9">
        <v>1593801.34</v>
      </c>
      <c r="O791" s="9">
        <v>1593801.34</v>
      </c>
      <c r="P791" s="9">
        <v>46980.14</v>
      </c>
      <c r="Q791" s="9">
        <v>46980.14</v>
      </c>
      <c r="R791" s="9" t="s">
        <v>60</v>
      </c>
      <c r="S791" s="9" t="s">
        <v>57</v>
      </c>
      <c r="T791" s="9" t="s">
        <v>61</v>
      </c>
      <c r="V791" s="9">
        <v>1697142.52</v>
      </c>
      <c r="W791" s="9">
        <v>0.0</v>
      </c>
      <c r="X791" s="9">
        <v>0.0</v>
      </c>
    </row>
    <row r="792" ht="15.75" customHeight="1">
      <c r="A792" s="9">
        <v>2104240.0</v>
      </c>
      <c r="B792" s="9">
        <v>7542297.0</v>
      </c>
      <c r="C792" s="9">
        <v>29879.0</v>
      </c>
      <c r="D792" s="9" t="s">
        <v>52</v>
      </c>
      <c r="E792" s="9" t="s">
        <v>53</v>
      </c>
      <c r="F792" s="9">
        <v>127652.0</v>
      </c>
      <c r="G792" s="9">
        <v>7567726.56</v>
      </c>
      <c r="H792" s="9">
        <v>7785041.5</v>
      </c>
      <c r="I792" s="9">
        <v>7785041.53</v>
      </c>
      <c r="J792" s="9">
        <v>0.0</v>
      </c>
      <c r="K792" s="9">
        <v>0.0</v>
      </c>
      <c r="L792" s="9" t="s">
        <v>69</v>
      </c>
      <c r="M792" s="9" t="s">
        <v>55</v>
      </c>
      <c r="N792" s="9">
        <v>7013437.8</v>
      </c>
      <c r="O792" s="9">
        <v>6520000.0</v>
      </c>
      <c r="P792" s="9">
        <v>326375.97</v>
      </c>
      <c r="Q792" s="9">
        <v>248930.83</v>
      </c>
      <c r="R792" s="9" t="s">
        <v>60</v>
      </c>
      <c r="S792" s="9" t="s">
        <v>57</v>
      </c>
      <c r="T792" s="9" t="s">
        <v>61</v>
      </c>
      <c r="V792" s="9">
        <v>7385240.15</v>
      </c>
      <c r="W792" s="9">
        <v>307415.83</v>
      </c>
      <c r="X792" s="9">
        <v>0.0</v>
      </c>
    </row>
    <row r="793" ht="15.75" customHeight="1">
      <c r="A793" s="9">
        <v>2070638.0</v>
      </c>
      <c r="B793" s="9">
        <v>1816109.0</v>
      </c>
      <c r="C793" s="9">
        <v>26611.0</v>
      </c>
      <c r="D793" s="9" t="s">
        <v>52</v>
      </c>
      <c r="E793" s="9" t="s">
        <v>53</v>
      </c>
      <c r="F793" s="9">
        <v>75005.0</v>
      </c>
      <c r="G793" s="9">
        <v>2615436.18</v>
      </c>
      <c r="H793" s="9">
        <v>2615436.18</v>
      </c>
      <c r="I793" s="9">
        <v>2369719.62</v>
      </c>
      <c r="J793" s="9">
        <v>0.0</v>
      </c>
      <c r="K793" s="9">
        <v>0.0</v>
      </c>
      <c r="L793" s="9" t="s">
        <v>69</v>
      </c>
      <c r="M793" s="9" t="s">
        <v>55</v>
      </c>
      <c r="N793" s="9">
        <v>2369720.0</v>
      </c>
      <c r="O793" s="9">
        <v>2322325.0</v>
      </c>
      <c r="P793" s="9">
        <v>79385.0</v>
      </c>
      <c r="Q793" s="9">
        <v>79385.0</v>
      </c>
      <c r="R793" s="9" t="s">
        <v>60</v>
      </c>
      <c r="S793" s="9" t="s">
        <v>57</v>
      </c>
      <c r="T793" s="9" t="s">
        <v>61</v>
      </c>
      <c r="V793" s="9">
        <v>2615436.18</v>
      </c>
      <c r="W793" s="9">
        <v>0.0</v>
      </c>
      <c r="X793" s="9">
        <v>0.0</v>
      </c>
    </row>
    <row r="794" ht="15.75" customHeight="1">
      <c r="A794" s="9">
        <v>2070689.0</v>
      </c>
      <c r="B794" s="9">
        <v>5701890.0</v>
      </c>
      <c r="C794" s="9">
        <v>31173.0</v>
      </c>
      <c r="D794" s="9" t="s">
        <v>52</v>
      </c>
      <c r="E794" s="9" t="s">
        <v>53</v>
      </c>
      <c r="F794" s="9">
        <v>75132.0</v>
      </c>
      <c r="G794" s="9">
        <v>5601889.92</v>
      </c>
      <c r="H794" s="9">
        <v>5601889.92</v>
      </c>
      <c r="I794" s="9">
        <v>5698888.6</v>
      </c>
      <c r="J794" s="9">
        <v>0.0</v>
      </c>
      <c r="K794" s="9">
        <v>0.0</v>
      </c>
      <c r="L794" s="9" t="s">
        <v>59</v>
      </c>
      <c r="M794" s="9" t="s">
        <v>55</v>
      </c>
      <c r="N794" s="9">
        <v>5601889.92</v>
      </c>
      <c r="O794" s="9">
        <v>5601889.92</v>
      </c>
      <c r="P794" s="9">
        <v>115000.0</v>
      </c>
      <c r="Q794" s="9">
        <v>115000.0</v>
      </c>
      <c r="R794" s="9" t="s">
        <v>94</v>
      </c>
      <c r="S794" s="9" t="s">
        <v>57</v>
      </c>
      <c r="T794" s="9" t="s">
        <v>95</v>
      </c>
    </row>
    <row r="795" ht="15.75" customHeight="1">
      <c r="A795" s="9">
        <v>2070789.0</v>
      </c>
      <c r="B795" s="9">
        <v>4709985.0</v>
      </c>
      <c r="C795" s="9">
        <v>30885.0</v>
      </c>
      <c r="D795" s="9" t="s">
        <v>52</v>
      </c>
      <c r="E795" s="9" t="s">
        <v>53</v>
      </c>
      <c r="F795" s="9">
        <v>75430.0</v>
      </c>
      <c r="G795" s="9">
        <v>5905959.3</v>
      </c>
      <c r="H795" s="9">
        <v>5905959.3</v>
      </c>
      <c r="I795" s="9">
        <v>5355508.7</v>
      </c>
      <c r="J795" s="9">
        <v>0.0</v>
      </c>
      <c r="K795" s="9">
        <v>0.0</v>
      </c>
      <c r="L795" s="9" t="s">
        <v>69</v>
      </c>
      <c r="M795" s="9" t="s">
        <v>55</v>
      </c>
      <c r="N795" s="9">
        <v>5529104.3</v>
      </c>
      <c r="O795" s="9">
        <v>5060536.14</v>
      </c>
      <c r="P795" s="9">
        <v>234284.08</v>
      </c>
      <c r="Q795" s="9">
        <v>218400.41</v>
      </c>
      <c r="R795" s="9" t="s">
        <v>60</v>
      </c>
      <c r="S795" s="9" t="s">
        <v>57</v>
      </c>
      <c r="T795" s="9" t="s">
        <v>61</v>
      </c>
      <c r="V795" s="9">
        <v>5071977.46</v>
      </c>
      <c r="W795" s="9">
        <v>238400.41</v>
      </c>
      <c r="X795" s="9">
        <v>0.0</v>
      </c>
    </row>
    <row r="796" ht="15.75" customHeight="1">
      <c r="A796" s="9">
        <v>2070823.0</v>
      </c>
      <c r="B796" s="9">
        <v>5992688.0</v>
      </c>
      <c r="C796" s="9">
        <v>40456.0</v>
      </c>
      <c r="D796" s="9" t="s">
        <v>52</v>
      </c>
      <c r="E796" s="9" t="s">
        <v>53</v>
      </c>
      <c r="F796" s="9">
        <v>75532.0</v>
      </c>
      <c r="G796" s="9">
        <v>1.058508692E7</v>
      </c>
      <c r="H796" s="9">
        <v>1.058508692E7</v>
      </c>
      <c r="I796" s="9">
        <v>1.058325422E7</v>
      </c>
      <c r="J796" s="9">
        <v>0.0</v>
      </c>
      <c r="K796" s="9">
        <v>1833.0</v>
      </c>
      <c r="L796" s="9" t="s">
        <v>59</v>
      </c>
      <c r="M796" s="9" t="s">
        <v>62</v>
      </c>
      <c r="N796" s="9">
        <v>3700344.15</v>
      </c>
      <c r="O796" s="9">
        <v>3730620.72</v>
      </c>
      <c r="P796" s="9">
        <v>245581.28</v>
      </c>
      <c r="Q796" s="9">
        <v>245581.21</v>
      </c>
      <c r="R796" s="9" t="s">
        <v>72</v>
      </c>
      <c r="S796" s="9" t="s">
        <v>57</v>
      </c>
      <c r="T796" s="9" t="s">
        <v>73</v>
      </c>
      <c r="V796" s="9">
        <v>3730620.72</v>
      </c>
      <c r="W796" s="9">
        <v>245458.42</v>
      </c>
      <c r="X796" s="9">
        <v>0.0</v>
      </c>
    </row>
    <row r="797" ht="15.75" customHeight="1">
      <c r="A797" s="9">
        <v>2071042.0</v>
      </c>
      <c r="B797" s="9">
        <v>649415.0</v>
      </c>
      <c r="C797" s="9">
        <v>31067.0</v>
      </c>
      <c r="D797" s="9" t="s">
        <v>52</v>
      </c>
      <c r="E797" s="9" t="s">
        <v>53</v>
      </c>
      <c r="F797" s="9">
        <v>76118.0</v>
      </c>
      <c r="G797" s="9">
        <v>688965.0</v>
      </c>
      <c r="H797" s="9">
        <v>688965.0</v>
      </c>
      <c r="I797" s="9">
        <v>837480.01</v>
      </c>
      <c r="J797" s="9">
        <v>0.0</v>
      </c>
      <c r="K797" s="9">
        <v>0.0</v>
      </c>
      <c r="L797" s="9" t="s">
        <v>69</v>
      </c>
      <c r="M797" s="9" t="s">
        <v>55</v>
      </c>
      <c r="R797" s="9" t="s">
        <v>60</v>
      </c>
      <c r="S797" s="9" t="s">
        <v>57</v>
      </c>
      <c r="T797" s="9" t="s">
        <v>61</v>
      </c>
      <c r="V797" s="9">
        <v>837120.01</v>
      </c>
      <c r="W797" s="9">
        <v>0.0</v>
      </c>
      <c r="X797" s="9">
        <v>0.0</v>
      </c>
    </row>
    <row r="798" ht="15.75" customHeight="1">
      <c r="A798" s="9">
        <v>2071759.0</v>
      </c>
      <c r="B798" s="9">
        <v>2396270.0</v>
      </c>
      <c r="C798" s="9">
        <v>30407.0</v>
      </c>
      <c r="D798" s="9" t="s">
        <v>52</v>
      </c>
      <c r="E798" s="9" t="s">
        <v>53</v>
      </c>
      <c r="F798" s="9">
        <v>77987.0</v>
      </c>
      <c r="G798" s="9">
        <v>2396270.0</v>
      </c>
      <c r="H798" s="9">
        <v>2396270.0</v>
      </c>
      <c r="I798" s="9">
        <v>2445482.09</v>
      </c>
      <c r="J798" s="9">
        <v>0.0</v>
      </c>
      <c r="K798" s="9">
        <v>0.0</v>
      </c>
      <c r="L798" s="9" t="s">
        <v>69</v>
      </c>
      <c r="M798" s="9" t="s">
        <v>55</v>
      </c>
      <c r="N798" s="9">
        <v>2225259.86</v>
      </c>
      <c r="O798" s="9">
        <v>2225259.86</v>
      </c>
      <c r="P798" s="9">
        <v>89010.39</v>
      </c>
      <c r="Q798" s="9">
        <v>89010.39</v>
      </c>
      <c r="R798" s="9" t="s">
        <v>60</v>
      </c>
      <c r="S798" s="9" t="s">
        <v>57</v>
      </c>
      <c r="T798" s="9" t="s">
        <v>61</v>
      </c>
      <c r="V798" s="9">
        <v>2354371.45</v>
      </c>
      <c r="W798" s="9">
        <v>89010.39</v>
      </c>
      <c r="X798" s="9">
        <v>0.0</v>
      </c>
    </row>
    <row r="799" ht="15.75" customHeight="1">
      <c r="A799" s="9">
        <v>2072078.0</v>
      </c>
      <c r="B799" s="9">
        <v>2995109.0</v>
      </c>
      <c r="C799" s="9">
        <v>30876.0</v>
      </c>
      <c r="D799" s="9" t="s">
        <v>52</v>
      </c>
      <c r="E799" s="9" t="s">
        <v>53</v>
      </c>
      <c r="F799" s="9">
        <v>78915.0</v>
      </c>
      <c r="G799" s="9">
        <v>3279933.53</v>
      </c>
      <c r="H799" s="9">
        <v>3218491.0</v>
      </c>
      <c r="I799" s="9">
        <v>3218491.0</v>
      </c>
      <c r="J799" s="9">
        <v>0.0</v>
      </c>
      <c r="K799" s="9">
        <v>0.0</v>
      </c>
      <c r="L799" s="9" t="s">
        <v>69</v>
      </c>
      <c r="M799" s="9" t="s">
        <v>55</v>
      </c>
      <c r="N799" s="9">
        <v>3066791.4</v>
      </c>
      <c r="O799" s="9">
        <v>3066791.4</v>
      </c>
      <c r="P799" s="9">
        <v>129948.85</v>
      </c>
      <c r="Q799" s="9">
        <v>129948.85</v>
      </c>
      <c r="R799" s="9" t="s">
        <v>75</v>
      </c>
      <c r="S799" s="9" t="s">
        <v>57</v>
      </c>
      <c r="T799" s="9" t="s">
        <v>76</v>
      </c>
    </row>
    <row r="800" ht="15.75" customHeight="1">
      <c r="A800" s="9">
        <v>2072161.0</v>
      </c>
      <c r="B800" s="9">
        <v>5503600.0</v>
      </c>
      <c r="C800" s="9">
        <v>30182.0</v>
      </c>
      <c r="D800" s="9" t="s">
        <v>52</v>
      </c>
      <c r="E800" s="9" t="s">
        <v>53</v>
      </c>
      <c r="F800" s="9">
        <v>79095.0</v>
      </c>
      <c r="G800" s="9">
        <v>4999072.32</v>
      </c>
      <c r="H800" s="9">
        <v>4999072.32</v>
      </c>
      <c r="I800" s="9">
        <v>4909072.0</v>
      </c>
      <c r="J800" s="9">
        <v>0.0</v>
      </c>
      <c r="K800" s="9">
        <v>0.0</v>
      </c>
      <c r="L800" s="9" t="s">
        <v>69</v>
      </c>
      <c r="M800" s="9" t="s">
        <v>55</v>
      </c>
      <c r="N800" s="9">
        <v>4463419.47</v>
      </c>
      <c r="O800" s="9">
        <v>4460000.0</v>
      </c>
      <c r="P800" s="9">
        <v>370544.53</v>
      </c>
      <c r="Q800" s="9">
        <v>370482.24</v>
      </c>
      <c r="R800" s="9" t="s">
        <v>60</v>
      </c>
      <c r="S800" s="9" t="s">
        <v>57</v>
      </c>
      <c r="T800" s="9" t="s">
        <v>61</v>
      </c>
      <c r="V800" s="9">
        <v>4460000.0</v>
      </c>
      <c r="W800" s="9">
        <v>370482.24</v>
      </c>
      <c r="X800" s="9">
        <v>0.0</v>
      </c>
    </row>
    <row r="801" ht="15.75" customHeight="1">
      <c r="A801" s="9">
        <v>2072295.0</v>
      </c>
      <c r="B801" s="9">
        <v>1.3064133E7</v>
      </c>
      <c r="C801" s="9">
        <v>40005.0</v>
      </c>
      <c r="D801" s="9" t="s">
        <v>52</v>
      </c>
      <c r="E801" s="9" t="s">
        <v>53</v>
      </c>
      <c r="F801" s="9">
        <v>79474.0</v>
      </c>
      <c r="G801" s="9">
        <v>1.6467048E7</v>
      </c>
      <c r="H801" s="9">
        <v>1.789952457E7</v>
      </c>
      <c r="I801" s="9">
        <v>1.386609869E7</v>
      </c>
      <c r="J801" s="9">
        <v>0.0</v>
      </c>
      <c r="K801" s="9">
        <v>0.0</v>
      </c>
      <c r="L801" s="9" t="s">
        <v>59</v>
      </c>
      <c r="M801" s="9" t="s">
        <v>55</v>
      </c>
      <c r="R801" s="9" t="s">
        <v>96</v>
      </c>
      <c r="S801" s="9" t="s">
        <v>78</v>
      </c>
      <c r="T801" s="9" t="s">
        <v>79</v>
      </c>
      <c r="U801" s="9" t="s">
        <v>97</v>
      </c>
    </row>
    <row r="802" ht="15.75" customHeight="1">
      <c r="A802" s="9">
        <v>2072412.0</v>
      </c>
      <c r="B802" s="9">
        <v>5974319.0</v>
      </c>
      <c r="C802" s="9">
        <v>29965.0</v>
      </c>
      <c r="D802" s="9" t="s">
        <v>52</v>
      </c>
      <c r="E802" s="9" t="s">
        <v>53</v>
      </c>
      <c r="F802" s="9">
        <v>79781.0</v>
      </c>
      <c r="G802" s="9">
        <v>5974319.0</v>
      </c>
      <c r="H802" s="9">
        <v>5974319.0</v>
      </c>
      <c r="I802" s="9">
        <v>5716581.67</v>
      </c>
      <c r="J802" s="9">
        <v>0.0</v>
      </c>
      <c r="K802" s="9">
        <v>0.0</v>
      </c>
      <c r="L802" s="9" t="s">
        <v>59</v>
      </c>
      <c r="M802" s="9" t="s">
        <v>55</v>
      </c>
      <c r="N802" s="9">
        <v>5599385.67</v>
      </c>
      <c r="O802" s="9">
        <v>5431404.1</v>
      </c>
      <c r="P802" s="9">
        <v>144999.98</v>
      </c>
      <c r="Q802" s="9">
        <v>144000.0</v>
      </c>
      <c r="R802" s="9" t="s">
        <v>94</v>
      </c>
      <c r="S802" s="9" t="s">
        <v>57</v>
      </c>
      <c r="T802" s="9" t="s">
        <v>95</v>
      </c>
    </row>
    <row r="803" ht="15.75" customHeight="1">
      <c r="A803" s="9">
        <v>2073378.0</v>
      </c>
      <c r="B803" s="9">
        <v>996545.0</v>
      </c>
      <c r="C803" s="9">
        <v>29974.0</v>
      </c>
      <c r="D803" s="9" t="s">
        <v>52</v>
      </c>
      <c r="E803" s="9" t="s">
        <v>53</v>
      </c>
      <c r="F803" s="9">
        <v>82445.0</v>
      </c>
      <c r="G803" s="9">
        <v>1095816.42</v>
      </c>
      <c r="H803" s="9">
        <v>1095816.42</v>
      </c>
      <c r="I803" s="9">
        <v>0.0</v>
      </c>
      <c r="J803" s="9">
        <v>0.0</v>
      </c>
      <c r="K803" s="9">
        <v>0.0</v>
      </c>
      <c r="L803" s="9" t="s">
        <v>54</v>
      </c>
      <c r="M803" s="9" t="s">
        <v>55</v>
      </c>
      <c r="N803" s="9">
        <v>1066191.14</v>
      </c>
      <c r="O803" s="9">
        <v>1066191.14</v>
      </c>
      <c r="P803" s="9">
        <v>29642.66</v>
      </c>
      <c r="Q803" s="9">
        <v>29642.66</v>
      </c>
      <c r="R803" s="9" t="s">
        <v>60</v>
      </c>
      <c r="S803" s="9" t="s">
        <v>57</v>
      </c>
      <c r="T803" s="9" t="s">
        <v>61</v>
      </c>
      <c r="V803" s="9">
        <v>1066188.73</v>
      </c>
      <c r="W803" s="9">
        <v>29642.66</v>
      </c>
      <c r="X803" s="9">
        <v>0.0</v>
      </c>
    </row>
    <row r="804" ht="15.75" customHeight="1">
      <c r="A804" s="9">
        <v>2076003.0</v>
      </c>
      <c r="B804" s="9">
        <v>1848491.0</v>
      </c>
      <c r="C804" s="9">
        <v>30242.0</v>
      </c>
      <c r="D804" s="9" t="s">
        <v>52</v>
      </c>
      <c r="E804" s="9" t="s">
        <v>53</v>
      </c>
      <c r="F804" s="9">
        <v>89718.0</v>
      </c>
      <c r="G804" s="9">
        <v>2061649.0</v>
      </c>
      <c r="H804" s="9">
        <v>2061649.0</v>
      </c>
      <c r="I804" s="9">
        <v>2075273.54</v>
      </c>
      <c r="J804" s="9">
        <v>0.0</v>
      </c>
      <c r="K804" s="9">
        <v>0.0</v>
      </c>
      <c r="L804" s="9" t="s">
        <v>69</v>
      </c>
      <c r="M804" s="9" t="s">
        <v>55</v>
      </c>
      <c r="N804" s="9">
        <v>1613251.49</v>
      </c>
      <c r="O804" s="9">
        <v>1613251.49</v>
      </c>
      <c r="P804" s="9">
        <v>1613251.49</v>
      </c>
      <c r="Q804" s="9">
        <v>48397.51</v>
      </c>
      <c r="R804" s="9" t="s">
        <v>60</v>
      </c>
      <c r="S804" s="9" t="s">
        <v>57</v>
      </c>
      <c r="T804" s="9" t="s">
        <v>61</v>
      </c>
      <c r="V804" s="9">
        <v>1613251.49</v>
      </c>
      <c r="W804" s="9">
        <v>48397.51</v>
      </c>
      <c r="X804" s="9">
        <v>0.0</v>
      </c>
    </row>
    <row r="805" ht="15.75" customHeight="1">
      <c r="A805" s="9">
        <v>2077207.0</v>
      </c>
      <c r="B805" s="9">
        <v>4062809.0</v>
      </c>
      <c r="C805" s="9">
        <v>30945.0</v>
      </c>
      <c r="D805" s="9" t="s">
        <v>52</v>
      </c>
      <c r="E805" s="9" t="s">
        <v>53</v>
      </c>
      <c r="F805" s="9">
        <v>93173.0</v>
      </c>
      <c r="G805" s="9">
        <v>4061875.28</v>
      </c>
      <c r="H805" s="9">
        <v>4061875.28</v>
      </c>
      <c r="I805" s="9">
        <v>4061854.3</v>
      </c>
      <c r="J805" s="9">
        <v>0.0</v>
      </c>
      <c r="K805" s="9">
        <v>0.0</v>
      </c>
      <c r="L805" s="9" t="s">
        <v>59</v>
      </c>
      <c r="M805" s="9" t="s">
        <v>55</v>
      </c>
      <c r="N805" s="9">
        <v>3354854.2</v>
      </c>
      <c r="O805" s="9">
        <v>3357854.2</v>
      </c>
      <c r="R805" s="9" t="s">
        <v>60</v>
      </c>
      <c r="S805" s="9" t="s">
        <v>57</v>
      </c>
      <c r="T805" s="9" t="s">
        <v>61</v>
      </c>
      <c r="V805" s="9">
        <v>3807356.22</v>
      </c>
      <c r="W805" s="9">
        <v>160000.0</v>
      </c>
      <c r="X805" s="9">
        <v>0.0</v>
      </c>
    </row>
    <row r="806" ht="15.75" customHeight="1">
      <c r="A806" s="9">
        <v>2078292.0</v>
      </c>
      <c r="B806" s="9">
        <v>1.3927242E7</v>
      </c>
      <c r="C806" s="9">
        <v>30015.0</v>
      </c>
      <c r="D806" s="9" t="s">
        <v>52</v>
      </c>
      <c r="E806" s="9" t="s">
        <v>53</v>
      </c>
      <c r="F806" s="9">
        <v>73827.0</v>
      </c>
      <c r="G806" s="9">
        <v>1.620961076E7</v>
      </c>
      <c r="H806" s="9">
        <v>1.620961076E7</v>
      </c>
      <c r="I806" s="9">
        <v>1.602462603E7</v>
      </c>
      <c r="J806" s="9">
        <v>0.0</v>
      </c>
      <c r="K806" s="9">
        <v>0.0</v>
      </c>
      <c r="L806" s="9" t="s">
        <v>59</v>
      </c>
      <c r="M806" s="9" t="s">
        <v>55</v>
      </c>
      <c r="N806" s="9">
        <v>7847215.63</v>
      </c>
      <c r="O806" s="9">
        <v>7847000.0</v>
      </c>
      <c r="P806" s="9">
        <v>0.0</v>
      </c>
      <c r="Q806" s="9">
        <v>370000.0</v>
      </c>
      <c r="R806" s="9" t="s">
        <v>60</v>
      </c>
      <c r="S806" s="9" t="s">
        <v>57</v>
      </c>
      <c r="T806" s="9" t="s">
        <v>61</v>
      </c>
      <c r="V806" s="9">
        <v>8149116.61</v>
      </c>
      <c r="W806" s="9">
        <v>0.0</v>
      </c>
      <c r="X806" s="9">
        <v>0.0</v>
      </c>
    </row>
    <row r="807" ht="15.75" customHeight="1">
      <c r="A807" s="9">
        <v>2078794.0</v>
      </c>
      <c r="B807" s="9">
        <v>1.513944E7</v>
      </c>
      <c r="C807" s="9">
        <v>40122.0</v>
      </c>
      <c r="D807" s="9" t="s">
        <v>52</v>
      </c>
      <c r="E807" s="9" t="s">
        <v>53</v>
      </c>
      <c r="F807" s="9">
        <v>60078.0</v>
      </c>
      <c r="G807" s="9">
        <v>5.435875928E7</v>
      </c>
      <c r="H807" s="9">
        <v>5.783033598E7</v>
      </c>
      <c r="I807" s="9">
        <v>4.166160359E7</v>
      </c>
      <c r="J807" s="9">
        <v>0.0</v>
      </c>
      <c r="K807" s="9">
        <v>170263.0</v>
      </c>
      <c r="L807" s="9" t="s">
        <v>59</v>
      </c>
      <c r="M807" s="9" t="s">
        <v>55</v>
      </c>
      <c r="N807" s="9">
        <v>5.24425931E7</v>
      </c>
      <c r="O807" s="9">
        <v>4.888E7</v>
      </c>
      <c r="P807" s="9">
        <v>1386286.0</v>
      </c>
      <c r="Q807" s="9">
        <v>1386286.0</v>
      </c>
      <c r="R807" s="9" t="s">
        <v>77</v>
      </c>
      <c r="S807" s="9" t="s">
        <v>78</v>
      </c>
      <c r="T807" s="9" t="s">
        <v>79</v>
      </c>
      <c r="U807" s="9" t="s">
        <v>80</v>
      </c>
    </row>
    <row r="808" ht="15.75" customHeight="1">
      <c r="A808" s="9">
        <v>2081234.0</v>
      </c>
      <c r="B808" s="9">
        <v>292042.0</v>
      </c>
      <c r="C808" s="9">
        <v>30059.0</v>
      </c>
      <c r="D808" s="9" t="s">
        <v>52</v>
      </c>
      <c r="E808" s="9" t="s">
        <v>53</v>
      </c>
      <c r="F808" s="9">
        <v>95431.0</v>
      </c>
      <c r="G808" s="9">
        <v>319855.9</v>
      </c>
      <c r="H808" s="9">
        <v>319855.9</v>
      </c>
      <c r="I808" s="9">
        <v>277413.83</v>
      </c>
      <c r="J808" s="9">
        <v>0.0</v>
      </c>
      <c r="K808" s="9">
        <v>0.0</v>
      </c>
      <c r="L808" s="9" t="s">
        <v>59</v>
      </c>
      <c r="M808" s="9" t="s">
        <v>55</v>
      </c>
      <c r="N808" s="9">
        <v>301015.36</v>
      </c>
      <c r="O808" s="9">
        <v>2600000.0</v>
      </c>
      <c r="P808" s="9">
        <v>301015.36</v>
      </c>
      <c r="Q808" s="9">
        <v>0.0</v>
      </c>
      <c r="R808" s="9" t="s">
        <v>60</v>
      </c>
      <c r="S808" s="9" t="s">
        <v>57</v>
      </c>
      <c r="T808" s="9" t="s">
        <v>61</v>
      </c>
      <c r="V808" s="9">
        <v>275941.35</v>
      </c>
      <c r="W808" s="9">
        <v>6500.0</v>
      </c>
      <c r="X808" s="9">
        <v>0.0</v>
      </c>
    </row>
    <row r="809" ht="15.75" customHeight="1">
      <c r="A809" s="9">
        <v>2086631.0</v>
      </c>
      <c r="B809" s="9">
        <v>1.4759836E7</v>
      </c>
      <c r="C809" s="9">
        <v>45551.0</v>
      </c>
      <c r="D809" s="9" t="s">
        <v>52</v>
      </c>
      <c r="E809" s="9" t="s">
        <v>53</v>
      </c>
      <c r="F809" s="9">
        <v>11725.0</v>
      </c>
      <c r="G809" s="9">
        <v>1.7477435E7</v>
      </c>
      <c r="H809" s="9">
        <v>7.340225101E7</v>
      </c>
      <c r="I809" s="9">
        <v>1.620623345E7</v>
      </c>
      <c r="J809" s="9">
        <v>0.0</v>
      </c>
      <c r="K809" s="9">
        <v>0.0</v>
      </c>
      <c r="L809" s="9" t="s">
        <v>59</v>
      </c>
      <c r="M809" s="9" t="s">
        <v>62</v>
      </c>
      <c r="P809" s="9">
        <v>2433241.67</v>
      </c>
      <c r="Q809" s="9">
        <v>0.0</v>
      </c>
      <c r="R809" s="9" t="s">
        <v>109</v>
      </c>
      <c r="S809" s="9" t="s">
        <v>78</v>
      </c>
      <c r="T809" s="9" t="s">
        <v>79</v>
      </c>
      <c r="U809" s="9" t="s">
        <v>110</v>
      </c>
    </row>
    <row r="810" ht="15.75" customHeight="1">
      <c r="A810" s="9">
        <v>2086684.0</v>
      </c>
      <c r="B810" s="9">
        <v>5493543.0</v>
      </c>
      <c r="C810" s="9">
        <v>40564.0</v>
      </c>
      <c r="D810" s="9" t="s">
        <v>52</v>
      </c>
      <c r="E810" s="9" t="s">
        <v>53</v>
      </c>
      <c r="F810" s="9">
        <v>55259.0</v>
      </c>
      <c r="G810" s="9">
        <v>1.566405133E7</v>
      </c>
      <c r="H810" s="9">
        <v>1.566405133E7</v>
      </c>
      <c r="I810" s="9">
        <v>5724321.24</v>
      </c>
      <c r="J810" s="9">
        <v>0.0</v>
      </c>
      <c r="K810" s="9">
        <v>0.0</v>
      </c>
      <c r="L810" s="9" t="s">
        <v>59</v>
      </c>
      <c r="M810" s="9" t="s">
        <v>62</v>
      </c>
      <c r="N810" s="9">
        <v>9496255.0</v>
      </c>
      <c r="O810" s="9">
        <v>0.0</v>
      </c>
      <c r="P810" s="9">
        <v>398550.41</v>
      </c>
      <c r="Q810" s="9">
        <v>0.0</v>
      </c>
      <c r="R810" s="9" t="s">
        <v>63</v>
      </c>
      <c r="S810" s="9" t="s">
        <v>63</v>
      </c>
      <c r="V810" s="9">
        <v>0.0</v>
      </c>
      <c r="W810" s="9">
        <v>0.0</v>
      </c>
      <c r="X810" s="9">
        <v>0.0</v>
      </c>
    </row>
    <row r="811" ht="15.75" customHeight="1">
      <c r="A811" s="9">
        <v>2087301.0</v>
      </c>
      <c r="B811" s="9">
        <v>7.4454024E7</v>
      </c>
      <c r="C811" s="9">
        <v>32177.0</v>
      </c>
      <c r="D811" s="9" t="s">
        <v>52</v>
      </c>
      <c r="E811" s="9" t="s">
        <v>53</v>
      </c>
      <c r="F811" s="9">
        <v>57740.0</v>
      </c>
      <c r="G811" s="9">
        <v>8.9759322E7</v>
      </c>
      <c r="H811" s="9">
        <v>9.252606369E7</v>
      </c>
      <c r="I811" s="9">
        <v>9.252606369E7</v>
      </c>
      <c r="J811" s="9">
        <v>0.0</v>
      </c>
      <c r="K811" s="9">
        <v>0.0</v>
      </c>
      <c r="L811" s="9" t="s">
        <v>59</v>
      </c>
      <c r="M811" s="9" t="s">
        <v>55</v>
      </c>
      <c r="N811" s="9">
        <v>7.434028509E7</v>
      </c>
      <c r="O811" s="9">
        <v>7.434028509E7</v>
      </c>
      <c r="P811" s="9">
        <v>2272641.54</v>
      </c>
      <c r="Q811" s="9">
        <v>2272641.54</v>
      </c>
      <c r="R811" s="9" t="s">
        <v>60</v>
      </c>
      <c r="S811" s="9" t="s">
        <v>57</v>
      </c>
      <c r="T811" s="9" t="s">
        <v>61</v>
      </c>
      <c r="V811" s="9">
        <v>8.873463821E7</v>
      </c>
      <c r="W811" s="9">
        <v>2909327.12</v>
      </c>
      <c r="X811" s="9">
        <v>0.0</v>
      </c>
    </row>
    <row r="812" ht="15.75" customHeight="1">
      <c r="A812" s="9">
        <v>2088220.0</v>
      </c>
      <c r="B812" s="9">
        <v>1895994.0</v>
      </c>
      <c r="C812" s="9">
        <v>30298.0</v>
      </c>
      <c r="D812" s="9" t="s">
        <v>52</v>
      </c>
      <c r="E812" s="9" t="s">
        <v>53</v>
      </c>
      <c r="F812" s="9">
        <v>101674.0</v>
      </c>
      <c r="G812" s="9">
        <v>1895994.0</v>
      </c>
      <c r="H812" s="9">
        <v>1895994.0</v>
      </c>
      <c r="I812" s="9">
        <v>1489943.59</v>
      </c>
      <c r="J812" s="9">
        <v>0.0</v>
      </c>
      <c r="K812" s="9">
        <v>0.0</v>
      </c>
      <c r="L812" s="9" t="s">
        <v>59</v>
      </c>
      <c r="M812" s="9" t="s">
        <v>55</v>
      </c>
      <c r="N812" s="9">
        <v>1259224.13</v>
      </c>
      <c r="O812" s="9">
        <v>1259224.13</v>
      </c>
      <c r="P812" s="9">
        <v>1259224.13</v>
      </c>
      <c r="Q812" s="9">
        <v>20000.0</v>
      </c>
      <c r="R812" s="9" t="s">
        <v>60</v>
      </c>
      <c r="S812" s="9" t="s">
        <v>57</v>
      </c>
      <c r="T812" s="9" t="s">
        <v>61</v>
      </c>
      <c r="V812" s="9">
        <v>1259224.13</v>
      </c>
      <c r="W812" s="9">
        <v>15318.46</v>
      </c>
      <c r="X812" s="9">
        <v>0.0</v>
      </c>
    </row>
    <row r="813" ht="15.75" customHeight="1">
      <c r="A813" s="9">
        <v>2088503.0</v>
      </c>
      <c r="B813" s="9">
        <v>4547535.0</v>
      </c>
      <c r="C813" s="9">
        <v>30416.0</v>
      </c>
      <c r="D813" s="9" t="s">
        <v>52</v>
      </c>
      <c r="E813" s="9" t="s">
        <v>53</v>
      </c>
      <c r="F813" s="9">
        <v>51970.0</v>
      </c>
      <c r="G813" s="9">
        <v>5372964.0</v>
      </c>
      <c r="H813" s="9">
        <v>5372964.0</v>
      </c>
      <c r="I813" s="9">
        <v>5183009.11</v>
      </c>
      <c r="J813" s="9">
        <v>0.0</v>
      </c>
      <c r="K813" s="9">
        <v>0.0</v>
      </c>
      <c r="L813" s="9" t="s">
        <v>59</v>
      </c>
      <c r="M813" s="9" t="s">
        <v>55</v>
      </c>
      <c r="N813" s="9">
        <v>4735932.87</v>
      </c>
      <c r="O813" s="9">
        <v>4735932.87</v>
      </c>
      <c r="P813" s="9">
        <v>229950.0</v>
      </c>
      <c r="Q813" s="9">
        <v>229950.0</v>
      </c>
      <c r="R813" s="9" t="s">
        <v>72</v>
      </c>
      <c r="S813" s="9" t="s">
        <v>57</v>
      </c>
      <c r="T813" s="9" t="s">
        <v>73</v>
      </c>
      <c r="V813" s="9">
        <v>4735932.87</v>
      </c>
      <c r="W813" s="9">
        <v>229950.0</v>
      </c>
      <c r="X813" s="9">
        <v>0.0</v>
      </c>
    </row>
    <row r="814" ht="15.75" customHeight="1">
      <c r="A814" s="9">
        <v>2088571.0</v>
      </c>
      <c r="B814" s="9">
        <v>3160143.0</v>
      </c>
      <c r="C814" s="9">
        <v>30452.0</v>
      </c>
      <c r="D814" s="9" t="s">
        <v>52</v>
      </c>
      <c r="E814" s="9" t="s">
        <v>53</v>
      </c>
      <c r="F814" s="9">
        <v>109572.0</v>
      </c>
      <c r="G814" s="9">
        <v>3473406.0</v>
      </c>
      <c r="H814" s="9">
        <v>3473406.0</v>
      </c>
      <c r="I814" s="9">
        <v>0.0</v>
      </c>
      <c r="J814" s="9">
        <v>0.0</v>
      </c>
      <c r="K814" s="9">
        <v>0.0</v>
      </c>
      <c r="L814" s="9" t="s">
        <v>54</v>
      </c>
      <c r="M814" s="9" t="s">
        <v>55</v>
      </c>
      <c r="N814" s="9">
        <v>3376541.19</v>
      </c>
      <c r="O814" s="9">
        <v>3376541.19</v>
      </c>
      <c r="P814" s="9">
        <v>56275.7</v>
      </c>
      <c r="Q814" s="9">
        <v>56275.7</v>
      </c>
      <c r="R814" s="9" t="s">
        <v>60</v>
      </c>
      <c r="S814" s="9" t="s">
        <v>57</v>
      </c>
      <c r="T814" s="9" t="s">
        <v>61</v>
      </c>
      <c r="V814" s="9">
        <v>3718753.21</v>
      </c>
      <c r="W814" s="9">
        <v>0.0</v>
      </c>
      <c r="X814" s="9">
        <v>0.0</v>
      </c>
    </row>
    <row r="815" ht="15.75" customHeight="1">
      <c r="A815" s="9">
        <v>2053815.0</v>
      </c>
      <c r="B815" s="9">
        <v>1484481.0</v>
      </c>
      <c r="C815" s="9">
        <v>30977.0</v>
      </c>
      <c r="D815" s="9" t="s">
        <v>52</v>
      </c>
      <c r="E815" s="9" t="s">
        <v>53</v>
      </c>
      <c r="F815" s="9">
        <v>55234.0</v>
      </c>
      <c r="G815" s="9">
        <v>1484481.0</v>
      </c>
      <c r="H815" s="9">
        <v>1484481.0</v>
      </c>
      <c r="I815" s="9">
        <v>1313495.66</v>
      </c>
      <c r="J815" s="9">
        <v>0.0</v>
      </c>
      <c r="K815" s="9">
        <v>0.0</v>
      </c>
      <c r="L815" s="9" t="s">
        <v>69</v>
      </c>
      <c r="M815" s="9" t="s">
        <v>55</v>
      </c>
      <c r="R815" s="9" t="s">
        <v>60</v>
      </c>
      <c r="S815" s="9" t="s">
        <v>57</v>
      </c>
      <c r="T815" s="9" t="s">
        <v>61</v>
      </c>
      <c r="V815" s="9">
        <v>1288745.65</v>
      </c>
      <c r="W815" s="9">
        <v>29500.0</v>
      </c>
      <c r="X815" s="9">
        <v>0.0</v>
      </c>
    </row>
    <row r="816" ht="15.75" customHeight="1">
      <c r="A816" s="9">
        <v>2053856.0</v>
      </c>
      <c r="B816" s="9">
        <v>999702.0</v>
      </c>
      <c r="C816" s="9">
        <v>31012.0</v>
      </c>
      <c r="D816" s="9" t="s">
        <v>52</v>
      </c>
      <c r="E816" s="9" t="s">
        <v>53</v>
      </c>
      <c r="F816" s="9">
        <v>45736.0</v>
      </c>
      <c r="G816" s="9">
        <v>999702.0</v>
      </c>
      <c r="H816" s="9">
        <v>999702.0</v>
      </c>
      <c r="I816" s="9">
        <v>0.0</v>
      </c>
      <c r="J816" s="9">
        <v>0.0</v>
      </c>
      <c r="K816" s="9">
        <v>0.0</v>
      </c>
      <c r="L816" s="9" t="s">
        <v>54</v>
      </c>
      <c r="M816" s="9" t="s">
        <v>55</v>
      </c>
      <c r="R816" s="9" t="s">
        <v>60</v>
      </c>
      <c r="S816" s="9" t="s">
        <v>57</v>
      </c>
      <c r="T816" s="9" t="s">
        <v>61</v>
      </c>
      <c r="V816" s="9">
        <v>999702.0</v>
      </c>
      <c r="W816" s="9">
        <v>0.0</v>
      </c>
      <c r="X816" s="9">
        <v>0.0</v>
      </c>
    </row>
    <row r="817" ht="15.75" customHeight="1">
      <c r="A817" s="9">
        <v>2053924.0</v>
      </c>
      <c r="B817" s="9">
        <v>4490680.0</v>
      </c>
      <c r="C817" s="9">
        <v>31128.0</v>
      </c>
      <c r="D817" s="9" t="s">
        <v>52</v>
      </c>
      <c r="E817" s="9" t="s">
        <v>53</v>
      </c>
      <c r="F817" s="9">
        <v>54454.0</v>
      </c>
      <c r="G817" s="9">
        <v>4490680.0</v>
      </c>
      <c r="H817" s="9">
        <v>4490680.0</v>
      </c>
      <c r="I817" s="9">
        <v>4550079.78</v>
      </c>
      <c r="J817" s="9">
        <v>0.0</v>
      </c>
      <c r="K817" s="9">
        <v>0.0</v>
      </c>
      <c r="L817" s="9" t="s">
        <v>59</v>
      </c>
      <c r="M817" s="9" t="s">
        <v>55</v>
      </c>
      <c r="R817" s="9" t="s">
        <v>63</v>
      </c>
      <c r="S817" s="9" t="s">
        <v>63</v>
      </c>
    </row>
    <row r="818" ht="15.75" customHeight="1">
      <c r="A818" s="9">
        <v>2053949.0</v>
      </c>
      <c r="B818" s="9">
        <v>1.8190509E7</v>
      </c>
      <c r="C818" s="9">
        <v>30554.0</v>
      </c>
      <c r="D818" s="9" t="s">
        <v>52</v>
      </c>
      <c r="E818" s="9" t="s">
        <v>53</v>
      </c>
      <c r="F818" s="9">
        <v>54726.0</v>
      </c>
      <c r="G818" s="9">
        <v>1.784603859E7</v>
      </c>
      <c r="H818" s="9">
        <v>1.784603859E7</v>
      </c>
      <c r="I818" s="9">
        <v>1.7803189E7</v>
      </c>
      <c r="J818" s="9">
        <v>0.0</v>
      </c>
      <c r="K818" s="9">
        <v>0.0</v>
      </c>
      <c r="L818" s="9" t="s">
        <v>59</v>
      </c>
      <c r="M818" s="9" t="s">
        <v>55</v>
      </c>
      <c r="N818" s="9">
        <v>1.645624677E7</v>
      </c>
      <c r="O818" s="9">
        <v>1.613590368E7</v>
      </c>
      <c r="P818" s="9">
        <v>1227112.57</v>
      </c>
      <c r="Q818" s="9">
        <v>1227000.0</v>
      </c>
      <c r="R818" s="9" t="s">
        <v>60</v>
      </c>
      <c r="S818" s="9" t="s">
        <v>57</v>
      </c>
      <c r="T818" s="9" t="s">
        <v>61</v>
      </c>
      <c r="V818" s="9">
        <v>1.600903859E7</v>
      </c>
      <c r="W818" s="9">
        <v>1237400.0</v>
      </c>
      <c r="X818" s="9">
        <v>0.0</v>
      </c>
    </row>
    <row r="819" ht="15.75" customHeight="1">
      <c r="A819" s="9">
        <v>2054292.0</v>
      </c>
      <c r="B819" s="9">
        <v>5864314.0</v>
      </c>
      <c r="C819" s="9">
        <v>30822.0</v>
      </c>
      <c r="D819" s="9" t="s">
        <v>52</v>
      </c>
      <c r="E819" s="9" t="s">
        <v>53</v>
      </c>
      <c r="F819" s="9">
        <v>60558.0</v>
      </c>
      <c r="G819" s="9">
        <v>6422387.97</v>
      </c>
      <c r="H819" s="9">
        <v>6422387.97</v>
      </c>
      <c r="I819" s="9">
        <v>6476082.27</v>
      </c>
      <c r="J819" s="9">
        <v>0.0</v>
      </c>
      <c r="K819" s="9">
        <v>0.0</v>
      </c>
      <c r="L819" s="9" t="s">
        <v>69</v>
      </c>
      <c r="M819" s="9" t="s">
        <v>55</v>
      </c>
      <c r="N819" s="9">
        <v>6013728.31</v>
      </c>
      <c r="O819" s="9">
        <v>6013728.31</v>
      </c>
      <c r="P819" s="9">
        <v>292518.66</v>
      </c>
      <c r="Q819" s="9">
        <v>292500.0</v>
      </c>
      <c r="R819" s="9" t="s">
        <v>75</v>
      </c>
      <c r="S819" s="9" t="s">
        <v>57</v>
      </c>
      <c r="T819" s="9" t="s">
        <v>76</v>
      </c>
    </row>
    <row r="820" ht="15.75" customHeight="1">
      <c r="A820" s="9">
        <v>2054315.0</v>
      </c>
      <c r="B820" s="9">
        <v>4541901.0</v>
      </c>
      <c r="C820" s="9">
        <v>30771.0</v>
      </c>
      <c r="D820" s="9" t="s">
        <v>52</v>
      </c>
      <c r="E820" s="9" t="s">
        <v>53</v>
      </c>
      <c r="F820" s="9">
        <v>56325.0</v>
      </c>
      <c r="G820" s="9">
        <v>4541901.0</v>
      </c>
      <c r="H820" s="9">
        <v>4541901.0</v>
      </c>
      <c r="I820" s="9">
        <v>0.0</v>
      </c>
      <c r="J820" s="9">
        <v>0.0</v>
      </c>
      <c r="K820" s="9">
        <v>0.0</v>
      </c>
      <c r="L820" s="9" t="s">
        <v>54</v>
      </c>
      <c r="M820" s="9" t="s">
        <v>55</v>
      </c>
      <c r="N820" s="9">
        <v>4224127.99</v>
      </c>
      <c r="O820" s="9">
        <v>4497651.2</v>
      </c>
      <c r="P820" s="9">
        <v>176600.0</v>
      </c>
      <c r="Q820" s="9">
        <v>176600.0</v>
      </c>
      <c r="R820" s="9" t="s">
        <v>56</v>
      </c>
      <c r="S820" s="9" t="s">
        <v>57</v>
      </c>
      <c r="T820" s="9" t="s">
        <v>58</v>
      </c>
      <c r="V820" s="9">
        <v>4277557.45</v>
      </c>
      <c r="W820" s="9">
        <v>0.0</v>
      </c>
      <c r="X820" s="9">
        <v>0.0</v>
      </c>
    </row>
    <row r="821" ht="15.75" customHeight="1">
      <c r="A821" s="9">
        <v>2054458.0</v>
      </c>
      <c r="B821" s="9">
        <v>196520.0</v>
      </c>
      <c r="C821" s="9">
        <v>31154.0</v>
      </c>
      <c r="D821" s="9" t="s">
        <v>52</v>
      </c>
      <c r="E821" s="9" t="s">
        <v>53</v>
      </c>
      <c r="F821" s="9">
        <v>53032.0</v>
      </c>
      <c r="G821" s="9">
        <v>196520.0</v>
      </c>
      <c r="H821" s="9">
        <v>196520.0</v>
      </c>
      <c r="I821" s="9">
        <v>180698.75</v>
      </c>
      <c r="J821" s="9">
        <v>0.0</v>
      </c>
      <c r="K821" s="9">
        <v>0.0</v>
      </c>
      <c r="L821" s="9" t="s">
        <v>69</v>
      </c>
      <c r="M821" s="9" t="s">
        <v>55</v>
      </c>
      <c r="R821" s="9" t="s">
        <v>60</v>
      </c>
      <c r="S821" s="9" t="s">
        <v>57</v>
      </c>
      <c r="T821" s="9" t="s">
        <v>61</v>
      </c>
      <c r="V821" s="9">
        <v>180699.44</v>
      </c>
      <c r="W821" s="9">
        <v>0.0</v>
      </c>
      <c r="X821" s="9">
        <v>0.0</v>
      </c>
    </row>
    <row r="822" ht="15.75" customHeight="1">
      <c r="A822" s="9">
        <v>2054949.0</v>
      </c>
      <c r="B822" s="9">
        <v>973310.0</v>
      </c>
      <c r="C822" s="9">
        <v>30491.0</v>
      </c>
      <c r="D822" s="9" t="s">
        <v>52</v>
      </c>
      <c r="E822" s="9" t="s">
        <v>53</v>
      </c>
      <c r="F822" s="9">
        <v>56472.0</v>
      </c>
      <c r="G822" s="9">
        <v>973310.0</v>
      </c>
      <c r="H822" s="9">
        <v>973310.0</v>
      </c>
      <c r="I822" s="9">
        <v>978600.84</v>
      </c>
      <c r="J822" s="9">
        <v>0.0</v>
      </c>
      <c r="K822" s="9">
        <v>0.0</v>
      </c>
      <c r="L822" s="9" t="s">
        <v>59</v>
      </c>
      <c r="M822" s="9" t="s">
        <v>55</v>
      </c>
      <c r="N822" s="9">
        <v>912722.56</v>
      </c>
      <c r="O822" s="9">
        <v>821450.32</v>
      </c>
      <c r="R822" s="9" t="s">
        <v>60</v>
      </c>
      <c r="S822" s="9" t="s">
        <v>57</v>
      </c>
      <c r="T822" s="9" t="s">
        <v>61</v>
      </c>
      <c r="V822" s="9">
        <v>900073.8</v>
      </c>
      <c r="W822" s="9">
        <v>0.0</v>
      </c>
      <c r="X822" s="9">
        <v>0.0</v>
      </c>
    </row>
    <row r="823" ht="15.75" customHeight="1">
      <c r="A823" s="9">
        <v>2056428.0</v>
      </c>
      <c r="B823" s="9">
        <v>8699429.0</v>
      </c>
      <c r="C823" s="9">
        <v>30425.0</v>
      </c>
      <c r="D823" s="9" t="s">
        <v>52</v>
      </c>
      <c r="E823" s="9" t="s">
        <v>53</v>
      </c>
      <c r="F823" s="9">
        <v>56900.0</v>
      </c>
      <c r="G823" s="9">
        <v>8699429.0</v>
      </c>
      <c r="H823" s="9">
        <v>8699429.0</v>
      </c>
      <c r="I823" s="9">
        <v>34918.0</v>
      </c>
      <c r="J823" s="9">
        <v>0.0</v>
      </c>
      <c r="K823" s="9">
        <v>0.0</v>
      </c>
      <c r="L823" s="9" t="s">
        <v>69</v>
      </c>
      <c r="M823" s="9" t="s">
        <v>55</v>
      </c>
      <c r="N823" s="9">
        <v>8044730.05</v>
      </c>
      <c r="O823" s="9">
        <v>8044730.05</v>
      </c>
      <c r="P823" s="9">
        <v>241341.9</v>
      </c>
      <c r="Q823" s="9">
        <v>241341.9</v>
      </c>
      <c r="R823" s="9" t="s">
        <v>72</v>
      </c>
      <c r="S823" s="9" t="s">
        <v>57</v>
      </c>
      <c r="T823" s="9" t="s">
        <v>73</v>
      </c>
      <c r="V823" s="9">
        <v>8174218.62</v>
      </c>
      <c r="W823" s="9">
        <v>241341.9</v>
      </c>
      <c r="X823" s="9">
        <v>0.0</v>
      </c>
    </row>
    <row r="824" ht="15.75" customHeight="1">
      <c r="A824" s="9">
        <v>2056430.0</v>
      </c>
      <c r="B824" s="9">
        <v>1905145.0</v>
      </c>
      <c r="C824" s="9">
        <v>30783.0</v>
      </c>
      <c r="D824" s="9" t="s">
        <v>52</v>
      </c>
      <c r="E824" s="9" t="s">
        <v>53</v>
      </c>
      <c r="F824" s="9">
        <v>54713.0</v>
      </c>
      <c r="G824" s="9">
        <v>1905144.82</v>
      </c>
      <c r="H824" s="9">
        <v>1905144.82</v>
      </c>
      <c r="I824" s="9">
        <v>1756996.4</v>
      </c>
      <c r="J824" s="9">
        <v>0.0</v>
      </c>
      <c r="K824" s="9">
        <v>0.0</v>
      </c>
      <c r="L824" s="9" t="s">
        <v>69</v>
      </c>
      <c r="M824" s="9" t="s">
        <v>55</v>
      </c>
      <c r="N824" s="9">
        <v>1734634.41</v>
      </c>
      <c r="O824" s="9">
        <v>1734634.41</v>
      </c>
      <c r="P824" s="9">
        <v>98686.0</v>
      </c>
      <c r="Q824" s="9">
        <v>98686.0</v>
      </c>
      <c r="R824" s="9" t="s">
        <v>60</v>
      </c>
      <c r="S824" s="9" t="s">
        <v>57</v>
      </c>
      <c r="T824" s="9" t="s">
        <v>61</v>
      </c>
      <c r="V824" s="9">
        <v>1563444.4</v>
      </c>
      <c r="W824" s="9">
        <v>0.0</v>
      </c>
      <c r="X824" s="9">
        <v>0.0</v>
      </c>
    </row>
    <row r="825" ht="15.75" customHeight="1">
      <c r="A825" s="9">
        <v>2058066.0</v>
      </c>
      <c r="B825" s="9">
        <v>7849202.0</v>
      </c>
      <c r="C825" s="9">
        <v>30344.0</v>
      </c>
      <c r="D825" s="9" t="s">
        <v>52</v>
      </c>
      <c r="E825" s="9" t="s">
        <v>53</v>
      </c>
      <c r="F825" s="9">
        <v>3274.0</v>
      </c>
      <c r="G825" s="9">
        <v>8466149.22</v>
      </c>
      <c r="H825" s="9">
        <v>8466149.22</v>
      </c>
      <c r="I825" s="9">
        <v>6007599.17</v>
      </c>
      <c r="J825" s="9">
        <v>0.0</v>
      </c>
      <c r="K825" s="9">
        <v>0.0</v>
      </c>
      <c r="L825" s="9" t="s">
        <v>59</v>
      </c>
      <c r="M825" s="9" t="s">
        <v>55</v>
      </c>
      <c r="N825" s="9">
        <v>8046852.68</v>
      </c>
      <c r="O825" s="9">
        <v>8045947.37</v>
      </c>
      <c r="P825" s="9">
        <v>289916.73</v>
      </c>
      <c r="Q825" s="9">
        <v>288467.15</v>
      </c>
      <c r="R825" s="9" t="s">
        <v>60</v>
      </c>
      <c r="S825" s="9" t="s">
        <v>57</v>
      </c>
      <c r="T825" s="9" t="s">
        <v>61</v>
      </c>
      <c r="V825" s="9">
        <v>8195947.37</v>
      </c>
      <c r="W825" s="9">
        <v>0.0</v>
      </c>
      <c r="X825" s="9">
        <v>0.0</v>
      </c>
    </row>
    <row r="826" ht="15.75" customHeight="1">
      <c r="A826" s="9">
        <v>2058636.0</v>
      </c>
      <c r="B826" s="9">
        <v>751329.0</v>
      </c>
      <c r="C826" s="9">
        <v>30990.0</v>
      </c>
      <c r="D826" s="9" t="s">
        <v>52</v>
      </c>
      <c r="E826" s="9" t="s">
        <v>53</v>
      </c>
      <c r="F826" s="9">
        <v>54247.0</v>
      </c>
      <c r="G826" s="9">
        <v>751329.0</v>
      </c>
      <c r="H826" s="9">
        <v>751329.0</v>
      </c>
      <c r="I826" s="9">
        <v>616058.23</v>
      </c>
      <c r="J826" s="9">
        <v>0.0</v>
      </c>
      <c r="K826" s="9">
        <v>0.0</v>
      </c>
      <c r="L826" s="9" t="s">
        <v>54</v>
      </c>
      <c r="M826" s="9" t="s">
        <v>55</v>
      </c>
      <c r="R826" s="9" t="s">
        <v>60</v>
      </c>
      <c r="S826" s="9" t="s">
        <v>57</v>
      </c>
      <c r="T826" s="9" t="s">
        <v>61</v>
      </c>
      <c r="V826" s="9">
        <v>616058.23</v>
      </c>
      <c r="W826" s="9">
        <v>0.0</v>
      </c>
      <c r="X826" s="9">
        <v>0.0</v>
      </c>
    </row>
    <row r="827" ht="15.75" customHeight="1">
      <c r="A827" s="9">
        <v>2058729.0</v>
      </c>
      <c r="B827" s="9">
        <v>627778.0</v>
      </c>
      <c r="C827" s="9">
        <v>31017.0</v>
      </c>
      <c r="D827" s="9" t="s">
        <v>52</v>
      </c>
      <c r="E827" s="9" t="s">
        <v>53</v>
      </c>
      <c r="F827" s="9">
        <v>60213.0</v>
      </c>
      <c r="G827" s="9">
        <v>627778.0</v>
      </c>
      <c r="H827" s="9">
        <v>627778.0</v>
      </c>
      <c r="I827" s="9">
        <v>0.0</v>
      </c>
      <c r="J827" s="9">
        <v>0.0</v>
      </c>
      <c r="K827" s="9">
        <v>0.0</v>
      </c>
      <c r="L827" s="9" t="s">
        <v>54</v>
      </c>
      <c r="M827" s="9" t="s">
        <v>55</v>
      </c>
      <c r="R827" s="9" t="s">
        <v>60</v>
      </c>
      <c r="S827" s="9" t="s">
        <v>57</v>
      </c>
      <c r="T827" s="9" t="s">
        <v>61</v>
      </c>
      <c r="V827" s="9">
        <v>493607.12</v>
      </c>
      <c r="W827" s="9">
        <v>0.0</v>
      </c>
      <c r="X827" s="9">
        <v>0.0</v>
      </c>
    </row>
    <row r="828" ht="15.75" customHeight="1">
      <c r="A828" s="9">
        <v>2059270.0</v>
      </c>
      <c r="B828" s="9">
        <v>3984980.0</v>
      </c>
      <c r="C828" s="9">
        <v>30506.0</v>
      </c>
      <c r="D828" s="9" t="s">
        <v>52</v>
      </c>
      <c r="E828" s="9" t="s">
        <v>53</v>
      </c>
      <c r="F828" s="9">
        <v>40582.0</v>
      </c>
      <c r="G828" s="9">
        <v>3586482.0</v>
      </c>
      <c r="H828" s="9">
        <v>3586482.0</v>
      </c>
      <c r="I828" s="9">
        <v>0.0</v>
      </c>
      <c r="J828" s="9">
        <v>0.0</v>
      </c>
      <c r="K828" s="9">
        <v>0.0</v>
      </c>
      <c r="L828" s="9" t="s">
        <v>54</v>
      </c>
      <c r="M828" s="9" t="s">
        <v>55</v>
      </c>
      <c r="N828" s="9">
        <v>3984980.0</v>
      </c>
      <c r="O828" s="9">
        <v>3586482.0</v>
      </c>
      <c r="R828" s="9" t="s">
        <v>60</v>
      </c>
      <c r="S828" s="9" t="s">
        <v>57</v>
      </c>
      <c r="T828" s="9" t="s">
        <v>61</v>
      </c>
      <c r="V828" s="9">
        <v>3635908.57</v>
      </c>
      <c r="W828" s="9">
        <v>0.0</v>
      </c>
      <c r="X828" s="9">
        <v>0.0</v>
      </c>
    </row>
    <row r="829" ht="15.75" customHeight="1">
      <c r="A829" s="9">
        <v>2059272.0</v>
      </c>
      <c r="B829" s="9">
        <v>924693.23</v>
      </c>
      <c r="C829" s="9">
        <v>31187.0</v>
      </c>
      <c r="D829" s="9" t="s">
        <v>52</v>
      </c>
      <c r="E829" s="9" t="s">
        <v>53</v>
      </c>
      <c r="F829" s="9">
        <v>9310.0</v>
      </c>
      <c r="G829" s="9">
        <v>924693.23</v>
      </c>
      <c r="H829" s="9">
        <v>924693.23</v>
      </c>
      <c r="I829" s="9">
        <v>0.0</v>
      </c>
      <c r="J829" s="9">
        <v>0.0</v>
      </c>
      <c r="K829" s="9">
        <v>0.0</v>
      </c>
      <c r="L829" s="9" t="s">
        <v>54</v>
      </c>
      <c r="M829" s="9" t="s">
        <v>55</v>
      </c>
      <c r="R829" s="9" t="s">
        <v>60</v>
      </c>
      <c r="S829" s="9" t="s">
        <v>57</v>
      </c>
      <c r="T829" s="9" t="s">
        <v>61</v>
      </c>
      <c r="V829" s="9">
        <v>1302503.54</v>
      </c>
      <c r="W829" s="9">
        <v>0.0</v>
      </c>
      <c r="X829" s="9">
        <v>0.0</v>
      </c>
    </row>
    <row r="830" ht="15.75" customHeight="1">
      <c r="A830" s="9">
        <v>2059631.0</v>
      </c>
      <c r="B830" s="9">
        <v>7917439.0</v>
      </c>
      <c r="C830" s="9">
        <v>30663.0</v>
      </c>
      <c r="D830" s="9" t="s">
        <v>52</v>
      </c>
      <c r="E830" s="9" t="s">
        <v>53</v>
      </c>
      <c r="F830" s="9">
        <v>65479.0</v>
      </c>
      <c r="G830" s="9">
        <v>7060664.0</v>
      </c>
      <c r="H830" s="9">
        <v>7060664.0</v>
      </c>
      <c r="I830" s="9">
        <v>7494460.5</v>
      </c>
      <c r="J830" s="9">
        <v>0.0</v>
      </c>
      <c r="K830" s="9">
        <v>0.0</v>
      </c>
      <c r="L830" s="9" t="s">
        <v>59</v>
      </c>
      <c r="M830" s="9" t="s">
        <v>55</v>
      </c>
      <c r="N830" s="9">
        <v>7481795.47</v>
      </c>
      <c r="O830" s="9">
        <v>6909658.08</v>
      </c>
      <c r="P830" s="9">
        <v>7481795.47</v>
      </c>
      <c r="Q830" s="9">
        <v>165329.92</v>
      </c>
      <c r="R830" s="9" t="s">
        <v>75</v>
      </c>
      <c r="S830" s="9" t="s">
        <v>57</v>
      </c>
      <c r="T830" s="9" t="s">
        <v>76</v>
      </c>
    </row>
    <row r="831" ht="15.75" customHeight="1">
      <c r="A831" s="9">
        <v>2060297.0</v>
      </c>
      <c r="B831" s="9">
        <v>1.400507E7</v>
      </c>
      <c r="C831" s="9">
        <v>33968.0</v>
      </c>
      <c r="D831" s="9" t="s">
        <v>52</v>
      </c>
      <c r="E831" s="9" t="s">
        <v>53</v>
      </c>
      <c r="F831" s="9">
        <v>59927.0</v>
      </c>
      <c r="G831" s="9">
        <v>1.343125151E7</v>
      </c>
      <c r="H831" s="9">
        <v>1.343125151E7</v>
      </c>
      <c r="I831" s="9">
        <v>2.12355568E7</v>
      </c>
      <c r="J831" s="9">
        <v>0.0</v>
      </c>
      <c r="K831" s="9">
        <v>0.0</v>
      </c>
      <c r="L831" s="9" t="s">
        <v>59</v>
      </c>
      <c r="M831" s="9" t="s">
        <v>62</v>
      </c>
      <c r="N831" s="9">
        <v>5893583.93</v>
      </c>
      <c r="O831" s="9">
        <v>5893583.93</v>
      </c>
      <c r="P831" s="9">
        <v>176807.52</v>
      </c>
      <c r="Q831" s="9">
        <v>176807.52</v>
      </c>
      <c r="R831" s="9" t="s">
        <v>94</v>
      </c>
      <c r="S831" s="9" t="s">
        <v>57</v>
      </c>
      <c r="T831" s="9" t="s">
        <v>95</v>
      </c>
    </row>
    <row r="832" ht="15.75" customHeight="1">
      <c r="A832" s="9">
        <v>2061367.0</v>
      </c>
      <c r="B832" s="9">
        <v>1567582.0</v>
      </c>
      <c r="C832" s="9">
        <v>30427.0</v>
      </c>
      <c r="D832" s="9" t="s">
        <v>52</v>
      </c>
      <c r="E832" s="9" t="s">
        <v>53</v>
      </c>
      <c r="F832" s="9">
        <v>80131.0</v>
      </c>
      <c r="G832" s="9">
        <v>1567582.0</v>
      </c>
      <c r="H832" s="9">
        <v>1567582.0</v>
      </c>
      <c r="I832" s="9">
        <v>1828486.57</v>
      </c>
      <c r="J832" s="9">
        <v>0.0</v>
      </c>
      <c r="K832" s="9">
        <v>0.0</v>
      </c>
      <c r="L832" s="9" t="s">
        <v>69</v>
      </c>
      <c r="M832" s="9" t="s">
        <v>55</v>
      </c>
      <c r="N832" s="9">
        <v>1483470.05</v>
      </c>
      <c r="O832" s="9">
        <v>1483470.05</v>
      </c>
      <c r="P832" s="9">
        <v>52000.0</v>
      </c>
      <c r="Q832" s="9">
        <v>52000.0</v>
      </c>
      <c r="R832" s="9" t="s">
        <v>56</v>
      </c>
      <c r="S832" s="9" t="s">
        <v>57</v>
      </c>
      <c r="T832" s="9" t="s">
        <v>58</v>
      </c>
      <c r="V832" s="9">
        <v>1495655.78</v>
      </c>
      <c r="W832" s="9">
        <v>0.0</v>
      </c>
      <c r="X832" s="9">
        <v>0.0</v>
      </c>
    </row>
    <row r="833" ht="15.75" customHeight="1">
      <c r="A833" s="9">
        <v>2061612.0</v>
      </c>
      <c r="B833" s="9">
        <v>202575.0</v>
      </c>
      <c r="C833" s="9">
        <v>30989.0</v>
      </c>
      <c r="D833" s="9" t="s">
        <v>52</v>
      </c>
      <c r="E833" s="9" t="s">
        <v>53</v>
      </c>
      <c r="F833" s="9">
        <v>54325.0</v>
      </c>
      <c r="G833" s="9">
        <v>202575.0</v>
      </c>
      <c r="H833" s="9">
        <v>202575.0</v>
      </c>
      <c r="I833" s="9">
        <v>519197.75</v>
      </c>
      <c r="J833" s="9">
        <v>0.0</v>
      </c>
      <c r="K833" s="9">
        <v>0.0</v>
      </c>
      <c r="L833" s="9" t="s">
        <v>69</v>
      </c>
      <c r="M833" s="9" t="s">
        <v>55</v>
      </c>
      <c r="R833" s="9" t="s">
        <v>72</v>
      </c>
      <c r="S833" s="9" t="s">
        <v>57</v>
      </c>
      <c r="T833" s="9" t="s">
        <v>73</v>
      </c>
      <c r="V833" s="9">
        <v>198753.2</v>
      </c>
      <c r="W833" s="9">
        <v>2712.75</v>
      </c>
      <c r="X833" s="9">
        <v>0.0</v>
      </c>
    </row>
    <row r="834" ht="15.75" customHeight="1">
      <c r="A834" s="9">
        <v>2064779.0</v>
      </c>
      <c r="B834" s="9">
        <v>4662190.0</v>
      </c>
      <c r="C834" s="9">
        <v>30528.0</v>
      </c>
      <c r="D834" s="9" t="s">
        <v>52</v>
      </c>
      <c r="E834" s="9" t="s">
        <v>53</v>
      </c>
      <c r="F834" s="9">
        <v>7641.0</v>
      </c>
      <c r="G834" s="9">
        <v>4805191.21</v>
      </c>
      <c r="H834" s="9">
        <v>4805191.21</v>
      </c>
      <c r="I834" s="9">
        <v>4906219.87</v>
      </c>
      <c r="J834" s="9">
        <v>0.0</v>
      </c>
      <c r="K834" s="9">
        <v>0.0</v>
      </c>
      <c r="L834" s="9" t="s">
        <v>59</v>
      </c>
      <c r="M834" s="9" t="s">
        <v>55</v>
      </c>
      <c r="N834" s="9">
        <v>4595220.13</v>
      </c>
      <c r="O834" s="9">
        <v>4582495.63</v>
      </c>
      <c r="P834" s="9">
        <v>4595220.13</v>
      </c>
      <c r="Q834" s="9">
        <v>95850.0</v>
      </c>
      <c r="R834" s="9" t="s">
        <v>56</v>
      </c>
      <c r="S834" s="9" t="s">
        <v>57</v>
      </c>
      <c r="T834" s="9" t="s">
        <v>58</v>
      </c>
      <c r="V834" s="9">
        <v>4582495.63</v>
      </c>
      <c r="W834" s="9">
        <v>0.0</v>
      </c>
      <c r="X834" s="9">
        <v>0.0</v>
      </c>
    </row>
    <row r="835" ht="15.75" customHeight="1">
      <c r="A835" s="9">
        <v>2064854.0</v>
      </c>
      <c r="B835" s="9">
        <v>328801.0</v>
      </c>
      <c r="C835" s="9">
        <v>30172.0</v>
      </c>
      <c r="D835" s="9" t="s">
        <v>52</v>
      </c>
      <c r="E835" s="9" t="s">
        <v>53</v>
      </c>
      <c r="F835" s="9">
        <v>46524.0</v>
      </c>
      <c r="G835" s="9">
        <v>328801.0</v>
      </c>
      <c r="H835" s="9">
        <v>328801.0</v>
      </c>
      <c r="I835" s="9">
        <v>0.0</v>
      </c>
      <c r="J835" s="9">
        <v>0.0</v>
      </c>
      <c r="K835" s="9">
        <v>0.0</v>
      </c>
      <c r="L835" s="9" t="s">
        <v>69</v>
      </c>
      <c r="M835" s="9" t="s">
        <v>55</v>
      </c>
      <c r="N835" s="9">
        <v>328801.0</v>
      </c>
      <c r="O835" s="9">
        <v>296448.3</v>
      </c>
      <c r="P835" s="9">
        <v>0.0</v>
      </c>
      <c r="Q835" s="9">
        <v>9346.32</v>
      </c>
      <c r="R835" s="9" t="s">
        <v>60</v>
      </c>
      <c r="S835" s="9" t="s">
        <v>57</v>
      </c>
      <c r="T835" s="9" t="s">
        <v>61</v>
      </c>
      <c r="V835" s="9">
        <v>296448.3</v>
      </c>
      <c r="W835" s="9">
        <v>9346.32</v>
      </c>
      <c r="X835" s="9">
        <v>0.0</v>
      </c>
    </row>
    <row r="836" ht="15.75" customHeight="1">
      <c r="A836" s="9">
        <v>2065118.0</v>
      </c>
      <c r="B836" s="9">
        <v>1773645.0</v>
      </c>
      <c r="C836" s="9">
        <v>29916.0</v>
      </c>
      <c r="D836" s="9" t="s">
        <v>52</v>
      </c>
      <c r="E836" s="9" t="s">
        <v>53</v>
      </c>
      <c r="F836" s="9">
        <v>52009.0</v>
      </c>
      <c r="G836" s="9">
        <v>1773645.0</v>
      </c>
      <c r="H836" s="9">
        <v>1773645.0</v>
      </c>
      <c r="I836" s="9">
        <v>1567424.44</v>
      </c>
      <c r="J836" s="9">
        <v>0.0</v>
      </c>
      <c r="K836" s="9">
        <v>0.0</v>
      </c>
      <c r="L836" s="9" t="s">
        <v>59</v>
      </c>
      <c r="M836" s="9" t="s">
        <v>55</v>
      </c>
      <c r="N836" s="9">
        <v>1753798.98</v>
      </c>
      <c r="O836" s="9">
        <v>1753798.98</v>
      </c>
      <c r="P836" s="9">
        <v>20900.0</v>
      </c>
      <c r="Q836" s="9">
        <v>20900.0</v>
      </c>
      <c r="R836" s="9" t="s">
        <v>60</v>
      </c>
      <c r="S836" s="9" t="s">
        <v>57</v>
      </c>
      <c r="T836" s="9" t="s">
        <v>61</v>
      </c>
      <c r="V836" s="9">
        <v>1753798.98</v>
      </c>
      <c r="W836" s="9">
        <v>20900.0</v>
      </c>
      <c r="X836" s="9">
        <v>0.0</v>
      </c>
    </row>
    <row r="837" ht="15.75" customHeight="1">
      <c r="A837" s="9">
        <v>2087864.0</v>
      </c>
      <c r="B837" s="9">
        <v>981452.0</v>
      </c>
      <c r="C837" s="9">
        <v>29704.0</v>
      </c>
      <c r="D837" s="9" t="s">
        <v>52</v>
      </c>
      <c r="E837" s="9" t="s">
        <v>53</v>
      </c>
      <c r="F837" s="9">
        <v>11218.0</v>
      </c>
      <c r="G837" s="9">
        <v>981452.0</v>
      </c>
      <c r="H837" s="9">
        <v>981452.0</v>
      </c>
      <c r="I837" s="9">
        <v>0.0</v>
      </c>
      <c r="J837" s="9">
        <v>0.0</v>
      </c>
      <c r="K837" s="9">
        <v>0.0</v>
      </c>
      <c r="L837" s="9" t="s">
        <v>54</v>
      </c>
      <c r="M837" s="9" t="s">
        <v>65</v>
      </c>
      <c r="N837" s="9">
        <v>29500.0</v>
      </c>
      <c r="O837" s="9">
        <v>0.0</v>
      </c>
      <c r="R837" s="9" t="s">
        <v>60</v>
      </c>
      <c r="S837" s="9" t="s">
        <v>57</v>
      </c>
      <c r="T837" s="9" t="s">
        <v>61</v>
      </c>
    </row>
    <row r="838" ht="15.75" customHeight="1">
      <c r="A838" s="9">
        <v>2088357.0</v>
      </c>
      <c r="B838" s="9">
        <v>2.2233968E7</v>
      </c>
      <c r="C838" s="9">
        <v>30473.0</v>
      </c>
      <c r="D838" s="9" t="s">
        <v>52</v>
      </c>
      <c r="E838" s="9" t="s">
        <v>53</v>
      </c>
      <c r="F838" s="9">
        <v>50840.0</v>
      </c>
      <c r="G838" s="9">
        <v>2.617749659E7</v>
      </c>
      <c r="H838" s="9">
        <v>2.617749659E7</v>
      </c>
      <c r="I838" s="9">
        <v>514637.73</v>
      </c>
      <c r="J838" s="9">
        <v>0.0</v>
      </c>
      <c r="K838" s="9">
        <v>0.0</v>
      </c>
      <c r="L838" s="9" t="s">
        <v>69</v>
      </c>
      <c r="M838" s="9" t="s">
        <v>55</v>
      </c>
      <c r="N838" s="9">
        <v>2.473464244E7</v>
      </c>
      <c r="O838" s="9">
        <v>2.22611782E7</v>
      </c>
      <c r="P838" s="9">
        <v>376290.2</v>
      </c>
      <c r="Q838" s="9">
        <v>338661.18</v>
      </c>
      <c r="R838" s="9" t="s">
        <v>60</v>
      </c>
      <c r="S838" s="9" t="s">
        <v>57</v>
      </c>
      <c r="T838" s="9" t="s">
        <v>61</v>
      </c>
      <c r="V838" s="9">
        <v>2.323102959E7</v>
      </c>
      <c r="W838" s="9">
        <v>399210.73</v>
      </c>
      <c r="X838" s="9">
        <v>43462.86</v>
      </c>
    </row>
    <row r="839" ht="15.75" customHeight="1">
      <c r="A839" s="9">
        <v>2088793.0</v>
      </c>
      <c r="B839" s="9">
        <v>7.8468844E7</v>
      </c>
      <c r="C839" s="9">
        <v>36756.0</v>
      </c>
      <c r="D839" s="9" t="s">
        <v>52</v>
      </c>
      <c r="E839" s="9" t="s">
        <v>87</v>
      </c>
      <c r="F839" s="9">
        <v>61434.0</v>
      </c>
      <c r="G839" s="9">
        <v>1.3897419484E8</v>
      </c>
      <c r="H839" s="9">
        <v>1.4854423611E8</v>
      </c>
      <c r="I839" s="9">
        <v>1.3988890205E8</v>
      </c>
      <c r="J839" s="9">
        <v>0.0</v>
      </c>
      <c r="K839" s="9">
        <v>0.0</v>
      </c>
      <c r="L839" s="9" t="s">
        <v>69</v>
      </c>
      <c r="M839" s="9" t="s">
        <v>55</v>
      </c>
      <c r="N839" s="9">
        <v>0.0</v>
      </c>
      <c r="O839" s="9">
        <v>9.458164971E7</v>
      </c>
      <c r="P839" s="9">
        <v>0.0</v>
      </c>
      <c r="Q839" s="9">
        <v>2.9559449E7</v>
      </c>
      <c r="R839" s="9" t="s">
        <v>115</v>
      </c>
      <c r="S839" s="9" t="s">
        <v>115</v>
      </c>
      <c r="V839" s="9">
        <v>1.4854423611E8</v>
      </c>
      <c r="W839" s="9">
        <v>0.0</v>
      </c>
    </row>
    <row r="840" ht="15.75" customHeight="1">
      <c r="A840" s="9">
        <v>2089836.0</v>
      </c>
      <c r="B840" s="9">
        <v>1.7460977E7</v>
      </c>
      <c r="C840" s="9">
        <v>30814.0</v>
      </c>
      <c r="D840" s="9" t="s">
        <v>52</v>
      </c>
      <c r="E840" s="9" t="s">
        <v>53</v>
      </c>
      <c r="F840" s="9">
        <v>81876.0</v>
      </c>
      <c r="G840" s="9">
        <v>2.2637954E7</v>
      </c>
      <c r="H840" s="9">
        <v>2.2637954E7</v>
      </c>
      <c r="I840" s="9">
        <v>2067317.0</v>
      </c>
      <c r="J840" s="9">
        <v>0.0</v>
      </c>
      <c r="K840" s="9">
        <v>0.0</v>
      </c>
      <c r="L840" s="9" t="s">
        <v>54</v>
      </c>
      <c r="M840" s="9" t="s">
        <v>55</v>
      </c>
      <c r="N840" s="9">
        <v>1.792221365E7</v>
      </c>
      <c r="O840" s="9">
        <v>1.971347029E7</v>
      </c>
      <c r="P840" s="9">
        <v>627277.48</v>
      </c>
      <c r="Q840" s="9">
        <v>627277.48</v>
      </c>
      <c r="R840" s="9" t="s">
        <v>60</v>
      </c>
      <c r="S840" s="9" t="s">
        <v>57</v>
      </c>
      <c r="T840" s="9" t="s">
        <v>61</v>
      </c>
      <c r="V840" s="9">
        <v>2.241478676E7</v>
      </c>
      <c r="W840" s="9">
        <v>627277.48</v>
      </c>
      <c r="X840" s="9">
        <v>0.0</v>
      </c>
    </row>
    <row r="841" ht="15.75" customHeight="1">
      <c r="A841" s="9">
        <v>2089938.0</v>
      </c>
      <c r="B841" s="9">
        <v>2.2384889E7</v>
      </c>
      <c r="C841" s="9">
        <v>33967.0</v>
      </c>
      <c r="D841" s="9" t="s">
        <v>52</v>
      </c>
      <c r="E841" s="9" t="s">
        <v>53</v>
      </c>
      <c r="F841" s="9">
        <v>90700.0</v>
      </c>
      <c r="G841" s="9">
        <v>6.797913222E7</v>
      </c>
      <c r="H841" s="9">
        <v>9.117429436E7</v>
      </c>
      <c r="I841" s="9">
        <v>9.156336507E7</v>
      </c>
      <c r="J841" s="9">
        <v>127057.81</v>
      </c>
      <c r="K841" s="9">
        <v>133500.0</v>
      </c>
      <c r="L841" s="9" t="s">
        <v>59</v>
      </c>
      <c r="M841" s="9" t="s">
        <v>62</v>
      </c>
      <c r="N841" s="9">
        <v>5.0470084E7</v>
      </c>
      <c r="O841" s="9">
        <v>5.036914383E7</v>
      </c>
      <c r="P841" s="9">
        <v>2841562.06</v>
      </c>
      <c r="Q841" s="9">
        <v>2841562.06</v>
      </c>
      <c r="R841" s="9" t="s">
        <v>75</v>
      </c>
      <c r="S841" s="9" t="s">
        <v>57</v>
      </c>
      <c r="T841" s="9" t="s">
        <v>76</v>
      </c>
    </row>
    <row r="842" ht="15.75" customHeight="1">
      <c r="A842" s="9">
        <v>2090772.0</v>
      </c>
      <c r="B842" s="9">
        <v>9962385.0</v>
      </c>
      <c r="C842" s="9">
        <v>29967.0</v>
      </c>
      <c r="D842" s="9" t="s">
        <v>52</v>
      </c>
      <c r="E842" s="9" t="s">
        <v>53</v>
      </c>
      <c r="F842" s="9">
        <v>112675.0</v>
      </c>
      <c r="G842" s="9">
        <v>1.024026805E7</v>
      </c>
      <c r="H842" s="9">
        <v>1.024026805E7</v>
      </c>
      <c r="I842" s="9">
        <v>1.000153626E7</v>
      </c>
      <c r="J842" s="9">
        <v>0.0</v>
      </c>
      <c r="K842" s="9">
        <v>0.0</v>
      </c>
      <c r="L842" s="9" t="s">
        <v>69</v>
      </c>
      <c r="M842" s="9" t="s">
        <v>55</v>
      </c>
      <c r="N842" s="9">
        <v>9273603.91</v>
      </c>
      <c r="O842" s="9">
        <v>9273603.91</v>
      </c>
      <c r="P842" s="9">
        <v>358671.08</v>
      </c>
      <c r="Q842" s="9">
        <v>358671.08</v>
      </c>
      <c r="R842" s="9" t="s">
        <v>60</v>
      </c>
      <c r="S842" s="9" t="s">
        <v>57</v>
      </c>
      <c r="T842" s="9" t="s">
        <v>61</v>
      </c>
      <c r="V842" s="9">
        <v>9273691.81</v>
      </c>
      <c r="W842" s="9">
        <v>358671.08</v>
      </c>
      <c r="X842" s="9">
        <v>0.0</v>
      </c>
    </row>
    <row r="843" ht="15.75" customHeight="1">
      <c r="A843" s="9">
        <v>2090774.0</v>
      </c>
      <c r="B843" s="9">
        <v>4192363.0</v>
      </c>
      <c r="C843" s="9">
        <v>29794.0</v>
      </c>
      <c r="D843" s="9" t="s">
        <v>52</v>
      </c>
      <c r="E843" s="9" t="s">
        <v>53</v>
      </c>
      <c r="F843" s="9">
        <v>113653.0</v>
      </c>
      <c r="G843" s="9">
        <v>4905386.91</v>
      </c>
      <c r="H843" s="9">
        <v>4905386.91</v>
      </c>
      <c r="I843" s="9">
        <v>68672.0</v>
      </c>
      <c r="J843" s="9">
        <v>0.0</v>
      </c>
      <c r="K843" s="9">
        <v>0.0</v>
      </c>
      <c r="L843" s="9" t="s">
        <v>69</v>
      </c>
      <c r="M843" s="9" t="s">
        <v>65</v>
      </c>
      <c r="N843" s="9">
        <v>68672.0</v>
      </c>
      <c r="O843" s="9">
        <v>68672.0</v>
      </c>
      <c r="R843" s="9" t="s">
        <v>72</v>
      </c>
      <c r="S843" s="9" t="s">
        <v>57</v>
      </c>
      <c r="T843" s="9" t="s">
        <v>73</v>
      </c>
    </row>
    <row r="844" ht="15.75" customHeight="1">
      <c r="A844" s="9">
        <v>2091733.0</v>
      </c>
      <c r="B844" s="9">
        <v>7726365.0</v>
      </c>
      <c r="C844" s="9">
        <v>30009.0</v>
      </c>
      <c r="D844" s="9" t="s">
        <v>52</v>
      </c>
      <c r="E844" s="9" t="s">
        <v>53</v>
      </c>
      <c r="F844" s="9">
        <v>98928.0</v>
      </c>
      <c r="G844" s="9">
        <v>9657542.0</v>
      </c>
      <c r="H844" s="9">
        <v>1.011694375E7</v>
      </c>
      <c r="I844" s="9">
        <v>1.011694375E7</v>
      </c>
      <c r="J844" s="9">
        <v>0.0</v>
      </c>
      <c r="K844" s="9">
        <v>0.0</v>
      </c>
      <c r="L844" s="9" t="s">
        <v>69</v>
      </c>
      <c r="M844" s="9" t="s">
        <v>55</v>
      </c>
      <c r="N844" s="9">
        <v>8703545.72</v>
      </c>
      <c r="O844" s="9">
        <v>8703545.72</v>
      </c>
      <c r="P844" s="9">
        <v>250000.0</v>
      </c>
      <c r="Q844" s="9">
        <v>250000.0</v>
      </c>
      <c r="R844" s="9" t="s">
        <v>60</v>
      </c>
      <c r="S844" s="9" t="s">
        <v>57</v>
      </c>
      <c r="T844" s="9" t="s">
        <v>61</v>
      </c>
      <c r="V844" s="9">
        <v>9561104.55</v>
      </c>
      <c r="W844" s="9">
        <v>158050.0</v>
      </c>
      <c r="X844" s="9">
        <v>0.0</v>
      </c>
    </row>
    <row r="845" ht="15.75" customHeight="1">
      <c r="A845" s="9">
        <v>2095913.0</v>
      </c>
      <c r="B845" s="9">
        <v>3744725.0</v>
      </c>
      <c r="C845" s="9">
        <v>29972.0</v>
      </c>
      <c r="D845" s="9" t="s">
        <v>52</v>
      </c>
      <c r="E845" s="9" t="s">
        <v>53</v>
      </c>
      <c r="F845" s="9">
        <v>116477.0</v>
      </c>
      <c r="G845" s="9">
        <v>3744725.0</v>
      </c>
      <c r="H845" s="9">
        <v>3858927.44</v>
      </c>
      <c r="I845" s="9">
        <v>5691396.0</v>
      </c>
      <c r="J845" s="9">
        <v>0.0</v>
      </c>
      <c r="K845" s="9">
        <v>0.0</v>
      </c>
      <c r="L845" s="9" t="s">
        <v>59</v>
      </c>
      <c r="M845" s="9" t="s">
        <v>55</v>
      </c>
      <c r="N845" s="9">
        <v>3598050.73</v>
      </c>
      <c r="O845" s="9">
        <v>3518893.61</v>
      </c>
      <c r="P845" s="9">
        <v>95358.5</v>
      </c>
      <c r="Q845" s="9">
        <v>95358.5</v>
      </c>
      <c r="R845" s="9" t="s">
        <v>75</v>
      </c>
      <c r="S845" s="9" t="s">
        <v>57</v>
      </c>
      <c r="T845" s="9" t="s">
        <v>76</v>
      </c>
    </row>
    <row r="846" ht="15.75" customHeight="1">
      <c r="A846" s="9">
        <v>2095979.0</v>
      </c>
      <c r="B846" s="9">
        <v>1581234.0</v>
      </c>
      <c r="C846" s="9">
        <v>31066.0</v>
      </c>
      <c r="D846" s="9" t="s">
        <v>52</v>
      </c>
      <c r="E846" s="9" t="s">
        <v>53</v>
      </c>
      <c r="F846" s="9">
        <v>104242.0</v>
      </c>
      <c r="G846" s="9">
        <v>1704000.0</v>
      </c>
      <c r="H846" s="9">
        <v>1704000.0</v>
      </c>
      <c r="I846" s="9">
        <v>2467072.28</v>
      </c>
      <c r="J846" s="9">
        <v>0.0</v>
      </c>
      <c r="K846" s="9">
        <v>0.0</v>
      </c>
      <c r="L846" s="9" t="s">
        <v>69</v>
      </c>
      <c r="M846" s="9" t="s">
        <v>55</v>
      </c>
      <c r="R846" s="9" t="s">
        <v>60</v>
      </c>
      <c r="S846" s="9" t="s">
        <v>57</v>
      </c>
      <c r="T846" s="9" t="s">
        <v>61</v>
      </c>
      <c r="V846" s="9">
        <v>2467072.28</v>
      </c>
      <c r="W846" s="9">
        <v>0.0</v>
      </c>
      <c r="X846" s="9">
        <v>0.0</v>
      </c>
    </row>
    <row r="847" ht="15.75" customHeight="1">
      <c r="A847" s="9">
        <v>2095981.0</v>
      </c>
      <c r="B847" s="9">
        <v>3484376.0</v>
      </c>
      <c r="C847" s="9">
        <v>30028.0</v>
      </c>
      <c r="D847" s="9" t="s">
        <v>52</v>
      </c>
      <c r="E847" s="9" t="s">
        <v>53</v>
      </c>
      <c r="F847" s="9">
        <v>107243.0</v>
      </c>
      <c r="G847" s="9">
        <v>3856218.41</v>
      </c>
      <c r="H847" s="9">
        <v>3856218.41</v>
      </c>
      <c r="I847" s="9">
        <v>3877216.96</v>
      </c>
      <c r="J847" s="9">
        <v>0.0</v>
      </c>
      <c r="K847" s="9">
        <v>0.0</v>
      </c>
      <c r="L847" s="9" t="s">
        <v>59</v>
      </c>
      <c r="M847" s="9" t="s">
        <v>55</v>
      </c>
      <c r="N847" s="9">
        <v>3720233.84</v>
      </c>
      <c r="O847" s="9">
        <v>3720233.84</v>
      </c>
      <c r="P847" s="9">
        <v>84491.33</v>
      </c>
      <c r="Q847" s="9">
        <v>84491.33</v>
      </c>
      <c r="R847" s="9" t="s">
        <v>60</v>
      </c>
      <c r="S847" s="9" t="s">
        <v>57</v>
      </c>
      <c r="T847" s="9" t="s">
        <v>61</v>
      </c>
      <c r="V847" s="9">
        <v>3729556.92</v>
      </c>
      <c r="W847" s="9">
        <v>84491.33</v>
      </c>
      <c r="X847" s="9">
        <v>0.0</v>
      </c>
    </row>
    <row r="848" ht="15.75" customHeight="1">
      <c r="A848" s="9">
        <v>2098821.0</v>
      </c>
      <c r="B848" s="9">
        <v>1852942.0</v>
      </c>
      <c r="C848" s="9">
        <v>29886.0</v>
      </c>
      <c r="D848" s="9" t="s">
        <v>52</v>
      </c>
      <c r="E848" s="9" t="s">
        <v>53</v>
      </c>
      <c r="F848" s="9">
        <v>109507.0</v>
      </c>
      <c r="G848" s="9">
        <v>2026369.28</v>
      </c>
      <c r="H848" s="9">
        <v>2703097.39</v>
      </c>
      <c r="I848" s="9">
        <v>2703097.39</v>
      </c>
      <c r="J848" s="9">
        <v>0.0</v>
      </c>
      <c r="K848" s="9">
        <v>0.0</v>
      </c>
      <c r="L848" s="9" t="s">
        <v>69</v>
      </c>
      <c r="M848" s="9" t="s">
        <v>55</v>
      </c>
      <c r="N848" s="9">
        <v>2445065.25</v>
      </c>
      <c r="O848" s="9">
        <v>2445065.25</v>
      </c>
      <c r="P848" s="9">
        <v>2445065.25</v>
      </c>
      <c r="Q848" s="9">
        <v>36000.0</v>
      </c>
      <c r="R848" s="9" t="s">
        <v>60</v>
      </c>
      <c r="S848" s="9" t="s">
        <v>57</v>
      </c>
      <c r="T848" s="9" t="s">
        <v>61</v>
      </c>
      <c r="V848" s="9">
        <v>1955075.0</v>
      </c>
      <c r="W848" s="9">
        <v>36000.0</v>
      </c>
      <c r="X848" s="9">
        <v>0.0</v>
      </c>
    </row>
    <row r="849" ht="15.75" customHeight="1">
      <c r="A849" s="9">
        <v>2100632.0</v>
      </c>
      <c r="B849" s="9">
        <v>3688904.0</v>
      </c>
      <c r="C849" s="9">
        <v>29523.0</v>
      </c>
      <c r="D849" s="9" t="s">
        <v>52</v>
      </c>
      <c r="E849" s="9" t="s">
        <v>53</v>
      </c>
      <c r="F849" s="9">
        <v>102226.0</v>
      </c>
      <c r="G849" s="9">
        <v>3688904.0</v>
      </c>
      <c r="H849" s="9">
        <v>3688904.0</v>
      </c>
      <c r="I849" s="9">
        <v>0.0</v>
      </c>
      <c r="J849" s="9">
        <v>0.0</v>
      </c>
      <c r="K849" s="9">
        <v>0.0</v>
      </c>
      <c r="L849" s="9" t="s">
        <v>54</v>
      </c>
      <c r="M849" s="9" t="s">
        <v>116</v>
      </c>
      <c r="N849" s="9">
        <v>90000.0</v>
      </c>
      <c r="O849" s="9">
        <v>81000.0</v>
      </c>
      <c r="R849" s="9" t="s">
        <v>117</v>
      </c>
      <c r="S849" s="9" t="s">
        <v>57</v>
      </c>
      <c r="T849" s="9" t="s">
        <v>118</v>
      </c>
    </row>
    <row r="850" ht="15.75" customHeight="1">
      <c r="A850" s="9">
        <v>2101897.0</v>
      </c>
      <c r="B850" s="9">
        <v>3650367.0</v>
      </c>
      <c r="C850" s="9">
        <v>30671.0</v>
      </c>
      <c r="D850" s="9" t="s">
        <v>52</v>
      </c>
      <c r="E850" s="9" t="s">
        <v>53</v>
      </c>
      <c r="F850" s="9">
        <v>116827.0</v>
      </c>
      <c r="G850" s="9">
        <v>3636310.95</v>
      </c>
      <c r="H850" s="9">
        <v>3636310.95</v>
      </c>
      <c r="I850" s="9">
        <v>3942279.57</v>
      </c>
      <c r="J850" s="9">
        <v>0.0</v>
      </c>
      <c r="K850" s="9">
        <v>0.0</v>
      </c>
      <c r="L850" s="9" t="s">
        <v>69</v>
      </c>
      <c r="M850" s="9" t="s">
        <v>55</v>
      </c>
      <c r="N850" s="9">
        <v>3232276.4</v>
      </c>
      <c r="O850" s="9">
        <v>2958354.67</v>
      </c>
      <c r="P850" s="9">
        <v>196310.0</v>
      </c>
      <c r="Q850" s="9">
        <v>196310.0</v>
      </c>
      <c r="R850" s="9" t="s">
        <v>72</v>
      </c>
      <c r="S850" s="9" t="s">
        <v>57</v>
      </c>
      <c r="T850" s="9" t="s">
        <v>73</v>
      </c>
      <c r="V850" s="9">
        <v>3617760.52</v>
      </c>
      <c r="W850" s="9">
        <v>0.0</v>
      </c>
      <c r="X850" s="9">
        <v>0.0</v>
      </c>
    </row>
    <row r="851" ht="15.75" customHeight="1">
      <c r="A851" s="9">
        <v>2101970.0</v>
      </c>
      <c r="B851" s="9">
        <v>358861.84</v>
      </c>
      <c r="C851" s="9">
        <v>31157.0</v>
      </c>
      <c r="D851" s="9" t="s">
        <v>52</v>
      </c>
      <c r="E851" s="9" t="s">
        <v>53</v>
      </c>
      <c r="F851" s="9">
        <v>124764.0</v>
      </c>
      <c r="G851" s="9">
        <v>393242.67</v>
      </c>
      <c r="H851" s="9">
        <v>393242.67</v>
      </c>
      <c r="I851" s="9">
        <v>0.0</v>
      </c>
      <c r="J851" s="9">
        <v>0.0</v>
      </c>
      <c r="K851" s="9">
        <v>0.0</v>
      </c>
      <c r="L851" s="9" t="s">
        <v>54</v>
      </c>
      <c r="M851" s="9" t="s">
        <v>55</v>
      </c>
      <c r="R851" s="9" t="s">
        <v>60</v>
      </c>
      <c r="S851" s="9" t="s">
        <v>57</v>
      </c>
      <c r="T851" s="9" t="s">
        <v>61</v>
      </c>
      <c r="V851" s="9">
        <v>383468.0</v>
      </c>
      <c r="W851" s="9">
        <v>0.0</v>
      </c>
      <c r="X851" s="9">
        <v>0.0</v>
      </c>
    </row>
    <row r="852" ht="15.75" customHeight="1">
      <c r="A852" s="9">
        <v>2104771.0</v>
      </c>
      <c r="B852" s="9">
        <v>3921210.0</v>
      </c>
      <c r="C852" s="9">
        <v>30457.0</v>
      </c>
      <c r="D852" s="9" t="s">
        <v>52</v>
      </c>
      <c r="E852" s="9" t="s">
        <v>53</v>
      </c>
      <c r="F852" s="9">
        <v>116532.0</v>
      </c>
      <c r="G852" s="9">
        <v>5097573.0</v>
      </c>
      <c r="H852" s="9">
        <v>5097573.0</v>
      </c>
      <c r="I852" s="9">
        <v>4941573.0</v>
      </c>
      <c r="J852" s="9">
        <v>0.0</v>
      </c>
      <c r="K852" s="9">
        <v>0.0</v>
      </c>
      <c r="L852" s="9" t="s">
        <v>69</v>
      </c>
      <c r="M852" s="9" t="s">
        <v>55</v>
      </c>
      <c r="N852" s="9">
        <v>4687573.0</v>
      </c>
      <c r="O852" s="9">
        <v>4687573.0</v>
      </c>
      <c r="P852" s="9">
        <v>230000.0</v>
      </c>
      <c r="Q852" s="9">
        <v>0.0</v>
      </c>
      <c r="R852" s="9" t="s">
        <v>60</v>
      </c>
      <c r="S852" s="9" t="s">
        <v>57</v>
      </c>
      <c r="T852" s="9" t="s">
        <v>61</v>
      </c>
      <c r="V852" s="9">
        <v>4687572.64</v>
      </c>
      <c r="W852" s="9">
        <v>230000.0</v>
      </c>
      <c r="X852" s="9">
        <v>0.0</v>
      </c>
    </row>
    <row r="853" ht="15.75" customHeight="1">
      <c r="A853" s="9">
        <v>2106782.0</v>
      </c>
      <c r="B853" s="9">
        <v>5819057.0</v>
      </c>
      <c r="C853" s="9">
        <v>33141.0</v>
      </c>
      <c r="D853" s="9" t="s">
        <v>52</v>
      </c>
      <c r="E853" s="9" t="s">
        <v>53</v>
      </c>
      <c r="F853" s="9">
        <v>113549.0</v>
      </c>
      <c r="G853" s="9">
        <v>3793732.57</v>
      </c>
      <c r="H853" s="9">
        <v>3793732.57</v>
      </c>
      <c r="I853" s="9">
        <v>2052625.46</v>
      </c>
      <c r="J853" s="9">
        <v>0.0</v>
      </c>
      <c r="K853" s="9">
        <v>0.0</v>
      </c>
      <c r="L853" s="9" t="s">
        <v>59</v>
      </c>
      <c r="M853" s="9" t="s">
        <v>55</v>
      </c>
      <c r="N853" s="9">
        <v>3467799.23</v>
      </c>
      <c r="O853" s="9">
        <v>3121019.31</v>
      </c>
      <c r="R853" s="9" t="s">
        <v>60</v>
      </c>
      <c r="S853" s="9" t="s">
        <v>57</v>
      </c>
      <c r="T853" s="9" t="s">
        <v>61</v>
      </c>
      <c r="V853" s="9">
        <v>2104713.67</v>
      </c>
      <c r="W853" s="9">
        <v>0.0</v>
      </c>
      <c r="X853" s="9">
        <v>0.0</v>
      </c>
    </row>
    <row r="854" ht="15.75" customHeight="1">
      <c r="A854" s="9">
        <v>2108379.0</v>
      </c>
      <c r="B854" s="9">
        <v>3602901.0</v>
      </c>
      <c r="C854" s="9">
        <v>30936.0</v>
      </c>
      <c r="D854" s="9" t="s">
        <v>52</v>
      </c>
      <c r="E854" s="9" t="s">
        <v>53</v>
      </c>
      <c r="F854" s="9">
        <v>135483.0</v>
      </c>
      <c r="G854" s="9">
        <v>3539951.0</v>
      </c>
      <c r="H854" s="9">
        <v>3539951.0</v>
      </c>
      <c r="I854" s="9">
        <v>3734144.1</v>
      </c>
      <c r="J854" s="9">
        <v>0.0</v>
      </c>
      <c r="K854" s="9">
        <v>0.0</v>
      </c>
      <c r="L854" s="9" t="s">
        <v>69</v>
      </c>
      <c r="M854" s="9" t="s">
        <v>55</v>
      </c>
      <c r="N854" s="9">
        <v>3353885.91</v>
      </c>
      <c r="O854" s="9">
        <v>3353885.91</v>
      </c>
      <c r="P854" s="9">
        <v>135320.0</v>
      </c>
      <c r="Q854" s="9">
        <v>135320.0</v>
      </c>
      <c r="R854" s="9" t="s">
        <v>60</v>
      </c>
      <c r="S854" s="9" t="s">
        <v>57</v>
      </c>
      <c r="T854" s="9" t="s">
        <v>61</v>
      </c>
      <c r="V854" s="9">
        <v>3522360.86</v>
      </c>
      <c r="W854" s="9">
        <v>135320.0</v>
      </c>
      <c r="X854" s="9">
        <v>0.0</v>
      </c>
    </row>
    <row r="855" ht="15.75" customHeight="1">
      <c r="A855" s="9">
        <v>2110060.0</v>
      </c>
      <c r="B855" s="9">
        <v>3870563.0</v>
      </c>
      <c r="C855" s="9">
        <v>30312.0</v>
      </c>
      <c r="D855" s="9" t="s">
        <v>52</v>
      </c>
      <c r="E855" s="9" t="s">
        <v>53</v>
      </c>
      <c r="F855" s="9">
        <v>131859.0</v>
      </c>
      <c r="G855" s="9">
        <v>4914702.79</v>
      </c>
      <c r="H855" s="9">
        <v>4914702.79</v>
      </c>
      <c r="I855" s="9">
        <v>5177175.71</v>
      </c>
      <c r="J855" s="9">
        <v>0.0</v>
      </c>
      <c r="K855" s="9">
        <v>0.0</v>
      </c>
      <c r="L855" s="9" t="s">
        <v>59</v>
      </c>
      <c r="M855" s="9" t="s">
        <v>55</v>
      </c>
      <c r="N855" s="9">
        <v>4583148.68</v>
      </c>
      <c r="O855" s="9">
        <v>4583148.68</v>
      </c>
      <c r="P855" s="9">
        <v>135096.5</v>
      </c>
      <c r="Q855" s="9">
        <v>135096.5</v>
      </c>
      <c r="R855" s="9" t="s">
        <v>94</v>
      </c>
      <c r="S855" s="9" t="s">
        <v>57</v>
      </c>
      <c r="T855" s="9" t="s">
        <v>95</v>
      </c>
    </row>
    <row r="856" ht="15.75" customHeight="1">
      <c r="A856" s="9">
        <v>2113066.0</v>
      </c>
      <c r="B856" s="9">
        <v>1.2597561E7</v>
      </c>
      <c r="C856" s="9">
        <v>31046.0</v>
      </c>
      <c r="D856" s="9" t="s">
        <v>52</v>
      </c>
      <c r="E856" s="9" t="s">
        <v>53</v>
      </c>
      <c r="F856" s="9">
        <v>138773.0</v>
      </c>
      <c r="G856" s="9">
        <v>2286531.75</v>
      </c>
      <c r="H856" s="9">
        <v>2286531.75</v>
      </c>
      <c r="I856" s="9">
        <v>1.37435439E7</v>
      </c>
      <c r="J856" s="9">
        <v>0.0</v>
      </c>
      <c r="K856" s="9">
        <v>0.0</v>
      </c>
      <c r="L856" s="9" t="s">
        <v>59</v>
      </c>
      <c r="M856" s="9" t="s">
        <v>55</v>
      </c>
      <c r="R856" s="9" t="s">
        <v>60</v>
      </c>
      <c r="S856" s="9" t="s">
        <v>57</v>
      </c>
      <c r="T856" s="9" t="s">
        <v>61</v>
      </c>
      <c r="V856" s="9">
        <v>1.205775037E7</v>
      </c>
      <c r="W856" s="9">
        <v>0.0</v>
      </c>
      <c r="X856" s="9">
        <v>0.0</v>
      </c>
    </row>
    <row r="857" ht="15.75" customHeight="1">
      <c r="A857" s="9">
        <v>2116410.0</v>
      </c>
      <c r="B857" s="9">
        <v>1949131.0</v>
      </c>
      <c r="C857" s="9">
        <v>29878.0</v>
      </c>
      <c r="D857" s="9" t="s">
        <v>52</v>
      </c>
      <c r="E857" s="9" t="s">
        <v>53</v>
      </c>
      <c r="F857" s="9">
        <v>30192.0</v>
      </c>
      <c r="G857" s="9">
        <v>5865430.46</v>
      </c>
      <c r="H857" s="9">
        <v>5865430.46</v>
      </c>
      <c r="I857" s="9">
        <v>3913103.38</v>
      </c>
      <c r="J857" s="9">
        <v>0.0</v>
      </c>
      <c r="K857" s="9">
        <v>0.0</v>
      </c>
      <c r="L857" s="9" t="s">
        <v>59</v>
      </c>
      <c r="M857" s="9" t="s">
        <v>55</v>
      </c>
      <c r="N857" s="9">
        <v>3813797.48</v>
      </c>
      <c r="O857" s="9">
        <v>3813000.0</v>
      </c>
      <c r="P857" s="9">
        <v>99306.38</v>
      </c>
      <c r="Q857" s="9">
        <v>99306.38</v>
      </c>
      <c r="R857" s="9" t="s">
        <v>60</v>
      </c>
      <c r="S857" s="9" t="s">
        <v>57</v>
      </c>
      <c r="T857" s="9" t="s">
        <v>61</v>
      </c>
      <c r="V857" s="9">
        <v>3812551.72</v>
      </c>
      <c r="W857" s="9">
        <v>123109.91</v>
      </c>
      <c r="X857" s="9">
        <v>0.0</v>
      </c>
    </row>
    <row r="858" ht="15.75" customHeight="1">
      <c r="A858" s="9">
        <v>2116510.0</v>
      </c>
      <c r="B858" s="9">
        <v>1.4678746E7</v>
      </c>
      <c r="C858" s="9">
        <v>31322.0</v>
      </c>
      <c r="D858" s="9" t="s">
        <v>52</v>
      </c>
      <c r="E858" s="9" t="s">
        <v>53</v>
      </c>
      <c r="F858" s="9">
        <v>119748.0</v>
      </c>
      <c r="G858" s="9">
        <v>1.183846616E7</v>
      </c>
      <c r="H858" s="9">
        <v>1.183846616E7</v>
      </c>
      <c r="I858" s="9">
        <v>9950791.82</v>
      </c>
      <c r="J858" s="9">
        <v>0.0</v>
      </c>
      <c r="K858" s="9">
        <v>0.0</v>
      </c>
      <c r="L858" s="9" t="s">
        <v>69</v>
      </c>
      <c r="M858" s="9" t="s">
        <v>55</v>
      </c>
      <c r="R858" s="9" t="s">
        <v>60</v>
      </c>
      <c r="S858" s="9" t="s">
        <v>57</v>
      </c>
      <c r="T858" s="9" t="s">
        <v>61</v>
      </c>
      <c r="V858" s="9">
        <v>9667018.08</v>
      </c>
      <c r="W858" s="9">
        <v>0.0</v>
      </c>
      <c r="X858" s="9">
        <v>0.0</v>
      </c>
    </row>
    <row r="859" ht="15.75" customHeight="1">
      <c r="A859" s="9">
        <v>2130928.0</v>
      </c>
      <c r="B859" s="9">
        <v>1728864.0</v>
      </c>
      <c r="C859" s="9">
        <v>30358.0</v>
      </c>
      <c r="D859" s="9" t="s">
        <v>52</v>
      </c>
      <c r="E859" s="9" t="s">
        <v>53</v>
      </c>
      <c r="F859" s="9">
        <v>107722.0</v>
      </c>
      <c r="G859" s="9">
        <v>1741717.88</v>
      </c>
      <c r="H859" s="9">
        <v>1741717.88</v>
      </c>
      <c r="I859" s="9">
        <v>0.0</v>
      </c>
      <c r="J859" s="9">
        <v>0.0</v>
      </c>
      <c r="K859" s="9">
        <v>0.0</v>
      </c>
      <c r="L859" s="9" t="s">
        <v>54</v>
      </c>
      <c r="M859" s="9" t="s">
        <v>55</v>
      </c>
      <c r="N859" s="9">
        <v>1674337.88</v>
      </c>
      <c r="O859" s="9">
        <v>1659268.83</v>
      </c>
      <c r="P859" s="9">
        <v>67380.0</v>
      </c>
      <c r="Q859" s="9">
        <v>66990.0</v>
      </c>
      <c r="R859" s="9" t="s">
        <v>60</v>
      </c>
      <c r="S859" s="9" t="s">
        <v>57</v>
      </c>
      <c r="T859" s="9" t="s">
        <v>61</v>
      </c>
      <c r="V859" s="9">
        <v>1726258.83</v>
      </c>
      <c r="W859" s="9">
        <v>66990.0</v>
      </c>
      <c r="X859" s="9">
        <v>0.0</v>
      </c>
    </row>
    <row r="860" ht="15.75" customHeight="1">
      <c r="A860" s="9">
        <v>2131750.0</v>
      </c>
      <c r="B860" s="9">
        <v>4610857.0</v>
      </c>
      <c r="C860" s="9">
        <v>31981.0</v>
      </c>
      <c r="D860" s="9" t="s">
        <v>52</v>
      </c>
      <c r="E860" s="9" t="s">
        <v>53</v>
      </c>
      <c r="F860" s="9">
        <v>171277.0</v>
      </c>
      <c r="G860" s="9">
        <v>1379193.0</v>
      </c>
      <c r="H860" s="9">
        <v>1379193.0</v>
      </c>
      <c r="I860" s="9">
        <v>1290633.81</v>
      </c>
      <c r="J860" s="9">
        <v>0.0</v>
      </c>
      <c r="K860" s="9">
        <v>0.0</v>
      </c>
      <c r="L860" s="9" t="s">
        <v>69</v>
      </c>
      <c r="M860" s="9" t="s">
        <v>55</v>
      </c>
      <c r="N860" s="9">
        <v>1288696.34</v>
      </c>
      <c r="O860" s="9">
        <v>1195866.51</v>
      </c>
      <c r="P860" s="9">
        <v>56994.0</v>
      </c>
      <c r="Q860" s="9">
        <v>48300.0</v>
      </c>
      <c r="R860" s="9" t="s">
        <v>56</v>
      </c>
      <c r="S860" s="9" t="s">
        <v>57</v>
      </c>
      <c r="T860" s="9" t="s">
        <v>58</v>
      </c>
      <c r="V860" s="9">
        <v>1209022.29</v>
      </c>
      <c r="W860" s="9">
        <v>48461.52</v>
      </c>
      <c r="X860" s="9">
        <v>0.0</v>
      </c>
    </row>
    <row r="861" ht="15.75" customHeight="1">
      <c r="A861" s="9">
        <v>2132867.0</v>
      </c>
      <c r="B861" s="9">
        <v>162055.85</v>
      </c>
      <c r="C861" s="9">
        <v>31195.0</v>
      </c>
      <c r="D861" s="9" t="s">
        <v>52</v>
      </c>
      <c r="E861" s="9" t="s">
        <v>53</v>
      </c>
      <c r="F861" s="9">
        <v>173254.0</v>
      </c>
      <c r="G861" s="9">
        <v>164888.6</v>
      </c>
      <c r="H861" s="9">
        <v>164888.6</v>
      </c>
      <c r="I861" s="9">
        <v>165657.51</v>
      </c>
      <c r="J861" s="9">
        <v>0.0</v>
      </c>
      <c r="K861" s="9">
        <v>0.0</v>
      </c>
      <c r="L861" s="9" t="s">
        <v>69</v>
      </c>
      <c r="M861" s="9" t="s">
        <v>55</v>
      </c>
      <c r="R861" s="9" t="s">
        <v>60</v>
      </c>
      <c r="S861" s="9" t="s">
        <v>57</v>
      </c>
      <c r="T861" s="9" t="s">
        <v>61</v>
      </c>
      <c r="V861" s="9">
        <v>164888.6</v>
      </c>
      <c r="W861" s="9">
        <v>0.0</v>
      </c>
      <c r="X861" s="9">
        <v>0.0</v>
      </c>
    </row>
    <row r="862" ht="15.75" customHeight="1">
      <c r="A862" s="9">
        <v>2135908.0</v>
      </c>
      <c r="B862" s="9">
        <v>1213310.0</v>
      </c>
      <c r="C862" s="9">
        <v>30194.0</v>
      </c>
      <c r="D862" s="9" t="s">
        <v>52</v>
      </c>
      <c r="E862" s="9" t="s">
        <v>53</v>
      </c>
      <c r="F862" s="9">
        <v>169054.0</v>
      </c>
      <c r="G862" s="9">
        <v>1342644.23</v>
      </c>
      <c r="H862" s="9">
        <v>1342644.23</v>
      </c>
      <c r="I862" s="9">
        <v>1332143.99</v>
      </c>
      <c r="J862" s="9">
        <v>0.0</v>
      </c>
      <c r="K862" s="9">
        <v>0.0</v>
      </c>
      <c r="L862" s="9" t="s">
        <v>59</v>
      </c>
      <c r="M862" s="9" t="s">
        <v>55</v>
      </c>
      <c r="N862" s="9">
        <v>1286530.23</v>
      </c>
      <c r="O862" s="9">
        <v>1286530.23</v>
      </c>
      <c r="P862" s="9">
        <v>45614.0</v>
      </c>
      <c r="Q862" s="9">
        <v>45614.0</v>
      </c>
      <c r="R862" s="9" t="s">
        <v>60</v>
      </c>
      <c r="S862" s="9" t="s">
        <v>57</v>
      </c>
      <c r="T862" s="9" t="s">
        <v>61</v>
      </c>
      <c r="V862" s="9">
        <v>1286530.23</v>
      </c>
      <c r="W862" s="9">
        <v>45614.0</v>
      </c>
      <c r="X862" s="9">
        <v>0.0</v>
      </c>
    </row>
    <row r="863" ht="15.75" customHeight="1">
      <c r="A863" s="9">
        <v>2135911.0</v>
      </c>
      <c r="B863" s="9">
        <v>3045075.0</v>
      </c>
      <c r="C863" s="9">
        <v>29819.0</v>
      </c>
      <c r="D863" s="9" t="s">
        <v>52</v>
      </c>
      <c r="E863" s="9" t="s">
        <v>53</v>
      </c>
      <c r="F863" s="9">
        <v>157064.0</v>
      </c>
      <c r="G863" s="9">
        <v>3045075.0</v>
      </c>
      <c r="H863" s="9">
        <v>3045075.0</v>
      </c>
      <c r="I863" s="9">
        <v>259978.74</v>
      </c>
      <c r="J863" s="9">
        <v>0.0</v>
      </c>
      <c r="K863" s="9">
        <v>0.0</v>
      </c>
      <c r="L863" s="9" t="s">
        <v>59</v>
      </c>
      <c r="M863" s="9" t="s">
        <v>65</v>
      </c>
      <c r="N863" s="9">
        <v>82500.0</v>
      </c>
      <c r="O863" s="9">
        <v>82500.0</v>
      </c>
      <c r="R863" s="9" t="s">
        <v>60</v>
      </c>
      <c r="S863" s="9" t="s">
        <v>57</v>
      </c>
      <c r="T863" s="9" t="s">
        <v>61</v>
      </c>
      <c r="V863" s="9">
        <v>82500.0</v>
      </c>
    </row>
    <row r="864" ht="15.75" customHeight="1">
      <c r="A864" s="9">
        <v>2136112.0</v>
      </c>
      <c r="B864" s="9">
        <v>2860794.0</v>
      </c>
      <c r="C864" s="9">
        <v>30838.0</v>
      </c>
      <c r="D864" s="9" t="s">
        <v>52</v>
      </c>
      <c r="E864" s="9" t="s">
        <v>53</v>
      </c>
      <c r="F864" s="9">
        <v>176295.0</v>
      </c>
      <c r="G864" s="9">
        <v>2950136.41</v>
      </c>
      <c r="H864" s="9">
        <v>2950136.41</v>
      </c>
      <c r="I864" s="9">
        <v>2881475.32</v>
      </c>
      <c r="J864" s="9">
        <v>0.0</v>
      </c>
      <c r="K864" s="9">
        <v>0.0</v>
      </c>
      <c r="L864" s="9" t="s">
        <v>69</v>
      </c>
      <c r="M864" s="9" t="s">
        <v>55</v>
      </c>
      <c r="N864" s="9">
        <v>2803074.96</v>
      </c>
      <c r="O864" s="9">
        <v>2803074.96</v>
      </c>
      <c r="R864" s="9" t="s">
        <v>60</v>
      </c>
      <c r="S864" s="9" t="s">
        <v>57</v>
      </c>
      <c r="T864" s="9" t="s">
        <v>61</v>
      </c>
      <c r="V864" s="9">
        <v>2797743.08</v>
      </c>
      <c r="W864" s="9">
        <v>82982.24</v>
      </c>
      <c r="X864" s="9">
        <v>750.0</v>
      </c>
    </row>
    <row r="865" ht="15.75" customHeight="1">
      <c r="A865" s="9">
        <v>2136129.0</v>
      </c>
      <c r="B865" s="9">
        <v>5902678.0</v>
      </c>
      <c r="C865" s="9">
        <v>30279.0</v>
      </c>
      <c r="D865" s="9" t="s">
        <v>52</v>
      </c>
      <c r="E865" s="9" t="s">
        <v>53</v>
      </c>
      <c r="F865" s="9">
        <v>174648.0</v>
      </c>
      <c r="G865" s="9">
        <v>5683226.95</v>
      </c>
      <c r="H865" s="9">
        <v>5683226.95</v>
      </c>
      <c r="I865" s="9">
        <v>5740034.15</v>
      </c>
      <c r="J865" s="9">
        <v>0.0</v>
      </c>
      <c r="K865" s="9">
        <v>0.0</v>
      </c>
      <c r="L865" s="9" t="s">
        <v>69</v>
      </c>
      <c r="M865" s="9" t="s">
        <v>55</v>
      </c>
      <c r="N865" s="9">
        <v>5123385.69</v>
      </c>
      <c r="O865" s="9">
        <v>5123385.69</v>
      </c>
      <c r="P865" s="9">
        <v>183200.52</v>
      </c>
      <c r="Q865" s="9">
        <v>183200.52</v>
      </c>
      <c r="R865" s="9" t="s">
        <v>60</v>
      </c>
      <c r="S865" s="9" t="s">
        <v>57</v>
      </c>
      <c r="T865" s="9" t="s">
        <v>61</v>
      </c>
      <c r="V865" s="9">
        <v>5123385.69</v>
      </c>
      <c r="W865" s="9">
        <v>183200.52</v>
      </c>
      <c r="X865" s="9">
        <v>0.0</v>
      </c>
    </row>
    <row r="866" ht="15.75" customHeight="1">
      <c r="A866" s="9">
        <v>2136161.0</v>
      </c>
      <c r="B866" s="9">
        <v>1499710.0</v>
      </c>
      <c r="C866" s="9">
        <v>31265.0</v>
      </c>
      <c r="D866" s="9" t="s">
        <v>52</v>
      </c>
      <c r="E866" s="9" t="s">
        <v>53</v>
      </c>
      <c r="F866" s="9">
        <v>175994.0</v>
      </c>
      <c r="G866" s="9">
        <v>1716030.73</v>
      </c>
      <c r="H866" s="9">
        <v>1716030.73</v>
      </c>
      <c r="I866" s="9">
        <v>1716014.2</v>
      </c>
      <c r="J866" s="9">
        <v>0.0</v>
      </c>
      <c r="K866" s="9">
        <v>0.0</v>
      </c>
      <c r="L866" s="9" t="s">
        <v>69</v>
      </c>
      <c r="M866" s="9" t="s">
        <v>55</v>
      </c>
      <c r="R866" s="9" t="s">
        <v>60</v>
      </c>
      <c r="S866" s="9" t="s">
        <v>57</v>
      </c>
      <c r="T866" s="9" t="s">
        <v>61</v>
      </c>
      <c r="V866" s="9">
        <v>1651124.2</v>
      </c>
      <c r="W866" s="9">
        <v>0.0</v>
      </c>
      <c r="X866" s="9">
        <v>0.0</v>
      </c>
    </row>
    <row r="867" ht="15.75" customHeight="1">
      <c r="A867" s="9">
        <v>2138816.0</v>
      </c>
      <c r="B867" s="9">
        <v>1725660.0</v>
      </c>
      <c r="C867" s="9">
        <v>29956.0</v>
      </c>
      <c r="D867" s="9" t="s">
        <v>52</v>
      </c>
      <c r="E867" s="9" t="s">
        <v>53</v>
      </c>
      <c r="F867" s="9">
        <v>175128.0</v>
      </c>
      <c r="G867" s="9">
        <v>2248176.97</v>
      </c>
      <c r="H867" s="9">
        <v>2248176.97</v>
      </c>
      <c r="I867" s="9">
        <v>2210513.59</v>
      </c>
      <c r="J867" s="9">
        <v>0.0</v>
      </c>
      <c r="K867" s="9">
        <v>0.0</v>
      </c>
      <c r="L867" s="9" t="s">
        <v>69</v>
      </c>
      <c r="M867" s="9" t="s">
        <v>55</v>
      </c>
      <c r="N867" s="9">
        <v>1948823.36</v>
      </c>
      <c r="O867" s="9">
        <v>1948823.0</v>
      </c>
      <c r="P867" s="9">
        <v>38976.47</v>
      </c>
      <c r="Q867" s="9">
        <v>38976.47</v>
      </c>
      <c r="R867" s="9" t="s">
        <v>56</v>
      </c>
      <c r="S867" s="9" t="s">
        <v>57</v>
      </c>
      <c r="T867" s="9" t="s">
        <v>58</v>
      </c>
      <c r="V867" s="9">
        <v>2258184.08</v>
      </c>
      <c r="W867" s="9">
        <v>0.0</v>
      </c>
      <c r="X867" s="9">
        <v>0.0</v>
      </c>
    </row>
    <row r="868" ht="15.75" customHeight="1">
      <c r="A868" s="9">
        <v>2140655.0</v>
      </c>
      <c r="B868" s="9">
        <v>322674.0</v>
      </c>
      <c r="C868" s="9">
        <v>29859.0</v>
      </c>
      <c r="D868" s="9" t="s">
        <v>52</v>
      </c>
      <c r="E868" s="9" t="s">
        <v>53</v>
      </c>
      <c r="F868" s="9">
        <v>31712.0</v>
      </c>
      <c r="G868" s="9">
        <v>322674.0</v>
      </c>
      <c r="H868" s="9">
        <v>322674.0</v>
      </c>
      <c r="I868" s="9">
        <v>0.0</v>
      </c>
      <c r="J868" s="9">
        <v>0.0</v>
      </c>
      <c r="K868" s="9">
        <v>0.0</v>
      </c>
      <c r="L868" s="9" t="s">
        <v>54</v>
      </c>
      <c r="M868" s="9" t="s">
        <v>55</v>
      </c>
      <c r="N868" s="9">
        <v>297658.0</v>
      </c>
      <c r="O868" s="9">
        <v>225120.11</v>
      </c>
      <c r="P868" s="9">
        <v>13500.0</v>
      </c>
      <c r="Q868" s="9">
        <v>0.0</v>
      </c>
      <c r="R868" s="9" t="s">
        <v>94</v>
      </c>
      <c r="S868" s="9" t="s">
        <v>57</v>
      </c>
      <c r="T868" s="9" t="s">
        <v>95</v>
      </c>
      <c r="V868" s="9">
        <v>0.0</v>
      </c>
      <c r="W868" s="9">
        <v>0.0</v>
      </c>
      <c r="X868" s="9">
        <v>0.0</v>
      </c>
    </row>
    <row r="869" ht="15.75" customHeight="1">
      <c r="A869" s="9">
        <v>2142463.0</v>
      </c>
      <c r="B869" s="9">
        <v>3436561.0</v>
      </c>
      <c r="C869" s="9">
        <v>30078.0</v>
      </c>
      <c r="D869" s="9" t="s">
        <v>52</v>
      </c>
      <c r="E869" s="9" t="s">
        <v>53</v>
      </c>
      <c r="F869" s="9">
        <v>176619.0</v>
      </c>
      <c r="G869" s="9">
        <v>4464543.06</v>
      </c>
      <c r="H869" s="9">
        <v>4464543.06</v>
      </c>
      <c r="I869" s="9">
        <v>4266736.76</v>
      </c>
      <c r="J869" s="9">
        <v>0.0</v>
      </c>
      <c r="K869" s="9">
        <v>0.0</v>
      </c>
      <c r="L869" s="9" t="s">
        <v>69</v>
      </c>
      <c r="M869" s="9" t="s">
        <v>55</v>
      </c>
      <c r="N869" s="9">
        <v>4153437.0</v>
      </c>
      <c r="O869" s="9">
        <v>5016556.38</v>
      </c>
      <c r="P869" s="9">
        <v>0.0</v>
      </c>
      <c r="Q869" s="9">
        <v>142580.0</v>
      </c>
      <c r="R869" s="9" t="s">
        <v>60</v>
      </c>
      <c r="S869" s="9" t="s">
        <v>57</v>
      </c>
      <c r="T869" s="9" t="s">
        <v>61</v>
      </c>
      <c r="V869" s="9">
        <v>3896638.91</v>
      </c>
      <c r="W869" s="9">
        <v>142405.49</v>
      </c>
      <c r="X869" s="9">
        <v>0.0</v>
      </c>
    </row>
    <row r="870" ht="15.75" customHeight="1">
      <c r="A870" s="9">
        <v>2147122.0</v>
      </c>
      <c r="B870" s="9">
        <v>4765703.0</v>
      </c>
      <c r="C870" s="9">
        <v>38023.0</v>
      </c>
      <c r="D870" s="9" t="s">
        <v>52</v>
      </c>
      <c r="E870" s="9" t="s">
        <v>88</v>
      </c>
      <c r="F870" s="9">
        <v>173427.0</v>
      </c>
      <c r="G870" s="9">
        <v>6395453.0</v>
      </c>
      <c r="H870" s="9">
        <v>6874805.51</v>
      </c>
      <c r="I870" s="9">
        <v>6874805.51</v>
      </c>
      <c r="J870" s="9">
        <v>0.0</v>
      </c>
      <c r="K870" s="9">
        <v>0.0</v>
      </c>
      <c r="L870" s="9" t="s">
        <v>69</v>
      </c>
      <c r="M870" s="9" t="s">
        <v>55</v>
      </c>
      <c r="N870" s="9">
        <v>5319566.59</v>
      </c>
      <c r="O870" s="9">
        <v>4787609.94</v>
      </c>
      <c r="P870" s="9">
        <v>428781.95</v>
      </c>
      <c r="Q870" s="9">
        <v>385903.76</v>
      </c>
      <c r="R870" s="9" t="s">
        <v>119</v>
      </c>
      <c r="S870" s="9" t="s">
        <v>120</v>
      </c>
      <c r="T870" s="9" t="s">
        <v>121</v>
      </c>
      <c r="V870" s="9">
        <v>0.0</v>
      </c>
      <c r="W870" s="9">
        <v>0.0</v>
      </c>
    </row>
    <row r="871" ht="15.75" customHeight="1">
      <c r="A871" s="9">
        <v>2147843.0</v>
      </c>
      <c r="B871" s="9">
        <v>2.7160013E7</v>
      </c>
      <c r="C871" s="9">
        <v>39376.0</v>
      </c>
      <c r="D871" s="9" t="s">
        <v>52</v>
      </c>
      <c r="E871" s="9" t="s">
        <v>53</v>
      </c>
      <c r="F871" s="9">
        <v>188471.0</v>
      </c>
      <c r="G871" s="9">
        <v>2.592024426E7</v>
      </c>
      <c r="H871" s="9">
        <v>5.967256319E7</v>
      </c>
      <c r="I871" s="9">
        <v>2.586520813E7</v>
      </c>
      <c r="J871" s="9">
        <v>71900.0</v>
      </c>
      <c r="K871" s="9">
        <v>979959.0</v>
      </c>
      <c r="L871" s="9" t="s">
        <v>59</v>
      </c>
      <c r="M871" s="9" t="s">
        <v>74</v>
      </c>
      <c r="N871" s="9">
        <v>407100.0</v>
      </c>
      <c r="O871" s="9">
        <v>407100.0</v>
      </c>
      <c r="R871" s="9" t="s">
        <v>66</v>
      </c>
      <c r="S871" s="9" t="s">
        <v>67</v>
      </c>
      <c r="T871" s="9" t="s">
        <v>68</v>
      </c>
    </row>
    <row r="872" ht="15.75" customHeight="1">
      <c r="A872" s="9">
        <v>2148111.0</v>
      </c>
      <c r="B872" s="9">
        <v>1.8779409E7</v>
      </c>
      <c r="C872" s="9">
        <v>30806.0</v>
      </c>
      <c r="D872" s="9" t="s">
        <v>52</v>
      </c>
      <c r="E872" s="9" t="s">
        <v>53</v>
      </c>
      <c r="F872" s="9">
        <v>182696.0</v>
      </c>
      <c r="G872" s="9">
        <v>2.32978158E7</v>
      </c>
      <c r="H872" s="9">
        <v>2.493241991E7</v>
      </c>
      <c r="I872" s="9">
        <v>2.259021812E7</v>
      </c>
      <c r="J872" s="9">
        <v>0.0</v>
      </c>
      <c r="K872" s="9">
        <v>130374.0</v>
      </c>
      <c r="L872" s="9" t="s">
        <v>59</v>
      </c>
      <c r="M872" s="9" t="s">
        <v>55</v>
      </c>
      <c r="N872" s="9">
        <v>1.835089761E7</v>
      </c>
      <c r="O872" s="9">
        <v>1.835089761E7</v>
      </c>
      <c r="P872" s="9">
        <v>799000.0</v>
      </c>
      <c r="Q872" s="9">
        <v>799000.0</v>
      </c>
      <c r="R872" s="9" t="s">
        <v>56</v>
      </c>
      <c r="S872" s="9" t="s">
        <v>57</v>
      </c>
      <c r="T872" s="9" t="s">
        <v>58</v>
      </c>
      <c r="V872" s="9">
        <v>2.367835991E7</v>
      </c>
      <c r="W872" s="9">
        <v>0.0</v>
      </c>
      <c r="X872" s="9">
        <v>0.0</v>
      </c>
    </row>
    <row r="873" ht="15.75" customHeight="1">
      <c r="A873" s="9">
        <v>2148929.0</v>
      </c>
      <c r="B873" s="9">
        <v>716486.35</v>
      </c>
      <c r="C873" s="9">
        <v>30369.0</v>
      </c>
      <c r="D873" s="9" t="s">
        <v>52</v>
      </c>
      <c r="E873" s="9" t="s">
        <v>53</v>
      </c>
      <c r="F873" s="9">
        <v>155804.0</v>
      </c>
      <c r="G873" s="9">
        <v>999705.69</v>
      </c>
      <c r="H873" s="9">
        <v>999705.69</v>
      </c>
      <c r="I873" s="9">
        <v>0.0</v>
      </c>
      <c r="J873" s="9">
        <v>0.0</v>
      </c>
      <c r="K873" s="9">
        <v>0.0</v>
      </c>
      <c r="L873" s="9" t="s">
        <v>54</v>
      </c>
      <c r="M873" s="9" t="s">
        <v>55</v>
      </c>
      <c r="N873" s="9">
        <v>983702.69</v>
      </c>
      <c r="O873" s="9">
        <v>980000.0</v>
      </c>
      <c r="R873" s="9" t="s">
        <v>60</v>
      </c>
      <c r="S873" s="9" t="s">
        <v>57</v>
      </c>
      <c r="T873" s="9" t="s">
        <v>61</v>
      </c>
      <c r="V873" s="9">
        <v>991763.21</v>
      </c>
      <c r="W873" s="9">
        <v>0.0</v>
      </c>
      <c r="X873" s="9">
        <v>0.0</v>
      </c>
    </row>
    <row r="874" ht="15.75" customHeight="1">
      <c r="A874" s="9">
        <v>2148930.0</v>
      </c>
      <c r="B874" s="9">
        <v>1141311.06</v>
      </c>
      <c r="C874" s="9">
        <v>30370.0</v>
      </c>
      <c r="D874" s="9" t="s">
        <v>52</v>
      </c>
      <c r="E874" s="9" t="s">
        <v>53</v>
      </c>
      <c r="F874" s="9">
        <v>193575.0</v>
      </c>
      <c r="G874" s="9">
        <v>1094427.31</v>
      </c>
      <c r="H874" s="9">
        <v>1094427.31</v>
      </c>
      <c r="I874" s="9">
        <v>1092046.0</v>
      </c>
      <c r="J874" s="9">
        <v>0.0</v>
      </c>
      <c r="K874" s="9">
        <v>0.0</v>
      </c>
      <c r="L874" s="9" t="s">
        <v>59</v>
      </c>
      <c r="M874" s="9" t="s">
        <v>55</v>
      </c>
      <c r="N874" s="9">
        <v>1052146.13</v>
      </c>
      <c r="O874" s="9">
        <v>1052146.13</v>
      </c>
      <c r="P874" s="9">
        <v>1052146.13</v>
      </c>
      <c r="Q874" s="9">
        <v>39900.0</v>
      </c>
      <c r="R874" s="9" t="s">
        <v>94</v>
      </c>
      <c r="S874" s="9" t="s">
        <v>57</v>
      </c>
      <c r="T874" s="9" t="s">
        <v>95</v>
      </c>
    </row>
    <row r="875" ht="15.75" customHeight="1">
      <c r="A875" s="9">
        <v>2148944.0</v>
      </c>
      <c r="B875" s="9">
        <v>2152804.0</v>
      </c>
      <c r="C875" s="9">
        <v>29894.0</v>
      </c>
      <c r="D875" s="9" t="s">
        <v>52</v>
      </c>
      <c r="E875" s="9" t="s">
        <v>53</v>
      </c>
      <c r="F875" s="9">
        <v>186109.0</v>
      </c>
      <c r="G875" s="9">
        <v>1922367.63</v>
      </c>
      <c r="H875" s="9">
        <v>1922367.63</v>
      </c>
      <c r="I875" s="9">
        <v>1864085.09</v>
      </c>
      <c r="J875" s="9">
        <v>0.0</v>
      </c>
      <c r="K875" s="9">
        <v>0.0</v>
      </c>
      <c r="L875" s="9" t="s">
        <v>69</v>
      </c>
      <c r="M875" s="9" t="s">
        <v>55</v>
      </c>
      <c r="N875" s="9">
        <v>1865398.27</v>
      </c>
      <c r="O875" s="9">
        <v>1798000.0</v>
      </c>
      <c r="R875" s="9" t="s">
        <v>60</v>
      </c>
      <c r="S875" s="9" t="s">
        <v>57</v>
      </c>
      <c r="T875" s="9" t="s">
        <v>61</v>
      </c>
      <c r="V875" s="9">
        <v>1823924.18</v>
      </c>
      <c r="W875" s="9">
        <v>39900.0</v>
      </c>
      <c r="X875" s="9">
        <v>0.0</v>
      </c>
    </row>
    <row r="876" ht="15.75" customHeight="1">
      <c r="A876" s="9">
        <v>2151869.0</v>
      </c>
      <c r="B876" s="9">
        <v>2969130.0</v>
      </c>
      <c r="C876" s="9">
        <v>30570.0</v>
      </c>
      <c r="D876" s="9" t="s">
        <v>52</v>
      </c>
      <c r="E876" s="9" t="s">
        <v>53</v>
      </c>
      <c r="F876" s="9">
        <v>182533.0</v>
      </c>
      <c r="G876" s="9">
        <v>3179917.47</v>
      </c>
      <c r="H876" s="9">
        <v>3179917.47</v>
      </c>
      <c r="I876" s="9">
        <v>3087005.5</v>
      </c>
      <c r="J876" s="9">
        <v>0.0</v>
      </c>
      <c r="K876" s="9">
        <v>0.0</v>
      </c>
      <c r="L876" s="9" t="s">
        <v>69</v>
      </c>
      <c r="M876" s="9" t="s">
        <v>55</v>
      </c>
      <c r="N876" s="9">
        <v>2988945.07</v>
      </c>
      <c r="O876" s="9">
        <v>2988945.07</v>
      </c>
      <c r="P876" s="9">
        <v>98060.0</v>
      </c>
      <c r="Q876" s="9">
        <v>98060.0</v>
      </c>
      <c r="R876" s="9" t="s">
        <v>60</v>
      </c>
      <c r="S876" s="9" t="s">
        <v>57</v>
      </c>
      <c r="T876" s="9" t="s">
        <v>61</v>
      </c>
      <c r="V876" s="9">
        <v>3300314.11</v>
      </c>
      <c r="W876" s="9">
        <v>98060.0</v>
      </c>
      <c r="X876" s="9">
        <v>0.0</v>
      </c>
    </row>
    <row r="877" ht="15.75" customHeight="1">
      <c r="A877" s="9">
        <v>2156117.0</v>
      </c>
      <c r="B877" s="9">
        <v>4.7861407E7</v>
      </c>
      <c r="C877" s="9">
        <v>40092.0</v>
      </c>
      <c r="D877" s="9" t="s">
        <v>52</v>
      </c>
      <c r="E877" s="9" t="s">
        <v>53</v>
      </c>
      <c r="F877" s="9">
        <v>111161.0</v>
      </c>
      <c r="G877" s="9">
        <v>6.7159479E7</v>
      </c>
      <c r="H877" s="9">
        <v>6.892718199E7</v>
      </c>
      <c r="I877" s="9">
        <v>6.849870699E7</v>
      </c>
      <c r="J877" s="9">
        <v>0.0</v>
      </c>
      <c r="K877" s="9">
        <v>0.0</v>
      </c>
      <c r="L877" s="9" t="s">
        <v>59</v>
      </c>
      <c r="M877" s="9" t="s">
        <v>55</v>
      </c>
      <c r="N877" s="9">
        <v>6.510439212E7</v>
      </c>
      <c r="O877" s="9">
        <v>6.510439212E7</v>
      </c>
      <c r="P877" s="9">
        <v>2252755.7</v>
      </c>
      <c r="Q877" s="9">
        <v>2252755.7</v>
      </c>
      <c r="R877" s="9" t="s">
        <v>72</v>
      </c>
      <c r="S877" s="9" t="s">
        <v>57</v>
      </c>
      <c r="T877" s="9" t="s">
        <v>73</v>
      </c>
      <c r="V877" s="9">
        <v>6.734170653E7</v>
      </c>
      <c r="W877" s="9">
        <v>2681362.0</v>
      </c>
      <c r="X877" s="9">
        <v>0.0</v>
      </c>
    </row>
    <row r="878" ht="15.75" customHeight="1">
      <c r="A878" s="9">
        <v>2158854.0</v>
      </c>
      <c r="B878" s="9">
        <v>2043343.0</v>
      </c>
      <c r="C878" s="9">
        <v>30573.0</v>
      </c>
      <c r="D878" s="9" t="s">
        <v>52</v>
      </c>
      <c r="E878" s="9" t="s">
        <v>53</v>
      </c>
      <c r="F878" s="9">
        <v>189859.0</v>
      </c>
      <c r="G878" s="9">
        <v>1395092.34</v>
      </c>
      <c r="H878" s="9">
        <v>1395092.34</v>
      </c>
      <c r="I878" s="9">
        <v>1422205.61</v>
      </c>
      <c r="J878" s="9">
        <v>0.0</v>
      </c>
      <c r="K878" s="9">
        <v>0.0</v>
      </c>
      <c r="L878" s="9" t="s">
        <v>59</v>
      </c>
      <c r="M878" s="9" t="s">
        <v>55</v>
      </c>
      <c r="N878" s="9">
        <v>1271337.36</v>
      </c>
      <c r="O878" s="9">
        <v>1271337.36</v>
      </c>
      <c r="P878" s="9">
        <v>98754.98</v>
      </c>
      <c r="Q878" s="9">
        <v>98754.98</v>
      </c>
      <c r="R878" s="9" t="s">
        <v>60</v>
      </c>
      <c r="S878" s="9" t="s">
        <v>57</v>
      </c>
      <c r="T878" s="9" t="s">
        <v>61</v>
      </c>
      <c r="V878" s="9">
        <v>1323451.4</v>
      </c>
      <c r="W878" s="9">
        <v>98254.98</v>
      </c>
      <c r="X878" s="9">
        <v>0.0</v>
      </c>
    </row>
    <row r="879" ht="15.75" customHeight="1">
      <c r="A879" s="9">
        <v>2160997.0</v>
      </c>
      <c r="B879" s="9">
        <v>4885451.0</v>
      </c>
      <c r="C879" s="9">
        <v>31276.0</v>
      </c>
      <c r="D879" s="9" t="s">
        <v>52</v>
      </c>
      <c r="E879" s="9" t="s">
        <v>53</v>
      </c>
      <c r="F879" s="9">
        <v>165000.0</v>
      </c>
      <c r="G879" s="9">
        <v>4422992.73</v>
      </c>
      <c r="H879" s="9">
        <v>4422992.73</v>
      </c>
      <c r="I879" s="9">
        <v>217626.43</v>
      </c>
      <c r="J879" s="9">
        <v>0.0</v>
      </c>
      <c r="K879" s="9">
        <v>0.0</v>
      </c>
      <c r="L879" s="9" t="s">
        <v>54</v>
      </c>
      <c r="M879" s="9" t="s">
        <v>55</v>
      </c>
      <c r="R879" s="9" t="s">
        <v>94</v>
      </c>
      <c r="S879" s="9" t="s">
        <v>57</v>
      </c>
      <c r="T879" s="9" t="s">
        <v>95</v>
      </c>
    </row>
    <row r="880" ht="15.75" customHeight="1">
      <c r="A880" s="9">
        <v>2161465.0</v>
      </c>
      <c r="B880" s="9">
        <v>2.5210892E7</v>
      </c>
      <c r="C880" s="9">
        <v>31510.0</v>
      </c>
      <c r="D880" s="9" t="s">
        <v>52</v>
      </c>
      <c r="E880" s="9" t="s">
        <v>53</v>
      </c>
      <c r="F880" s="9">
        <v>128408.0</v>
      </c>
      <c r="G880" s="9">
        <v>3.215780175E7</v>
      </c>
      <c r="H880" s="9">
        <v>3.215780175E7</v>
      </c>
      <c r="I880" s="9">
        <v>3.085641441E7</v>
      </c>
      <c r="J880" s="9">
        <v>0.0</v>
      </c>
      <c r="K880" s="9">
        <v>0.0</v>
      </c>
      <c r="L880" s="9" t="s">
        <v>69</v>
      </c>
      <c r="M880" s="9" t="s">
        <v>55</v>
      </c>
      <c r="N880" s="9">
        <v>2.33634718E7</v>
      </c>
      <c r="O880" s="9">
        <v>2.33634718E7</v>
      </c>
      <c r="P880" s="9">
        <v>1847419.8</v>
      </c>
      <c r="Q880" s="9">
        <v>1847419.8</v>
      </c>
      <c r="R880" s="9" t="s">
        <v>60</v>
      </c>
      <c r="S880" s="9" t="s">
        <v>57</v>
      </c>
      <c r="T880" s="9" t="s">
        <v>61</v>
      </c>
      <c r="V880" s="9">
        <v>2.798174906E7</v>
      </c>
      <c r="W880" s="9">
        <v>2309274.75</v>
      </c>
      <c r="X880" s="9">
        <v>0.0</v>
      </c>
    </row>
    <row r="881" ht="15.75" customHeight="1">
      <c r="A881" s="9">
        <v>2090141.0</v>
      </c>
      <c r="B881" s="9">
        <v>3.02682E7</v>
      </c>
      <c r="C881" s="9">
        <v>48295.0</v>
      </c>
      <c r="D881" s="9" t="s">
        <v>52</v>
      </c>
      <c r="E881" s="9" t="s">
        <v>53</v>
      </c>
      <c r="F881" s="9">
        <v>2993.0</v>
      </c>
      <c r="G881" s="9">
        <v>1.01908006E8</v>
      </c>
      <c r="H881" s="9">
        <v>2.1757972758E8</v>
      </c>
      <c r="I881" s="9">
        <v>4.290360465E7</v>
      </c>
      <c r="J881" s="9">
        <v>242016.28</v>
      </c>
      <c r="K881" s="9">
        <v>1.8039357E7</v>
      </c>
      <c r="L881" s="9" t="s">
        <v>59</v>
      </c>
      <c r="M881" s="9" t="s">
        <v>62</v>
      </c>
      <c r="R881" s="9" t="s">
        <v>122</v>
      </c>
      <c r="S881" s="9" t="s">
        <v>101</v>
      </c>
      <c r="T881" s="9" t="s">
        <v>123</v>
      </c>
    </row>
    <row r="882" ht="15.75" customHeight="1">
      <c r="A882" s="9">
        <v>2090158.0</v>
      </c>
      <c r="B882" s="9">
        <v>3644326.0</v>
      </c>
      <c r="C882" s="9">
        <v>29784.0</v>
      </c>
      <c r="D882" s="9" t="s">
        <v>52</v>
      </c>
      <c r="E882" s="9" t="s">
        <v>53</v>
      </c>
      <c r="F882" s="9">
        <v>54327.0</v>
      </c>
      <c r="G882" s="9">
        <v>3644326.0</v>
      </c>
      <c r="H882" s="9">
        <v>3644326.0</v>
      </c>
      <c r="I882" s="9">
        <v>102604.44</v>
      </c>
      <c r="J882" s="9">
        <v>0.0</v>
      </c>
      <c r="K882" s="9">
        <v>0.0</v>
      </c>
      <c r="L882" s="9" t="s">
        <v>59</v>
      </c>
      <c r="M882" s="9" t="s">
        <v>65</v>
      </c>
      <c r="N882" s="9">
        <v>113366.92</v>
      </c>
      <c r="O882" s="9">
        <v>102030.23</v>
      </c>
      <c r="R882" s="9" t="s">
        <v>60</v>
      </c>
      <c r="S882" s="9" t="s">
        <v>57</v>
      </c>
      <c r="T882" s="9" t="s">
        <v>61</v>
      </c>
      <c r="V882" s="9">
        <v>102030.23</v>
      </c>
      <c r="W882" s="9">
        <v>5742.08</v>
      </c>
    </row>
    <row r="883" ht="15.75" customHeight="1">
      <c r="A883" s="9">
        <v>2090426.0</v>
      </c>
      <c r="B883" s="9">
        <v>5984902.0</v>
      </c>
      <c r="C883" s="9">
        <v>39326.0</v>
      </c>
      <c r="D883" s="9" t="s">
        <v>52</v>
      </c>
      <c r="E883" s="9" t="s">
        <v>53</v>
      </c>
      <c r="F883" s="9">
        <v>83195.0</v>
      </c>
      <c r="G883" s="9">
        <v>9220283.32</v>
      </c>
      <c r="H883" s="9">
        <v>9210283.3</v>
      </c>
      <c r="I883" s="9">
        <v>9209118.4</v>
      </c>
      <c r="J883" s="9">
        <v>0.0</v>
      </c>
      <c r="K883" s="9">
        <v>0.0</v>
      </c>
      <c r="L883" s="9" t="s">
        <v>69</v>
      </c>
      <c r="M883" s="9" t="s">
        <v>62</v>
      </c>
      <c r="N883" s="9">
        <v>1402236.74</v>
      </c>
      <c r="O883" s="9">
        <v>1388214.37</v>
      </c>
      <c r="P883" s="9">
        <v>77532.0</v>
      </c>
      <c r="Q883" s="9">
        <v>77532.0</v>
      </c>
      <c r="R883" s="9" t="s">
        <v>72</v>
      </c>
      <c r="S883" s="9" t="s">
        <v>57</v>
      </c>
      <c r="T883" s="9" t="s">
        <v>73</v>
      </c>
      <c r="V883" s="9">
        <v>1388214.37</v>
      </c>
      <c r="W883" s="9">
        <v>77532.0</v>
      </c>
      <c r="X883" s="9">
        <v>0.0</v>
      </c>
    </row>
    <row r="884" ht="15.75" customHeight="1">
      <c r="A884" s="9">
        <v>2090462.0</v>
      </c>
      <c r="B884" s="9">
        <v>5861879.0</v>
      </c>
      <c r="C884" s="9">
        <v>30013.0</v>
      </c>
      <c r="D884" s="9" t="s">
        <v>52</v>
      </c>
      <c r="E884" s="9" t="s">
        <v>53</v>
      </c>
      <c r="F884" s="9">
        <v>113324.0</v>
      </c>
      <c r="G884" s="9">
        <v>6327449.42</v>
      </c>
      <c r="H884" s="9">
        <v>6322216.66</v>
      </c>
      <c r="I884" s="9">
        <v>6321202.03</v>
      </c>
      <c r="J884" s="9">
        <v>0.0</v>
      </c>
      <c r="K884" s="9">
        <v>0.0</v>
      </c>
      <c r="L884" s="9" t="s">
        <v>59</v>
      </c>
      <c r="M884" s="9" t="s">
        <v>55</v>
      </c>
      <c r="N884" s="9">
        <v>4904829.46</v>
      </c>
      <c r="O884" s="9">
        <v>4904829.45</v>
      </c>
      <c r="R884" s="9" t="s">
        <v>72</v>
      </c>
      <c r="S884" s="9" t="s">
        <v>57</v>
      </c>
      <c r="T884" s="9" t="s">
        <v>73</v>
      </c>
      <c r="V884" s="9">
        <v>5839556.67</v>
      </c>
      <c r="W884" s="9">
        <v>0.0</v>
      </c>
      <c r="X884" s="9">
        <v>0.0</v>
      </c>
    </row>
    <row r="885" ht="15.75" customHeight="1">
      <c r="A885" s="9">
        <v>2090494.0</v>
      </c>
      <c r="B885" s="9">
        <v>6953476.0</v>
      </c>
      <c r="C885" s="9">
        <v>30678.0</v>
      </c>
      <c r="D885" s="9" t="s">
        <v>52</v>
      </c>
      <c r="E885" s="9" t="s">
        <v>53</v>
      </c>
      <c r="F885" s="9">
        <v>17157.0</v>
      </c>
      <c r="G885" s="9">
        <v>8315197.81</v>
      </c>
      <c r="H885" s="9">
        <v>8315197.81</v>
      </c>
      <c r="I885" s="9">
        <v>1436784.22</v>
      </c>
      <c r="J885" s="9">
        <v>0.0</v>
      </c>
      <c r="K885" s="9">
        <v>0.0</v>
      </c>
      <c r="L885" s="9" t="s">
        <v>69</v>
      </c>
      <c r="M885" s="9" t="s">
        <v>55</v>
      </c>
      <c r="N885" s="9">
        <v>6953476.0</v>
      </c>
      <c r="O885" s="9">
        <v>7433265.85</v>
      </c>
      <c r="R885" s="9" t="s">
        <v>60</v>
      </c>
      <c r="S885" s="9" t="s">
        <v>57</v>
      </c>
      <c r="T885" s="9" t="s">
        <v>61</v>
      </c>
      <c r="V885" s="9">
        <v>8487146.22</v>
      </c>
      <c r="W885" s="9">
        <v>0.0</v>
      </c>
      <c r="X885" s="9">
        <v>0.0</v>
      </c>
    </row>
    <row r="886" ht="15.75" customHeight="1">
      <c r="A886" s="9">
        <v>2090509.0</v>
      </c>
      <c r="B886" s="9">
        <v>5245768.0</v>
      </c>
      <c r="C886" s="9">
        <v>29875.0</v>
      </c>
      <c r="D886" s="9" t="s">
        <v>52</v>
      </c>
      <c r="E886" s="9" t="s">
        <v>53</v>
      </c>
      <c r="F886" s="9">
        <v>98645.0</v>
      </c>
      <c r="G886" s="9">
        <v>5245768.0</v>
      </c>
      <c r="H886" s="9">
        <v>5245768.0</v>
      </c>
      <c r="I886" s="9">
        <v>2874790.0</v>
      </c>
      <c r="J886" s="9">
        <v>0.0</v>
      </c>
      <c r="K886" s="9">
        <v>0.0</v>
      </c>
      <c r="L886" s="9" t="s">
        <v>69</v>
      </c>
      <c r="M886" s="9" t="s">
        <v>55</v>
      </c>
      <c r="N886" s="9">
        <v>2322697.5</v>
      </c>
      <c r="O886" s="9">
        <v>5245301.75</v>
      </c>
      <c r="P886" s="9">
        <v>2322697.5</v>
      </c>
      <c r="Q886" s="9">
        <v>0.0</v>
      </c>
      <c r="R886" s="9" t="s">
        <v>60</v>
      </c>
      <c r="S886" s="9" t="s">
        <v>57</v>
      </c>
      <c r="T886" s="9" t="s">
        <v>61</v>
      </c>
      <c r="V886" s="9">
        <v>5140421.7</v>
      </c>
      <c r="W886" s="9">
        <v>90000.0</v>
      </c>
      <c r="X886" s="9">
        <v>0.0</v>
      </c>
    </row>
    <row r="887" ht="15.75" customHeight="1">
      <c r="A887" s="9">
        <v>2090511.0</v>
      </c>
      <c r="B887" s="9">
        <v>2.2276163E7</v>
      </c>
      <c r="C887" s="9">
        <v>30555.0</v>
      </c>
      <c r="D887" s="9" t="s">
        <v>52</v>
      </c>
      <c r="E887" s="9" t="s">
        <v>53</v>
      </c>
      <c r="F887" s="9">
        <v>103340.0</v>
      </c>
      <c r="G887" s="9">
        <v>2.442848943E7</v>
      </c>
      <c r="H887" s="9">
        <v>2.378941943E7</v>
      </c>
      <c r="I887" s="9">
        <v>2.417223817E7</v>
      </c>
      <c r="J887" s="9">
        <v>0.0</v>
      </c>
      <c r="K887" s="9">
        <v>0.0</v>
      </c>
      <c r="L887" s="9" t="s">
        <v>59</v>
      </c>
      <c r="M887" s="9" t="s">
        <v>55</v>
      </c>
      <c r="N887" s="9">
        <v>2.298494631E7</v>
      </c>
      <c r="O887" s="9">
        <v>2.298494631E7</v>
      </c>
      <c r="P887" s="9">
        <v>804473.12</v>
      </c>
      <c r="Q887" s="9">
        <v>804473.12</v>
      </c>
      <c r="R887" s="9" t="s">
        <v>56</v>
      </c>
      <c r="S887" s="9" t="s">
        <v>57</v>
      </c>
      <c r="T887" s="9" t="s">
        <v>58</v>
      </c>
      <c r="V887" s="9">
        <v>0.0</v>
      </c>
      <c r="W887" s="9">
        <v>804473.12</v>
      </c>
      <c r="X887" s="9">
        <v>0.0</v>
      </c>
    </row>
    <row r="888" ht="15.75" customHeight="1">
      <c r="A888" s="9">
        <v>2090577.0</v>
      </c>
      <c r="B888" s="9">
        <v>2.4539445E7</v>
      </c>
      <c r="C888" s="9">
        <v>30790.0</v>
      </c>
      <c r="D888" s="9" t="s">
        <v>52</v>
      </c>
      <c r="E888" s="9" t="s">
        <v>53</v>
      </c>
      <c r="F888" s="9">
        <v>65192.0</v>
      </c>
      <c r="G888" s="9">
        <v>5.83024882E7</v>
      </c>
      <c r="H888" s="9">
        <v>5.83024882E7</v>
      </c>
      <c r="I888" s="9">
        <v>3.612299701E7</v>
      </c>
      <c r="J888" s="9">
        <v>0.0</v>
      </c>
      <c r="K888" s="9">
        <v>0.0</v>
      </c>
      <c r="L888" s="9" t="s">
        <v>59</v>
      </c>
      <c r="M888" s="9" t="s">
        <v>55</v>
      </c>
      <c r="N888" s="9">
        <v>2.3739471E7</v>
      </c>
      <c r="O888" s="9">
        <v>2.373947097E7</v>
      </c>
      <c r="P888" s="9">
        <v>800000.0</v>
      </c>
      <c r="Q888" s="9">
        <v>800000.0</v>
      </c>
      <c r="R888" s="9" t="s">
        <v>109</v>
      </c>
      <c r="S888" s="9" t="s">
        <v>78</v>
      </c>
      <c r="T888" s="9" t="s">
        <v>79</v>
      </c>
      <c r="U888" s="9" t="s">
        <v>110</v>
      </c>
      <c r="V888" s="9">
        <v>2.805648372E7</v>
      </c>
      <c r="W888" s="9">
        <v>0.0</v>
      </c>
      <c r="X888" s="9">
        <v>0.0</v>
      </c>
    </row>
    <row r="889" ht="15.75" customHeight="1">
      <c r="A889" s="9">
        <v>2091194.0</v>
      </c>
      <c r="B889" s="9">
        <v>5417743.0</v>
      </c>
      <c r="C889" s="9">
        <v>30160.0</v>
      </c>
      <c r="D889" s="9" t="s">
        <v>52</v>
      </c>
      <c r="E889" s="9" t="s">
        <v>53</v>
      </c>
      <c r="F889" s="9">
        <v>103484.0</v>
      </c>
      <c r="G889" s="9">
        <v>5417743.0</v>
      </c>
      <c r="H889" s="9">
        <v>5417743.0</v>
      </c>
      <c r="I889" s="9">
        <v>5459962.05</v>
      </c>
      <c r="J889" s="9">
        <v>0.0</v>
      </c>
      <c r="K889" s="9">
        <v>0.0</v>
      </c>
      <c r="L889" s="9" t="s">
        <v>69</v>
      </c>
      <c r="M889" s="9" t="s">
        <v>55</v>
      </c>
      <c r="N889" s="9">
        <v>5161903.8</v>
      </c>
      <c r="O889" s="9">
        <v>5161903.8</v>
      </c>
      <c r="P889" s="9">
        <v>255839.2</v>
      </c>
      <c r="Q889" s="9">
        <v>255839.2</v>
      </c>
      <c r="R889" s="9" t="s">
        <v>60</v>
      </c>
      <c r="S889" s="9" t="s">
        <v>57</v>
      </c>
      <c r="T889" s="9" t="s">
        <v>61</v>
      </c>
      <c r="V889" s="9">
        <v>5204122.83</v>
      </c>
      <c r="W889" s="9">
        <v>255839.22</v>
      </c>
      <c r="X889" s="9">
        <v>0.0</v>
      </c>
    </row>
    <row r="890" ht="15.75" customHeight="1">
      <c r="A890" s="9">
        <v>2091196.0</v>
      </c>
      <c r="B890" s="9">
        <v>1.236732E7</v>
      </c>
      <c r="C890" s="9">
        <v>30348.0</v>
      </c>
      <c r="D890" s="9" t="s">
        <v>52</v>
      </c>
      <c r="E890" s="9" t="s">
        <v>53</v>
      </c>
      <c r="F890" s="9">
        <v>113152.0</v>
      </c>
      <c r="G890" s="9">
        <v>1.236732E7</v>
      </c>
      <c r="H890" s="9">
        <v>1.2414456E7</v>
      </c>
      <c r="I890" s="9">
        <v>1.20030248E7</v>
      </c>
      <c r="J890" s="9">
        <v>0.0</v>
      </c>
      <c r="K890" s="9">
        <v>0.0</v>
      </c>
      <c r="L890" s="9" t="s">
        <v>59</v>
      </c>
      <c r="M890" s="9" t="s">
        <v>55</v>
      </c>
      <c r="N890" s="9">
        <v>1.183927767E7</v>
      </c>
      <c r="O890" s="9">
        <v>1.183917777E7</v>
      </c>
      <c r="P890" s="9">
        <v>355178.33</v>
      </c>
      <c r="Q890" s="9">
        <v>319660.5</v>
      </c>
      <c r="R890" s="9" t="s">
        <v>77</v>
      </c>
      <c r="S890" s="9" t="s">
        <v>78</v>
      </c>
      <c r="T890" s="9" t="s">
        <v>79</v>
      </c>
      <c r="U890" s="9" t="s">
        <v>80</v>
      </c>
    </row>
    <row r="891" ht="15.75" customHeight="1">
      <c r="A891" s="9">
        <v>2092481.0</v>
      </c>
      <c r="B891" s="9">
        <v>1.3511248E7</v>
      </c>
      <c r="C891" s="9">
        <v>30605.0</v>
      </c>
      <c r="D891" s="9" t="s">
        <v>52</v>
      </c>
      <c r="E891" s="9" t="s">
        <v>53</v>
      </c>
      <c r="F891" s="9">
        <v>77314.0</v>
      </c>
      <c r="G891" s="9">
        <v>1.482204181E7</v>
      </c>
      <c r="H891" s="9">
        <v>1.482204181E7</v>
      </c>
      <c r="I891" s="9">
        <v>250094.31</v>
      </c>
      <c r="J891" s="9">
        <v>0.0</v>
      </c>
      <c r="K891" s="9">
        <v>0.0</v>
      </c>
      <c r="L891" s="9" t="s">
        <v>59</v>
      </c>
      <c r="M891" s="9" t="s">
        <v>55</v>
      </c>
      <c r="N891" s="9">
        <v>1.404122251E7</v>
      </c>
      <c r="O891" s="9">
        <v>1.404122251E7</v>
      </c>
      <c r="P891" s="9">
        <v>218421.66</v>
      </c>
      <c r="Q891" s="9">
        <v>218421.66</v>
      </c>
      <c r="R891" s="9" t="s">
        <v>96</v>
      </c>
      <c r="S891" s="9" t="s">
        <v>78</v>
      </c>
      <c r="T891" s="9" t="s">
        <v>79</v>
      </c>
      <c r="U891" s="9" t="s">
        <v>97</v>
      </c>
    </row>
    <row r="892" ht="15.75" customHeight="1">
      <c r="A892" s="9">
        <v>2092734.0</v>
      </c>
      <c r="B892" s="9">
        <v>9300600.0</v>
      </c>
      <c r="C892" s="9">
        <v>30255.0</v>
      </c>
      <c r="D892" s="9" t="s">
        <v>52</v>
      </c>
      <c r="E892" s="9" t="s">
        <v>53</v>
      </c>
      <c r="F892" s="9">
        <v>102416.0</v>
      </c>
      <c r="G892" s="9">
        <v>9967685.42</v>
      </c>
      <c r="H892" s="9">
        <v>9967685.42</v>
      </c>
      <c r="I892" s="9">
        <v>9826814.29</v>
      </c>
      <c r="J892" s="9">
        <v>0.0</v>
      </c>
      <c r="K892" s="9">
        <v>0.0</v>
      </c>
      <c r="L892" s="9" t="s">
        <v>59</v>
      </c>
      <c r="M892" s="9" t="s">
        <v>55</v>
      </c>
      <c r="N892" s="9">
        <v>8954617.1</v>
      </c>
      <c r="O892" s="9">
        <v>8954617.1</v>
      </c>
      <c r="P892" s="9">
        <v>173432.41</v>
      </c>
      <c r="Q892" s="9">
        <v>173400.0</v>
      </c>
      <c r="R892" s="9" t="s">
        <v>60</v>
      </c>
      <c r="S892" s="9" t="s">
        <v>57</v>
      </c>
      <c r="T892" s="9" t="s">
        <v>61</v>
      </c>
      <c r="V892" s="9">
        <v>9596409.27</v>
      </c>
      <c r="W892" s="9">
        <v>0.0</v>
      </c>
      <c r="X892" s="9">
        <v>0.0</v>
      </c>
    </row>
    <row r="893" ht="15.75" customHeight="1">
      <c r="A893" s="9">
        <v>2093902.0</v>
      </c>
      <c r="B893" s="9">
        <v>2486728.0</v>
      </c>
      <c r="C893" s="9">
        <v>30264.0</v>
      </c>
      <c r="D893" s="9" t="s">
        <v>52</v>
      </c>
      <c r="E893" s="9" t="s">
        <v>53</v>
      </c>
      <c r="F893" s="9">
        <v>111104.0</v>
      </c>
      <c r="G893" s="9">
        <v>3695818.49</v>
      </c>
      <c r="H893" s="9">
        <v>4382644.57</v>
      </c>
      <c r="I893" s="9">
        <v>4382644.57</v>
      </c>
      <c r="J893" s="9">
        <v>0.0</v>
      </c>
      <c r="K893" s="9">
        <v>0.0</v>
      </c>
      <c r="L893" s="9" t="s">
        <v>69</v>
      </c>
      <c r="M893" s="9" t="s">
        <v>55</v>
      </c>
      <c r="N893" s="9">
        <v>2999000.77</v>
      </c>
      <c r="O893" s="9">
        <v>2998475.54</v>
      </c>
      <c r="P893" s="9">
        <v>105896.92</v>
      </c>
      <c r="Q893" s="9">
        <v>105896.92</v>
      </c>
      <c r="R893" s="9" t="s">
        <v>60</v>
      </c>
      <c r="S893" s="9" t="s">
        <v>57</v>
      </c>
      <c r="T893" s="9" t="s">
        <v>61</v>
      </c>
      <c r="V893" s="9">
        <v>2541080.97</v>
      </c>
      <c r="W893" s="9">
        <v>110196.28</v>
      </c>
      <c r="X893" s="9">
        <v>0.0</v>
      </c>
    </row>
    <row r="894" ht="15.75" customHeight="1">
      <c r="A894" s="9">
        <v>2102194.0</v>
      </c>
      <c r="B894" s="9">
        <v>1519491.0</v>
      </c>
      <c r="C894" s="9">
        <v>29953.0</v>
      </c>
      <c r="D894" s="9" t="s">
        <v>52</v>
      </c>
      <c r="E894" s="9" t="s">
        <v>53</v>
      </c>
      <c r="F894" s="9">
        <v>123780.0</v>
      </c>
      <c r="G894" s="9">
        <v>1668276.45</v>
      </c>
      <c r="H894" s="9">
        <v>1668276.45</v>
      </c>
      <c r="I894" s="9">
        <v>1647776.45</v>
      </c>
      <c r="J894" s="9">
        <v>0.0</v>
      </c>
      <c r="K894" s="9">
        <v>0.0</v>
      </c>
      <c r="L894" s="9" t="s">
        <v>69</v>
      </c>
      <c r="M894" s="9" t="s">
        <v>55</v>
      </c>
      <c r="N894" s="9">
        <v>1549368.17</v>
      </c>
      <c r="O894" s="9">
        <v>1549368.17</v>
      </c>
      <c r="P894" s="9">
        <v>63000.0</v>
      </c>
      <c r="Q894" s="9">
        <v>59500.0</v>
      </c>
      <c r="R894" s="9" t="s">
        <v>60</v>
      </c>
      <c r="S894" s="9" t="s">
        <v>57</v>
      </c>
      <c r="T894" s="9" t="s">
        <v>61</v>
      </c>
      <c r="V894" s="9">
        <v>1588276.45</v>
      </c>
      <c r="W894" s="9">
        <v>59500.0</v>
      </c>
      <c r="X894" s="9">
        <v>0.0</v>
      </c>
    </row>
    <row r="895" ht="15.75" customHeight="1">
      <c r="A895" s="9">
        <v>2103979.0</v>
      </c>
      <c r="B895" s="9">
        <v>2630000.0</v>
      </c>
      <c r="C895" s="9">
        <v>30843.0</v>
      </c>
      <c r="D895" s="9" t="s">
        <v>52</v>
      </c>
      <c r="E895" s="9" t="s">
        <v>53</v>
      </c>
      <c r="F895" s="9">
        <v>125106.0</v>
      </c>
      <c r="G895" s="9">
        <v>3655279.84</v>
      </c>
      <c r="H895" s="9">
        <v>3655279.84</v>
      </c>
      <c r="I895" s="9">
        <v>3552713.03</v>
      </c>
      <c r="J895" s="9">
        <v>0.0</v>
      </c>
      <c r="K895" s="9">
        <v>0.0</v>
      </c>
      <c r="L895" s="9" t="s">
        <v>59</v>
      </c>
      <c r="M895" s="9" t="s">
        <v>55</v>
      </c>
      <c r="N895" s="9">
        <v>3655279.84</v>
      </c>
      <c r="O895" s="9">
        <v>3472713.0</v>
      </c>
      <c r="P895" s="9">
        <v>89241.0</v>
      </c>
      <c r="Q895" s="9">
        <v>89241.0</v>
      </c>
      <c r="R895" s="9" t="s">
        <v>75</v>
      </c>
      <c r="S895" s="9" t="s">
        <v>57</v>
      </c>
      <c r="T895" s="9" t="s">
        <v>76</v>
      </c>
    </row>
    <row r="896" ht="15.75" customHeight="1">
      <c r="A896" s="9">
        <v>2104181.0</v>
      </c>
      <c r="B896" s="9">
        <v>874558.0</v>
      </c>
      <c r="C896" s="9">
        <v>30069.0</v>
      </c>
      <c r="D896" s="9" t="s">
        <v>52</v>
      </c>
      <c r="E896" s="9" t="s">
        <v>53</v>
      </c>
      <c r="F896" s="9">
        <v>116978.0</v>
      </c>
      <c r="G896" s="9">
        <v>961765.74</v>
      </c>
      <c r="H896" s="9">
        <v>961765.74</v>
      </c>
      <c r="I896" s="9">
        <v>961765.0</v>
      </c>
      <c r="J896" s="9">
        <v>0.0</v>
      </c>
      <c r="K896" s="9">
        <v>0.0</v>
      </c>
      <c r="L896" s="9" t="s">
        <v>59</v>
      </c>
      <c r="M896" s="9" t="s">
        <v>55</v>
      </c>
      <c r="N896" s="9">
        <v>915967.0</v>
      </c>
      <c r="O896" s="9">
        <v>1011597.46</v>
      </c>
      <c r="P896" s="9">
        <v>36435.0</v>
      </c>
      <c r="Q896" s="9">
        <v>36435.0</v>
      </c>
      <c r="R896" s="9" t="s">
        <v>60</v>
      </c>
      <c r="S896" s="9" t="s">
        <v>57</v>
      </c>
      <c r="T896" s="9" t="s">
        <v>61</v>
      </c>
      <c r="V896" s="9">
        <v>961765.74</v>
      </c>
      <c r="W896" s="9">
        <v>0.0</v>
      </c>
      <c r="X896" s="9">
        <v>0.0</v>
      </c>
    </row>
    <row r="897" ht="15.75" customHeight="1">
      <c r="A897" s="9">
        <v>2105451.0</v>
      </c>
      <c r="B897" s="9">
        <v>1.9993171E7</v>
      </c>
      <c r="C897" s="9">
        <v>30525.0</v>
      </c>
      <c r="D897" s="9" t="s">
        <v>52</v>
      </c>
      <c r="E897" s="9" t="s">
        <v>53</v>
      </c>
      <c r="F897" s="9">
        <v>123395.0</v>
      </c>
      <c r="G897" s="9">
        <v>2.001717204E7</v>
      </c>
      <c r="H897" s="9">
        <v>2.001717204E7</v>
      </c>
      <c r="I897" s="9">
        <v>0.0</v>
      </c>
      <c r="J897" s="9">
        <v>0.0</v>
      </c>
      <c r="K897" s="9">
        <v>0.0</v>
      </c>
      <c r="L897" s="9" t="s">
        <v>54</v>
      </c>
      <c r="M897" s="9" t="s">
        <v>55</v>
      </c>
      <c r="N897" s="9">
        <v>1.881485709E7</v>
      </c>
      <c r="O897" s="9">
        <v>1.881485709E7</v>
      </c>
      <c r="P897" s="9">
        <v>903314.97</v>
      </c>
      <c r="Q897" s="9">
        <v>903314.97</v>
      </c>
      <c r="R897" s="9" t="s">
        <v>60</v>
      </c>
      <c r="S897" s="9" t="s">
        <v>57</v>
      </c>
      <c r="T897" s="9" t="s">
        <v>61</v>
      </c>
      <c r="V897" s="9">
        <v>1.881485709E7</v>
      </c>
      <c r="W897" s="9">
        <v>903314.97</v>
      </c>
      <c r="X897" s="9">
        <v>0.0</v>
      </c>
    </row>
    <row r="898" ht="15.75" customHeight="1">
      <c r="A898" s="9">
        <v>2107891.0</v>
      </c>
      <c r="B898" s="9">
        <v>2501283.0</v>
      </c>
      <c r="C898" s="9">
        <v>30061.0</v>
      </c>
      <c r="D898" s="9" t="s">
        <v>52</v>
      </c>
      <c r="E898" s="9" t="s">
        <v>53</v>
      </c>
      <c r="F898" s="9">
        <v>126768.0</v>
      </c>
      <c r="G898" s="9">
        <v>2481918.85</v>
      </c>
      <c r="H898" s="9">
        <v>2481918.85</v>
      </c>
      <c r="I898" s="9">
        <v>2481913.0</v>
      </c>
      <c r="J898" s="9">
        <v>0.0</v>
      </c>
      <c r="K898" s="9">
        <v>0.0</v>
      </c>
      <c r="L898" s="9" t="s">
        <v>59</v>
      </c>
      <c r="M898" s="9" t="s">
        <v>55</v>
      </c>
      <c r="N898" s="9">
        <v>2382632.25</v>
      </c>
      <c r="O898" s="9">
        <v>2369075.9</v>
      </c>
      <c r="P898" s="9">
        <v>2382632.25</v>
      </c>
      <c r="Q898" s="9">
        <v>0.0</v>
      </c>
      <c r="R898" s="9" t="s">
        <v>72</v>
      </c>
      <c r="S898" s="9" t="s">
        <v>57</v>
      </c>
      <c r="T898" s="9" t="s">
        <v>73</v>
      </c>
      <c r="V898" s="9">
        <v>2453913.0</v>
      </c>
      <c r="W898" s="9">
        <v>28000.0</v>
      </c>
      <c r="X898" s="9">
        <v>0.0</v>
      </c>
    </row>
    <row r="899" ht="15.75" customHeight="1">
      <c r="A899" s="9">
        <v>2107957.0</v>
      </c>
      <c r="B899" s="9">
        <v>1.4201098E7</v>
      </c>
      <c r="C899" s="9">
        <v>29946.0</v>
      </c>
      <c r="D899" s="9" t="s">
        <v>52</v>
      </c>
      <c r="E899" s="9" t="s">
        <v>53</v>
      </c>
      <c r="F899" s="9">
        <v>7568.0</v>
      </c>
      <c r="G899" s="9">
        <v>1.702403983E7</v>
      </c>
      <c r="H899" s="9">
        <v>1.702403983E7</v>
      </c>
      <c r="I899" s="9">
        <v>1.696494298E7</v>
      </c>
      <c r="J899" s="9">
        <v>0.0</v>
      </c>
      <c r="K899" s="9">
        <v>0.0</v>
      </c>
      <c r="L899" s="9" t="s">
        <v>69</v>
      </c>
      <c r="M899" s="9" t="s">
        <v>55</v>
      </c>
      <c r="N899" s="9">
        <v>1.663378023E7</v>
      </c>
      <c r="O899" s="9">
        <v>1.663368343E7</v>
      </c>
      <c r="P899" s="9">
        <v>331259.61</v>
      </c>
      <c r="Q899" s="9">
        <v>331259.61</v>
      </c>
      <c r="R899" s="9" t="s">
        <v>60</v>
      </c>
      <c r="S899" s="9" t="s">
        <v>57</v>
      </c>
      <c r="T899" s="9" t="s">
        <v>61</v>
      </c>
      <c r="V899" s="9">
        <v>1.688476715E7</v>
      </c>
      <c r="W899" s="9">
        <v>0.0</v>
      </c>
      <c r="X899" s="9">
        <v>0.0</v>
      </c>
    </row>
    <row r="900" ht="15.75" customHeight="1">
      <c r="A900" s="9">
        <v>2108995.0</v>
      </c>
      <c r="B900" s="9">
        <v>1.666508E7</v>
      </c>
      <c r="C900" s="9">
        <v>30913.0</v>
      </c>
      <c r="D900" s="9" t="s">
        <v>52</v>
      </c>
      <c r="E900" s="9" t="s">
        <v>53</v>
      </c>
      <c r="F900" s="9">
        <v>72762.0</v>
      </c>
      <c r="G900" s="9">
        <v>1.43093834E7</v>
      </c>
      <c r="H900" s="9">
        <v>1.43093834E7</v>
      </c>
      <c r="I900" s="9">
        <v>177640.42</v>
      </c>
      <c r="J900" s="9">
        <v>0.0</v>
      </c>
      <c r="K900" s="9">
        <v>0.0</v>
      </c>
      <c r="L900" s="9" t="s">
        <v>54</v>
      </c>
      <c r="M900" s="9" t="s">
        <v>55</v>
      </c>
      <c r="N900" s="9">
        <v>1.34946595E7</v>
      </c>
      <c r="O900" s="9">
        <v>1.214519355E7</v>
      </c>
      <c r="P900" s="9">
        <v>571807.61</v>
      </c>
      <c r="Q900" s="9">
        <v>514626.85</v>
      </c>
      <c r="R900" s="9" t="s">
        <v>60</v>
      </c>
      <c r="S900" s="9" t="s">
        <v>57</v>
      </c>
      <c r="T900" s="9" t="s">
        <v>61</v>
      </c>
      <c r="V900" s="9">
        <v>1.096074447E7</v>
      </c>
      <c r="W900" s="9">
        <v>565080.29</v>
      </c>
      <c r="X900" s="9">
        <v>0.0</v>
      </c>
    </row>
    <row r="901" ht="15.75" customHeight="1">
      <c r="A901" s="9">
        <v>2110531.0</v>
      </c>
      <c r="B901" s="9">
        <v>1.4085265E7</v>
      </c>
      <c r="C901" s="9">
        <v>31220.0</v>
      </c>
      <c r="D901" s="9" t="s">
        <v>52</v>
      </c>
      <c r="E901" s="9" t="s">
        <v>53</v>
      </c>
      <c r="F901" s="9">
        <v>126642.0</v>
      </c>
      <c r="G901" s="9">
        <v>1.257822317E7</v>
      </c>
      <c r="H901" s="9">
        <v>1.257822317E7</v>
      </c>
      <c r="I901" s="9">
        <v>8821219.48</v>
      </c>
      <c r="J901" s="9">
        <v>0.0</v>
      </c>
      <c r="K901" s="9">
        <v>0.0</v>
      </c>
      <c r="L901" s="9" t="s">
        <v>59</v>
      </c>
      <c r="M901" s="9" t="s">
        <v>55</v>
      </c>
      <c r="R901" s="9" t="s">
        <v>60</v>
      </c>
      <c r="S901" s="9" t="s">
        <v>57</v>
      </c>
      <c r="T901" s="9" t="s">
        <v>61</v>
      </c>
      <c r="V901" s="9">
        <v>8802582.46</v>
      </c>
      <c r="W901" s="9">
        <v>0.0</v>
      </c>
      <c r="X901" s="9">
        <v>0.0</v>
      </c>
    </row>
    <row r="902" ht="15.75" customHeight="1">
      <c r="A902" s="9">
        <v>2114411.0</v>
      </c>
      <c r="B902" s="9">
        <v>5947044.0</v>
      </c>
      <c r="C902" s="9">
        <v>40580.0</v>
      </c>
      <c r="D902" s="9" t="s">
        <v>52</v>
      </c>
      <c r="E902" s="9" t="s">
        <v>53</v>
      </c>
      <c r="F902" s="9">
        <v>126027.0</v>
      </c>
      <c r="G902" s="9">
        <v>9710271.0</v>
      </c>
      <c r="H902" s="9">
        <v>8289591.0</v>
      </c>
      <c r="I902" s="9">
        <v>8289590.67</v>
      </c>
      <c r="J902" s="9">
        <v>0.0</v>
      </c>
      <c r="K902" s="9">
        <v>0.0</v>
      </c>
      <c r="L902" s="9" t="s">
        <v>59</v>
      </c>
      <c r="M902" s="9" t="s">
        <v>55</v>
      </c>
      <c r="N902" s="9">
        <v>8897932.0</v>
      </c>
      <c r="O902" s="9">
        <v>8897932.0</v>
      </c>
      <c r="R902" s="9" t="s">
        <v>124</v>
      </c>
      <c r="S902" s="9" t="s">
        <v>82</v>
      </c>
      <c r="T902" s="9" t="s">
        <v>107</v>
      </c>
      <c r="U902" s="9" t="s">
        <v>125</v>
      </c>
    </row>
    <row r="903" ht="15.75" customHeight="1">
      <c r="A903" s="9">
        <v>2065311.0</v>
      </c>
      <c r="B903" s="9">
        <v>4.6106299E7</v>
      </c>
      <c r="C903" s="9">
        <v>30531.0</v>
      </c>
      <c r="D903" s="9" t="s">
        <v>52</v>
      </c>
      <c r="E903" s="9" t="s">
        <v>53</v>
      </c>
      <c r="F903" s="9">
        <v>54299.0</v>
      </c>
      <c r="G903" s="9">
        <v>5.0624716E7</v>
      </c>
      <c r="H903" s="9">
        <v>5.0624716E7</v>
      </c>
      <c r="I903" s="9">
        <v>5.04245169E7</v>
      </c>
      <c r="J903" s="9">
        <v>0.0</v>
      </c>
      <c r="K903" s="9">
        <v>0.0</v>
      </c>
      <c r="L903" s="9" t="s">
        <v>59</v>
      </c>
      <c r="M903" s="9" t="s">
        <v>55</v>
      </c>
      <c r="N903" s="9">
        <v>4.687875865E7</v>
      </c>
      <c r="O903" s="9">
        <v>4.687875865E7</v>
      </c>
      <c r="P903" s="9">
        <v>1945957.35</v>
      </c>
      <c r="Q903" s="9">
        <v>1945900.0</v>
      </c>
      <c r="R903" s="9" t="s">
        <v>60</v>
      </c>
      <c r="S903" s="9" t="s">
        <v>57</v>
      </c>
      <c r="T903" s="9" t="s">
        <v>61</v>
      </c>
      <c r="V903" s="9">
        <v>4.66764542E7</v>
      </c>
      <c r="W903" s="9">
        <v>1938062.7</v>
      </c>
      <c r="X903" s="9">
        <v>0.0</v>
      </c>
    </row>
    <row r="904" ht="15.75" customHeight="1">
      <c r="A904" s="9">
        <v>2066683.0</v>
      </c>
      <c r="B904" s="9">
        <v>3710732.0</v>
      </c>
      <c r="C904" s="9">
        <v>29884.0</v>
      </c>
      <c r="D904" s="9" t="s">
        <v>52</v>
      </c>
      <c r="E904" s="9" t="s">
        <v>53</v>
      </c>
      <c r="F904" s="9">
        <v>63047.0</v>
      </c>
      <c r="G904" s="9">
        <v>4291380.74</v>
      </c>
      <c r="H904" s="9">
        <v>4291380.74</v>
      </c>
      <c r="I904" s="9">
        <v>4328938.99</v>
      </c>
      <c r="J904" s="9">
        <v>0.0</v>
      </c>
      <c r="K904" s="9">
        <v>0.0</v>
      </c>
      <c r="L904" s="9" t="s">
        <v>69</v>
      </c>
      <c r="M904" s="9" t="s">
        <v>55</v>
      </c>
      <c r="N904" s="9">
        <v>3833446.56</v>
      </c>
      <c r="O904" s="9">
        <v>3833446.56</v>
      </c>
      <c r="P904" s="9">
        <v>129947.34</v>
      </c>
      <c r="Q904" s="9">
        <v>129947.34</v>
      </c>
      <c r="R904" s="9" t="s">
        <v>60</v>
      </c>
      <c r="S904" s="9" t="s">
        <v>57</v>
      </c>
      <c r="T904" s="9" t="s">
        <v>61</v>
      </c>
      <c r="V904" s="9">
        <v>3833446.56</v>
      </c>
      <c r="W904" s="9">
        <v>129947.34</v>
      </c>
      <c r="X904" s="9">
        <v>0.0</v>
      </c>
    </row>
    <row r="905" ht="15.75" customHeight="1">
      <c r="A905" s="9">
        <v>2066983.0</v>
      </c>
      <c r="B905" s="9">
        <v>575048.0</v>
      </c>
      <c r="C905" s="9">
        <v>30825.0</v>
      </c>
      <c r="D905" s="9" t="s">
        <v>52</v>
      </c>
      <c r="E905" s="9" t="s">
        <v>53</v>
      </c>
      <c r="F905" s="9">
        <v>64111.0</v>
      </c>
      <c r="G905" s="9">
        <v>644053.0</v>
      </c>
      <c r="H905" s="9">
        <v>746376.0</v>
      </c>
      <c r="I905" s="9">
        <v>746376.0</v>
      </c>
      <c r="J905" s="9">
        <v>0.0</v>
      </c>
      <c r="K905" s="9">
        <v>0.0</v>
      </c>
      <c r="L905" s="9" t="s">
        <v>69</v>
      </c>
      <c r="M905" s="9" t="s">
        <v>55</v>
      </c>
      <c r="N905" s="9">
        <v>644054.0</v>
      </c>
      <c r="O905" s="9">
        <v>644054.0</v>
      </c>
      <c r="P905" s="9">
        <v>644054.0</v>
      </c>
      <c r="Q905" s="9">
        <v>644054.0</v>
      </c>
      <c r="R905" s="9" t="s">
        <v>60</v>
      </c>
      <c r="S905" s="9" t="s">
        <v>57</v>
      </c>
      <c r="T905" s="9" t="s">
        <v>61</v>
      </c>
      <c r="V905" s="9">
        <v>701376.02</v>
      </c>
      <c r="W905" s="9">
        <v>0.0</v>
      </c>
      <c r="X905" s="9">
        <v>0.0</v>
      </c>
    </row>
    <row r="906" ht="15.75" customHeight="1">
      <c r="A906" s="9">
        <v>2067351.0</v>
      </c>
      <c r="B906" s="9">
        <v>4734290.0</v>
      </c>
      <c r="C906" s="9">
        <v>30030.0</v>
      </c>
      <c r="D906" s="9" t="s">
        <v>52</v>
      </c>
      <c r="E906" s="9" t="s">
        <v>53</v>
      </c>
      <c r="F906" s="9">
        <v>65422.0</v>
      </c>
      <c r="G906" s="9">
        <v>5154307.0</v>
      </c>
      <c r="H906" s="9">
        <v>5154307.0</v>
      </c>
      <c r="I906" s="9">
        <v>5154307.0</v>
      </c>
      <c r="J906" s="9">
        <v>0.0</v>
      </c>
      <c r="K906" s="9">
        <v>0.0</v>
      </c>
      <c r="L906" s="9" t="s">
        <v>59</v>
      </c>
      <c r="M906" s="9" t="s">
        <v>55</v>
      </c>
      <c r="N906" s="9">
        <v>4980420.57</v>
      </c>
      <c r="O906" s="9">
        <v>4535478.53</v>
      </c>
      <c r="P906" s="9">
        <v>173886.43</v>
      </c>
      <c r="Q906" s="9">
        <v>173886.43</v>
      </c>
      <c r="R906" s="9" t="s">
        <v>60</v>
      </c>
      <c r="S906" s="9" t="s">
        <v>57</v>
      </c>
      <c r="T906" s="9" t="s">
        <v>61</v>
      </c>
      <c r="V906" s="9">
        <v>4962520.62</v>
      </c>
      <c r="W906" s="9">
        <v>190258.88</v>
      </c>
      <c r="X906" s="9">
        <v>0.0</v>
      </c>
    </row>
    <row r="907" ht="15.75" customHeight="1">
      <c r="A907" s="9">
        <v>2067726.0</v>
      </c>
      <c r="B907" s="9">
        <v>3975289.0</v>
      </c>
      <c r="C907" s="9">
        <v>29874.0</v>
      </c>
      <c r="D907" s="9" t="s">
        <v>52</v>
      </c>
      <c r="E907" s="9" t="s">
        <v>53</v>
      </c>
      <c r="F907" s="9">
        <v>66689.0</v>
      </c>
      <c r="G907" s="9">
        <v>3975289.0</v>
      </c>
      <c r="H907" s="9">
        <v>3975289.0</v>
      </c>
      <c r="I907" s="9">
        <v>3975289.0</v>
      </c>
      <c r="J907" s="9">
        <v>0.0</v>
      </c>
      <c r="K907" s="9">
        <v>0.0</v>
      </c>
      <c r="L907" s="9" t="s">
        <v>69</v>
      </c>
      <c r="M907" s="9" t="s">
        <v>55</v>
      </c>
      <c r="N907" s="9">
        <v>3975289.0</v>
      </c>
      <c r="O907" s="9">
        <v>3975289.0</v>
      </c>
      <c r="R907" s="9" t="s">
        <v>56</v>
      </c>
      <c r="S907" s="9" t="s">
        <v>57</v>
      </c>
      <c r="T907" s="9" t="s">
        <v>58</v>
      </c>
      <c r="V907" s="9">
        <v>2716559.0</v>
      </c>
      <c r="W907" s="9">
        <v>0.0</v>
      </c>
      <c r="X907" s="9">
        <v>0.0</v>
      </c>
    </row>
    <row r="908" ht="15.75" customHeight="1">
      <c r="A908" s="9">
        <v>2067919.0</v>
      </c>
      <c r="B908" s="9">
        <v>1362208.0</v>
      </c>
      <c r="C908" s="9">
        <v>30458.0</v>
      </c>
      <c r="D908" s="9" t="s">
        <v>52</v>
      </c>
      <c r="E908" s="9" t="s">
        <v>53</v>
      </c>
      <c r="F908" s="9">
        <v>67314.0</v>
      </c>
      <c r="G908" s="9">
        <v>1374558.25</v>
      </c>
      <c r="H908" s="9">
        <v>1374558.25</v>
      </c>
      <c r="I908" s="9">
        <v>1354058.0</v>
      </c>
      <c r="J908" s="9">
        <v>0.0</v>
      </c>
      <c r="K908" s="9">
        <v>0.0</v>
      </c>
      <c r="L908" s="9" t="s">
        <v>59</v>
      </c>
      <c r="M908" s="9" t="s">
        <v>55</v>
      </c>
      <c r="N908" s="9">
        <v>1304058.25</v>
      </c>
      <c r="O908" s="9">
        <v>1304058.25</v>
      </c>
      <c r="R908" s="9" t="s">
        <v>60</v>
      </c>
      <c r="S908" s="9" t="s">
        <v>57</v>
      </c>
      <c r="T908" s="9" t="s">
        <v>61</v>
      </c>
      <c r="V908" s="9">
        <v>1304058.0</v>
      </c>
      <c r="W908" s="9">
        <v>50000.0</v>
      </c>
      <c r="X908" s="9">
        <v>0.0</v>
      </c>
    </row>
    <row r="909" ht="15.75" customHeight="1">
      <c r="A909" s="9">
        <v>2068328.0</v>
      </c>
      <c r="B909" s="9">
        <v>206108.0</v>
      </c>
      <c r="C909" s="9">
        <v>30178.0</v>
      </c>
      <c r="D909" s="9" t="s">
        <v>52</v>
      </c>
      <c r="E909" s="9" t="s">
        <v>53</v>
      </c>
      <c r="F909" s="9">
        <v>68580.0</v>
      </c>
      <c r="G909" s="9">
        <v>249181.0</v>
      </c>
      <c r="H909" s="9">
        <v>249181.0</v>
      </c>
      <c r="I909" s="9">
        <v>164826.1</v>
      </c>
      <c r="J909" s="9">
        <v>0.0</v>
      </c>
      <c r="K909" s="9">
        <v>0.0</v>
      </c>
      <c r="L909" s="9" t="s">
        <v>69</v>
      </c>
      <c r="M909" s="9" t="s">
        <v>55</v>
      </c>
      <c r="N909" s="9">
        <v>238078.0</v>
      </c>
      <c r="O909" s="9">
        <v>238078.0</v>
      </c>
      <c r="P909" s="9">
        <v>238078.0</v>
      </c>
      <c r="Q909" s="9">
        <v>10500.0</v>
      </c>
      <c r="R909" s="9" t="s">
        <v>60</v>
      </c>
      <c r="S909" s="9" t="s">
        <v>57</v>
      </c>
      <c r="T909" s="9" t="s">
        <v>61</v>
      </c>
      <c r="V909" s="9">
        <v>238078.0</v>
      </c>
      <c r="W909" s="9">
        <v>10500.0</v>
      </c>
      <c r="X909" s="9">
        <v>0.0</v>
      </c>
    </row>
    <row r="910" ht="15.75" customHeight="1">
      <c r="A910" s="9">
        <v>2068853.0</v>
      </c>
      <c r="B910" s="9">
        <v>2677620.0</v>
      </c>
      <c r="C910" s="9">
        <v>45912.0</v>
      </c>
      <c r="D910" s="9" t="s">
        <v>52</v>
      </c>
      <c r="E910" s="9" t="s">
        <v>53</v>
      </c>
      <c r="F910" s="9">
        <v>69939.0</v>
      </c>
      <c r="G910" s="9">
        <v>3437084.86</v>
      </c>
      <c r="H910" s="9">
        <v>6433265.02</v>
      </c>
      <c r="I910" s="9">
        <v>6425464.03</v>
      </c>
      <c r="J910" s="9">
        <v>0.0</v>
      </c>
      <c r="K910" s="9">
        <v>0.0</v>
      </c>
      <c r="L910" s="9" t="s">
        <v>59</v>
      </c>
      <c r="M910" s="9" t="s">
        <v>62</v>
      </c>
      <c r="N910" s="9">
        <v>3284853.47</v>
      </c>
      <c r="O910" s="9">
        <v>3061086.94</v>
      </c>
      <c r="P910" s="9">
        <v>111428.95</v>
      </c>
      <c r="Q910" s="9">
        <v>103800.0</v>
      </c>
      <c r="R910" s="9" t="s">
        <v>94</v>
      </c>
      <c r="S910" s="9" t="s">
        <v>57</v>
      </c>
      <c r="T910" s="9" t="s">
        <v>95</v>
      </c>
    </row>
    <row r="911" ht="15.75" customHeight="1">
      <c r="A911" s="9">
        <v>2068987.0</v>
      </c>
      <c r="B911" s="9">
        <v>4030699.0</v>
      </c>
      <c r="C911" s="9">
        <v>30243.0</v>
      </c>
      <c r="D911" s="9" t="s">
        <v>52</v>
      </c>
      <c r="E911" s="9" t="s">
        <v>53</v>
      </c>
      <c r="F911" s="9">
        <v>70365.0</v>
      </c>
      <c r="G911" s="9">
        <v>4030699.0</v>
      </c>
      <c r="H911" s="9">
        <v>4030699.0</v>
      </c>
      <c r="I911" s="9">
        <v>3962009.88</v>
      </c>
      <c r="J911" s="9">
        <v>0.0</v>
      </c>
      <c r="K911" s="9">
        <v>0.0</v>
      </c>
      <c r="L911" s="9" t="s">
        <v>59</v>
      </c>
      <c r="M911" s="9" t="s">
        <v>55</v>
      </c>
      <c r="N911" s="9">
        <v>3846501.46</v>
      </c>
      <c r="O911" s="9">
        <v>3846501.46</v>
      </c>
      <c r="P911" s="9">
        <v>83600.0</v>
      </c>
      <c r="Q911" s="9">
        <v>83600.0</v>
      </c>
      <c r="R911" s="9" t="s">
        <v>60</v>
      </c>
      <c r="S911" s="9" t="s">
        <v>57</v>
      </c>
      <c r="T911" s="9" t="s">
        <v>61</v>
      </c>
      <c r="V911" s="9">
        <v>3881600.04</v>
      </c>
      <c r="W911" s="9">
        <v>83600.0</v>
      </c>
      <c r="X911" s="9">
        <v>0.0</v>
      </c>
    </row>
    <row r="912" ht="15.75" customHeight="1">
      <c r="A912" s="9">
        <v>2069057.0</v>
      </c>
      <c r="B912" s="9">
        <v>669227.0</v>
      </c>
      <c r="C912" s="9">
        <v>30065.0</v>
      </c>
      <c r="D912" s="9" t="s">
        <v>52</v>
      </c>
      <c r="E912" s="9" t="s">
        <v>53</v>
      </c>
      <c r="F912" s="9">
        <v>70523.0</v>
      </c>
      <c r="G912" s="9">
        <v>658192.0</v>
      </c>
      <c r="H912" s="9">
        <v>658192.0</v>
      </c>
      <c r="I912" s="9">
        <v>100687.5</v>
      </c>
      <c r="J912" s="9">
        <v>0.0</v>
      </c>
      <c r="K912" s="9">
        <v>0.0</v>
      </c>
      <c r="L912" s="9" t="s">
        <v>59</v>
      </c>
      <c r="M912" s="9" t="s">
        <v>55</v>
      </c>
      <c r="N912" s="9">
        <v>803766.57</v>
      </c>
      <c r="O912" s="9">
        <v>304364.41</v>
      </c>
      <c r="P912" s="9">
        <v>29500.0</v>
      </c>
      <c r="Q912" s="9">
        <v>29500.0</v>
      </c>
      <c r="R912" s="9" t="s">
        <v>60</v>
      </c>
      <c r="S912" s="9" t="s">
        <v>57</v>
      </c>
      <c r="T912" s="9" t="s">
        <v>61</v>
      </c>
      <c r="V912" s="9">
        <v>881208.4</v>
      </c>
      <c r="W912" s="9">
        <v>0.0</v>
      </c>
      <c r="X912" s="9">
        <v>0.0</v>
      </c>
    </row>
    <row r="913" ht="15.75" customHeight="1">
      <c r="A913" s="9">
        <v>2069121.0</v>
      </c>
      <c r="B913" s="9">
        <v>4180059.0</v>
      </c>
      <c r="C913" s="9">
        <v>29887.0</v>
      </c>
      <c r="D913" s="9" t="s">
        <v>52</v>
      </c>
      <c r="E913" s="9" t="s">
        <v>53</v>
      </c>
      <c r="F913" s="9">
        <v>70705.0</v>
      </c>
      <c r="G913" s="9">
        <v>4592577.32</v>
      </c>
      <c r="H913" s="9">
        <v>4592577.32</v>
      </c>
      <c r="I913" s="9">
        <v>4720780.84</v>
      </c>
      <c r="J913" s="9">
        <v>0.0</v>
      </c>
      <c r="K913" s="9">
        <v>0.0</v>
      </c>
      <c r="L913" s="9" t="s">
        <v>69</v>
      </c>
      <c r="M913" s="9" t="s">
        <v>55</v>
      </c>
      <c r="N913" s="9">
        <v>4415939.71</v>
      </c>
      <c r="O913" s="9">
        <v>4415939.71</v>
      </c>
      <c r="P913" s="9">
        <v>176637.59</v>
      </c>
      <c r="Q913" s="9">
        <v>176000.0</v>
      </c>
      <c r="R913" s="9" t="s">
        <v>72</v>
      </c>
      <c r="S913" s="9" t="s">
        <v>57</v>
      </c>
      <c r="T913" s="9" t="s">
        <v>73</v>
      </c>
      <c r="V913" s="9">
        <v>3492430.54</v>
      </c>
      <c r="W913" s="9">
        <v>143651.2</v>
      </c>
      <c r="X913" s="9">
        <v>0.0</v>
      </c>
    </row>
    <row r="914" ht="15.75" customHeight="1">
      <c r="A914" s="9">
        <v>2069196.0</v>
      </c>
      <c r="B914" s="9">
        <v>460608.0</v>
      </c>
      <c r="C914" s="9">
        <v>31210.0</v>
      </c>
      <c r="D914" s="9" t="s">
        <v>52</v>
      </c>
      <c r="E914" s="9" t="s">
        <v>53</v>
      </c>
      <c r="F914" s="9">
        <v>70952.0</v>
      </c>
      <c r="G914" s="9">
        <v>460607.97</v>
      </c>
      <c r="H914" s="9">
        <v>460607.97</v>
      </c>
      <c r="I914" s="9">
        <v>460604.65</v>
      </c>
      <c r="J914" s="9">
        <v>0.0</v>
      </c>
      <c r="K914" s="9">
        <v>0.0</v>
      </c>
      <c r="L914" s="9" t="s">
        <v>69</v>
      </c>
      <c r="M914" s="9" t="s">
        <v>55</v>
      </c>
      <c r="R914" s="9" t="s">
        <v>60</v>
      </c>
      <c r="S914" s="9" t="s">
        <v>57</v>
      </c>
      <c r="T914" s="9" t="s">
        <v>61</v>
      </c>
      <c r="V914" s="9">
        <v>450334.07</v>
      </c>
      <c r="W914" s="9">
        <v>10273.9</v>
      </c>
      <c r="X914" s="9">
        <v>0.0</v>
      </c>
    </row>
    <row r="915" ht="15.75" customHeight="1">
      <c r="A915" s="9">
        <v>2069266.0</v>
      </c>
      <c r="B915" s="9">
        <v>4947576.0</v>
      </c>
      <c r="C915" s="9">
        <v>30058.0</v>
      </c>
      <c r="D915" s="9" t="s">
        <v>52</v>
      </c>
      <c r="E915" s="9" t="s">
        <v>53</v>
      </c>
      <c r="F915" s="9">
        <v>71143.0</v>
      </c>
      <c r="G915" s="9">
        <v>4947576.0</v>
      </c>
      <c r="H915" s="9">
        <v>4947576.0</v>
      </c>
      <c r="I915" s="9">
        <v>4947576.0</v>
      </c>
      <c r="J915" s="9">
        <v>0.0</v>
      </c>
      <c r="K915" s="9">
        <v>0.0</v>
      </c>
      <c r="L915" s="9" t="s">
        <v>69</v>
      </c>
      <c r="M915" s="9" t="s">
        <v>55</v>
      </c>
      <c r="N915" s="9">
        <v>4799112.0</v>
      </c>
      <c r="O915" s="9">
        <v>4799112.0</v>
      </c>
      <c r="P915" s="9">
        <v>148464.0</v>
      </c>
      <c r="Q915" s="9">
        <v>148464.0</v>
      </c>
      <c r="R915" s="9" t="s">
        <v>60</v>
      </c>
      <c r="S915" s="9" t="s">
        <v>57</v>
      </c>
      <c r="T915" s="9" t="s">
        <v>61</v>
      </c>
      <c r="V915" s="9">
        <v>4799112.0</v>
      </c>
      <c r="W915" s="9">
        <v>148464.0</v>
      </c>
      <c r="X915" s="9">
        <v>0.0</v>
      </c>
    </row>
    <row r="916" ht="15.75" customHeight="1">
      <c r="A916" s="9">
        <v>2070202.0</v>
      </c>
      <c r="B916" s="9">
        <v>1040616.0</v>
      </c>
      <c r="C916" s="9">
        <v>29737.0</v>
      </c>
      <c r="D916" s="9" t="s">
        <v>52</v>
      </c>
      <c r="E916" s="9" t="s">
        <v>53</v>
      </c>
      <c r="F916" s="9">
        <v>73767.0</v>
      </c>
      <c r="G916" s="9">
        <v>1040616.0</v>
      </c>
      <c r="H916" s="9">
        <v>1040616.0</v>
      </c>
      <c r="I916" s="9">
        <v>32364.0</v>
      </c>
      <c r="J916" s="9">
        <v>0.0</v>
      </c>
      <c r="K916" s="9">
        <v>0.0</v>
      </c>
      <c r="L916" s="9" t="s">
        <v>54</v>
      </c>
      <c r="M916" s="9" t="s">
        <v>65</v>
      </c>
      <c r="N916" s="9">
        <v>32364.0</v>
      </c>
      <c r="O916" s="9">
        <v>32364.0</v>
      </c>
      <c r="R916" s="9" t="s">
        <v>60</v>
      </c>
      <c r="S916" s="9" t="s">
        <v>57</v>
      </c>
      <c r="T916" s="9" t="s">
        <v>61</v>
      </c>
      <c r="V916" s="9">
        <v>32364.0</v>
      </c>
      <c r="W916" s="9">
        <v>0.0</v>
      </c>
    </row>
    <row r="917" ht="15.75" customHeight="1">
      <c r="A917" s="9">
        <v>2070291.0</v>
      </c>
      <c r="B917" s="9">
        <v>1210145.0</v>
      </c>
      <c r="C917" s="9">
        <v>30535.0</v>
      </c>
      <c r="D917" s="9" t="s">
        <v>52</v>
      </c>
      <c r="E917" s="9" t="s">
        <v>53</v>
      </c>
      <c r="F917" s="9">
        <v>73991.0</v>
      </c>
      <c r="G917" s="9">
        <v>1210145.0</v>
      </c>
      <c r="H917" s="9">
        <v>1210145.0</v>
      </c>
      <c r="I917" s="9">
        <v>1175870.7</v>
      </c>
      <c r="J917" s="9">
        <v>0.0</v>
      </c>
      <c r="K917" s="9">
        <v>0.0</v>
      </c>
      <c r="L917" s="9" t="s">
        <v>59</v>
      </c>
      <c r="M917" s="9" t="s">
        <v>55</v>
      </c>
      <c r="N917" s="9">
        <v>1173645.02</v>
      </c>
      <c r="O917" s="9">
        <v>1173645.02</v>
      </c>
      <c r="P917" s="9">
        <v>35500.0</v>
      </c>
      <c r="Q917" s="9">
        <v>35500.0</v>
      </c>
      <c r="R917" s="9" t="s">
        <v>75</v>
      </c>
      <c r="S917" s="9" t="s">
        <v>57</v>
      </c>
      <c r="T917" s="9" t="s">
        <v>76</v>
      </c>
      <c r="V917" s="9">
        <v>0.0</v>
      </c>
      <c r="W917" s="9">
        <v>0.0</v>
      </c>
      <c r="X917" s="9">
        <v>0.0</v>
      </c>
    </row>
    <row r="918" ht="15.75" customHeight="1">
      <c r="A918" s="9">
        <v>2071236.0</v>
      </c>
      <c r="B918" s="9">
        <v>9450423.0</v>
      </c>
      <c r="C918" s="9">
        <v>30616.0</v>
      </c>
      <c r="D918" s="9" t="s">
        <v>52</v>
      </c>
      <c r="E918" s="9" t="s">
        <v>53</v>
      </c>
      <c r="F918" s="9">
        <v>76635.0</v>
      </c>
      <c r="G918" s="9">
        <v>1.056784738E7</v>
      </c>
      <c r="H918" s="9">
        <v>1.056784738E7</v>
      </c>
      <c r="I918" s="9">
        <v>1.042486832E7</v>
      </c>
      <c r="J918" s="9">
        <v>0.0</v>
      </c>
      <c r="K918" s="9">
        <v>0.0</v>
      </c>
      <c r="L918" s="9" t="s">
        <v>59</v>
      </c>
      <c r="M918" s="9" t="s">
        <v>55</v>
      </c>
      <c r="N918" s="9">
        <v>9026722.63</v>
      </c>
      <c r="O918" s="9">
        <v>9026722.63</v>
      </c>
      <c r="P918" s="9">
        <v>435189.9</v>
      </c>
      <c r="Q918" s="9">
        <v>435189.9</v>
      </c>
      <c r="R918" s="9" t="s">
        <v>60</v>
      </c>
      <c r="S918" s="9" t="s">
        <v>57</v>
      </c>
      <c r="T918" s="9" t="s">
        <v>61</v>
      </c>
      <c r="V918" s="9">
        <v>9461913.0</v>
      </c>
      <c r="W918" s="9">
        <v>0.0</v>
      </c>
      <c r="X918" s="9">
        <v>0.0</v>
      </c>
    </row>
    <row r="919" ht="15.75" customHeight="1">
      <c r="A919" s="9">
        <v>2071970.0</v>
      </c>
      <c r="B919" s="9">
        <v>4856715.0</v>
      </c>
      <c r="C919" s="9">
        <v>47180.0</v>
      </c>
      <c r="D919" s="9" t="s">
        <v>52</v>
      </c>
      <c r="E919" s="9" t="s">
        <v>53</v>
      </c>
      <c r="F919" s="9">
        <v>78623.0</v>
      </c>
      <c r="G919" s="9">
        <v>3.0154176E7</v>
      </c>
      <c r="H919" s="9">
        <v>3.178032648E7</v>
      </c>
      <c r="I919" s="9">
        <v>1.614703745E7</v>
      </c>
      <c r="J919" s="9">
        <v>3917740.63</v>
      </c>
      <c r="K919" s="9">
        <v>1.8577921E7</v>
      </c>
      <c r="L919" s="9" t="s">
        <v>59</v>
      </c>
      <c r="M919" s="9" t="s">
        <v>55</v>
      </c>
      <c r="N919" s="9">
        <v>2.949703126E7</v>
      </c>
      <c r="O919" s="9">
        <v>2.949703126E7</v>
      </c>
      <c r="P919" s="9">
        <v>1233859.59</v>
      </c>
      <c r="Q919" s="9">
        <v>1233859.58</v>
      </c>
      <c r="R919" s="9" t="s">
        <v>104</v>
      </c>
      <c r="S919" s="9" t="s">
        <v>82</v>
      </c>
      <c r="T919" s="9" t="s">
        <v>83</v>
      </c>
      <c r="U919" s="9" t="s">
        <v>105</v>
      </c>
    </row>
    <row r="920" ht="15.75" customHeight="1">
      <c r="A920" s="9">
        <v>2072004.0</v>
      </c>
      <c r="B920" s="9">
        <v>57787.0</v>
      </c>
      <c r="C920" s="9">
        <v>31155.0</v>
      </c>
      <c r="D920" s="9" t="s">
        <v>52</v>
      </c>
      <c r="E920" s="9" t="s">
        <v>53</v>
      </c>
      <c r="F920" s="9">
        <v>78703.0</v>
      </c>
      <c r="G920" s="9">
        <v>57787.0</v>
      </c>
      <c r="H920" s="9">
        <v>57787.0</v>
      </c>
      <c r="I920" s="9">
        <v>59752.1</v>
      </c>
      <c r="J920" s="9">
        <v>0.0</v>
      </c>
      <c r="K920" s="9">
        <v>0.0</v>
      </c>
      <c r="L920" s="9" t="s">
        <v>69</v>
      </c>
      <c r="M920" s="9" t="s">
        <v>55</v>
      </c>
      <c r="R920" s="9" t="s">
        <v>60</v>
      </c>
      <c r="S920" s="9" t="s">
        <v>57</v>
      </c>
      <c r="T920" s="9" t="s">
        <v>61</v>
      </c>
      <c r="V920" s="9">
        <v>59797.1</v>
      </c>
      <c r="W920" s="9">
        <v>0.0</v>
      </c>
      <c r="X920" s="9">
        <v>0.0</v>
      </c>
    </row>
    <row r="921" ht="15.75" customHeight="1">
      <c r="A921" s="9">
        <v>2072099.0</v>
      </c>
      <c r="B921" s="9">
        <v>170091.0</v>
      </c>
      <c r="C921" s="9">
        <v>31068.0</v>
      </c>
      <c r="D921" s="9" t="s">
        <v>52</v>
      </c>
      <c r="E921" s="9" t="s">
        <v>53</v>
      </c>
      <c r="F921" s="9">
        <v>78971.0</v>
      </c>
      <c r="G921" s="9">
        <v>186876.17</v>
      </c>
      <c r="H921" s="9">
        <v>186876.17</v>
      </c>
      <c r="I921" s="9">
        <v>223988.0</v>
      </c>
      <c r="J921" s="9">
        <v>0.0</v>
      </c>
      <c r="K921" s="9">
        <v>0.0</v>
      </c>
      <c r="L921" s="9" t="s">
        <v>69</v>
      </c>
      <c r="M921" s="9" t="s">
        <v>55</v>
      </c>
      <c r="R921" s="9" t="s">
        <v>60</v>
      </c>
      <c r="S921" s="9" t="s">
        <v>57</v>
      </c>
      <c r="T921" s="9" t="s">
        <v>61</v>
      </c>
      <c r="V921" s="9">
        <v>163091.0</v>
      </c>
      <c r="W921" s="9">
        <v>0.0</v>
      </c>
      <c r="X921" s="9">
        <v>0.0</v>
      </c>
    </row>
    <row r="922" ht="15.75" customHeight="1">
      <c r="A922" s="9">
        <v>2072208.0</v>
      </c>
      <c r="B922" s="9">
        <v>3574560.0</v>
      </c>
      <c r="C922" s="9">
        <v>30423.0</v>
      </c>
      <c r="D922" s="9" t="s">
        <v>52</v>
      </c>
      <c r="E922" s="9" t="s">
        <v>53</v>
      </c>
      <c r="F922" s="9">
        <v>79211.0</v>
      </c>
      <c r="G922" s="9">
        <v>4171126.13</v>
      </c>
      <c r="H922" s="9">
        <v>4171126.13</v>
      </c>
      <c r="I922" s="9">
        <v>4144609.73</v>
      </c>
      <c r="J922" s="9">
        <v>0.0</v>
      </c>
      <c r="K922" s="9">
        <v>0.0</v>
      </c>
      <c r="L922" s="9" t="s">
        <v>69</v>
      </c>
      <c r="M922" s="9" t="s">
        <v>55</v>
      </c>
      <c r="N922" s="9">
        <v>3553929.13</v>
      </c>
      <c r="O922" s="9">
        <v>3553929.13</v>
      </c>
      <c r="P922" s="9">
        <v>59176.0</v>
      </c>
      <c r="Q922" s="9">
        <v>56176.0</v>
      </c>
      <c r="R922" s="9" t="s">
        <v>56</v>
      </c>
      <c r="S922" s="9" t="s">
        <v>57</v>
      </c>
      <c r="T922" s="9" t="s">
        <v>58</v>
      </c>
      <c r="V922" s="9">
        <v>3509129.13</v>
      </c>
      <c r="W922" s="9">
        <v>0.0</v>
      </c>
      <c r="X922" s="9">
        <v>0.0</v>
      </c>
    </row>
    <row r="923" ht="15.75" customHeight="1">
      <c r="A923" s="9">
        <v>2073301.0</v>
      </c>
      <c r="B923" s="9">
        <v>118468.0</v>
      </c>
      <c r="C923" s="9">
        <v>31148.0</v>
      </c>
      <c r="D923" s="9" t="s">
        <v>52</v>
      </c>
      <c r="E923" s="9" t="s">
        <v>53</v>
      </c>
      <c r="F923" s="9">
        <v>82219.0</v>
      </c>
      <c r="G923" s="9">
        <v>118468.0</v>
      </c>
      <c r="H923" s="9">
        <v>118468.0</v>
      </c>
      <c r="I923" s="9">
        <v>3471.0</v>
      </c>
      <c r="J923" s="9">
        <v>0.0</v>
      </c>
      <c r="K923" s="9">
        <v>0.0</v>
      </c>
      <c r="L923" s="9" t="s">
        <v>69</v>
      </c>
      <c r="M923" s="9" t="s">
        <v>55</v>
      </c>
      <c r="R923" s="9" t="s">
        <v>60</v>
      </c>
      <c r="S923" s="9" t="s">
        <v>57</v>
      </c>
      <c r="T923" s="9" t="s">
        <v>61</v>
      </c>
      <c r="V923" s="9">
        <v>112292.41</v>
      </c>
      <c r="W923" s="9">
        <v>0.0</v>
      </c>
      <c r="X923" s="9">
        <v>0.0</v>
      </c>
    </row>
    <row r="924" ht="15.75" customHeight="1">
      <c r="A924" s="9">
        <v>2073342.0</v>
      </c>
      <c r="B924" s="9">
        <v>5417128.0</v>
      </c>
      <c r="C924" s="9">
        <v>30892.0</v>
      </c>
      <c r="D924" s="9" t="s">
        <v>52</v>
      </c>
      <c r="E924" s="9" t="s">
        <v>53</v>
      </c>
      <c r="F924" s="9">
        <v>82348.0</v>
      </c>
      <c r="G924" s="9">
        <v>6827123.37</v>
      </c>
      <c r="H924" s="9">
        <v>6827123.37</v>
      </c>
      <c r="I924" s="9">
        <v>6107322.25</v>
      </c>
      <c r="J924" s="9">
        <v>0.0</v>
      </c>
      <c r="K924" s="9">
        <v>0.0</v>
      </c>
      <c r="L924" s="9" t="s">
        <v>59</v>
      </c>
      <c r="M924" s="9" t="s">
        <v>55</v>
      </c>
      <c r="N924" s="9">
        <v>5529104.3</v>
      </c>
      <c r="O924" s="9">
        <v>5817230.88</v>
      </c>
      <c r="P924" s="9">
        <v>312015.11</v>
      </c>
      <c r="Q924" s="9">
        <v>290850.0</v>
      </c>
      <c r="R924" s="9" t="s">
        <v>75</v>
      </c>
      <c r="S924" s="9" t="s">
        <v>57</v>
      </c>
      <c r="T924" s="9" t="s">
        <v>76</v>
      </c>
      <c r="V924" s="9">
        <v>5816472.25</v>
      </c>
      <c r="W924" s="9">
        <v>5816472.25</v>
      </c>
      <c r="X924" s="9">
        <v>0.0</v>
      </c>
    </row>
    <row r="925" ht="15.75" customHeight="1">
      <c r="A925" s="9">
        <v>2104490.0</v>
      </c>
      <c r="B925" s="9">
        <v>215158.0</v>
      </c>
      <c r="C925" s="9">
        <v>29526.0</v>
      </c>
      <c r="D925" s="9" t="s">
        <v>52</v>
      </c>
      <c r="E925" s="9" t="s">
        <v>53</v>
      </c>
      <c r="F925" s="9">
        <v>102227.0</v>
      </c>
      <c r="G925" s="9">
        <v>215158.0</v>
      </c>
      <c r="H925" s="9">
        <v>215158.0</v>
      </c>
      <c r="I925" s="9">
        <v>0.0</v>
      </c>
      <c r="J925" s="9">
        <v>0.0</v>
      </c>
      <c r="K925" s="9">
        <v>0.0</v>
      </c>
      <c r="L925" s="9" t="s">
        <v>54</v>
      </c>
      <c r="M925" s="9" t="s">
        <v>116</v>
      </c>
      <c r="N925" s="9">
        <v>25000.0</v>
      </c>
      <c r="O925" s="9">
        <v>25000.0</v>
      </c>
      <c r="R925" s="9" t="s">
        <v>117</v>
      </c>
      <c r="S925" s="9" t="s">
        <v>57</v>
      </c>
      <c r="T925" s="9" t="s">
        <v>118</v>
      </c>
    </row>
    <row r="926" ht="15.75" customHeight="1">
      <c r="A926" s="9">
        <v>2104758.0</v>
      </c>
      <c r="B926" s="9">
        <v>5224995.0</v>
      </c>
      <c r="C926" s="9">
        <v>30359.0</v>
      </c>
      <c r="D926" s="9" t="s">
        <v>52</v>
      </c>
      <c r="E926" s="9" t="s">
        <v>53</v>
      </c>
      <c r="F926" s="9">
        <v>125898.0</v>
      </c>
      <c r="G926" s="9">
        <v>5437744.76</v>
      </c>
      <c r="H926" s="9">
        <v>5437744.76</v>
      </c>
      <c r="I926" s="9">
        <v>4376869.08</v>
      </c>
      <c r="J926" s="9">
        <v>0.0</v>
      </c>
      <c r="K926" s="9">
        <v>0.0</v>
      </c>
      <c r="L926" s="9" t="s">
        <v>69</v>
      </c>
      <c r="M926" s="9" t="s">
        <v>55</v>
      </c>
      <c r="N926" s="9">
        <v>5131185.48</v>
      </c>
      <c r="O926" s="9">
        <v>5120923.12</v>
      </c>
      <c r="P926" s="9">
        <v>5131185.48</v>
      </c>
      <c r="Q926" s="9">
        <v>254459.92</v>
      </c>
      <c r="R926" s="9" t="s">
        <v>60</v>
      </c>
      <c r="S926" s="9" t="s">
        <v>57</v>
      </c>
      <c r="T926" s="9" t="s">
        <v>61</v>
      </c>
      <c r="V926" s="9">
        <v>5120923.12</v>
      </c>
      <c r="W926" s="9">
        <v>254460.92</v>
      </c>
      <c r="X926" s="9">
        <v>0.0</v>
      </c>
    </row>
    <row r="927" ht="15.75" customHeight="1">
      <c r="A927" s="9">
        <v>2104775.0</v>
      </c>
      <c r="B927" s="9">
        <v>3780355.0</v>
      </c>
      <c r="C927" s="9">
        <v>39267.0</v>
      </c>
      <c r="D927" s="9" t="s">
        <v>52</v>
      </c>
      <c r="E927" s="9" t="s">
        <v>53</v>
      </c>
      <c r="F927" s="9">
        <v>110203.0</v>
      </c>
      <c r="G927" s="9">
        <v>9207255.32</v>
      </c>
      <c r="H927" s="9">
        <v>9207255.32</v>
      </c>
      <c r="I927" s="9">
        <v>5073795.05</v>
      </c>
      <c r="J927" s="9">
        <v>0.0</v>
      </c>
      <c r="K927" s="9">
        <v>0.0</v>
      </c>
      <c r="L927" s="9" t="s">
        <v>69</v>
      </c>
      <c r="M927" s="9" t="s">
        <v>62</v>
      </c>
      <c r="N927" s="9">
        <v>3703776.31</v>
      </c>
      <c r="O927" s="9">
        <v>3703776.31</v>
      </c>
      <c r="P927" s="9">
        <v>163885.0</v>
      </c>
      <c r="Q927" s="9">
        <v>160000.0</v>
      </c>
      <c r="R927" s="9" t="s">
        <v>60</v>
      </c>
      <c r="S927" s="9" t="s">
        <v>57</v>
      </c>
      <c r="T927" s="9" t="s">
        <v>61</v>
      </c>
      <c r="V927" s="9">
        <v>3702086.7</v>
      </c>
      <c r="W927" s="9">
        <v>163855.0</v>
      </c>
      <c r="X927" s="9">
        <v>0.0</v>
      </c>
    </row>
    <row r="928" ht="15.75" customHeight="1">
      <c r="A928" s="9">
        <v>2104776.0</v>
      </c>
      <c r="B928" s="9">
        <v>3846524.0</v>
      </c>
      <c r="C928" s="9">
        <v>31103.0</v>
      </c>
      <c r="D928" s="9" t="s">
        <v>52</v>
      </c>
      <c r="E928" s="9" t="s">
        <v>53</v>
      </c>
      <c r="F928" s="9">
        <v>101415.0</v>
      </c>
      <c r="G928" s="9">
        <v>7681622.25</v>
      </c>
      <c r="H928" s="9">
        <v>7681622.25</v>
      </c>
      <c r="I928" s="9">
        <v>7267702.26</v>
      </c>
      <c r="J928" s="9">
        <v>0.0</v>
      </c>
      <c r="K928" s="9">
        <v>0.0</v>
      </c>
      <c r="L928" s="9" t="s">
        <v>69</v>
      </c>
      <c r="M928" s="9" t="s">
        <v>55</v>
      </c>
      <c r="R928" s="9" t="s">
        <v>60</v>
      </c>
      <c r="S928" s="9" t="s">
        <v>57</v>
      </c>
      <c r="T928" s="9" t="s">
        <v>61</v>
      </c>
      <c r="V928" s="9">
        <v>7108336.97</v>
      </c>
      <c r="W928" s="9">
        <v>0.0</v>
      </c>
      <c r="X928" s="9">
        <v>0.0</v>
      </c>
    </row>
    <row r="929" ht="15.75" customHeight="1">
      <c r="A929" s="9">
        <v>2106779.0</v>
      </c>
      <c r="B929" s="9">
        <v>2.7598286E7</v>
      </c>
      <c r="C929" s="9">
        <v>39328.0</v>
      </c>
      <c r="D929" s="9" t="s">
        <v>52</v>
      </c>
      <c r="E929" s="9" t="s">
        <v>53</v>
      </c>
      <c r="F929" s="9">
        <v>49514.0</v>
      </c>
      <c r="G929" s="9">
        <v>6.660117303E7</v>
      </c>
      <c r="H929" s="9">
        <v>6.357424123E7</v>
      </c>
      <c r="I929" s="9">
        <v>6.232477151E7</v>
      </c>
      <c r="J929" s="9">
        <v>0.0</v>
      </c>
      <c r="K929" s="9">
        <v>450953.0</v>
      </c>
      <c r="L929" s="9" t="s">
        <v>59</v>
      </c>
      <c r="M929" s="9" t="s">
        <v>55</v>
      </c>
      <c r="N929" s="9">
        <v>5.33623293E7</v>
      </c>
      <c r="O929" s="9">
        <v>5.262007681E7</v>
      </c>
      <c r="P929" s="9">
        <v>3226277.66</v>
      </c>
      <c r="Q929" s="9">
        <v>3226277.66</v>
      </c>
      <c r="R929" s="9" t="s">
        <v>77</v>
      </c>
      <c r="S929" s="9" t="s">
        <v>78</v>
      </c>
      <c r="T929" s="9" t="s">
        <v>79</v>
      </c>
      <c r="U929" s="9" t="s">
        <v>80</v>
      </c>
    </row>
    <row r="930" ht="15.75" customHeight="1">
      <c r="A930" s="9">
        <v>2107683.0</v>
      </c>
      <c r="B930" s="9">
        <v>5782419.0</v>
      </c>
      <c r="C930" s="9">
        <v>30601.0</v>
      </c>
      <c r="D930" s="9" t="s">
        <v>52</v>
      </c>
      <c r="E930" s="9" t="s">
        <v>53</v>
      </c>
      <c r="F930" s="9">
        <v>91778.0</v>
      </c>
      <c r="G930" s="9">
        <v>5752870.0</v>
      </c>
      <c r="H930" s="9">
        <v>5752870.0</v>
      </c>
      <c r="I930" s="9">
        <v>4424688.0</v>
      </c>
      <c r="J930" s="9">
        <v>0.0</v>
      </c>
      <c r="K930" s="9">
        <v>0.0</v>
      </c>
      <c r="L930" s="9" t="s">
        <v>59</v>
      </c>
      <c r="M930" s="9" t="s">
        <v>55</v>
      </c>
      <c r="N930" s="9">
        <v>5424687.64</v>
      </c>
      <c r="O930" s="9">
        <v>5424687.64</v>
      </c>
      <c r="P930" s="9">
        <v>195953.8</v>
      </c>
      <c r="Q930" s="9">
        <v>195953.8</v>
      </c>
      <c r="R930" s="9" t="s">
        <v>56</v>
      </c>
      <c r="S930" s="9" t="s">
        <v>57</v>
      </c>
      <c r="T930" s="9" t="s">
        <v>58</v>
      </c>
      <c r="V930" s="9">
        <v>0.0</v>
      </c>
      <c r="W930" s="9">
        <v>225267.07</v>
      </c>
      <c r="X930" s="9">
        <v>0.0</v>
      </c>
    </row>
    <row r="931" ht="15.75" customHeight="1">
      <c r="A931" s="9">
        <v>2107684.0</v>
      </c>
      <c r="B931" s="9">
        <v>3357259.0</v>
      </c>
      <c r="C931" s="9">
        <v>30781.0</v>
      </c>
      <c r="D931" s="9" t="s">
        <v>52</v>
      </c>
      <c r="E931" s="9" t="s">
        <v>53</v>
      </c>
      <c r="F931" s="9">
        <v>56846.0</v>
      </c>
      <c r="G931" s="9">
        <v>3403054.28</v>
      </c>
      <c r="H931" s="9">
        <v>3403054.28</v>
      </c>
      <c r="I931" s="9">
        <v>3469098.13</v>
      </c>
      <c r="J931" s="9">
        <v>0.0</v>
      </c>
      <c r="K931" s="9">
        <v>0.0</v>
      </c>
      <c r="L931" s="9" t="s">
        <v>59</v>
      </c>
      <c r="M931" s="9" t="s">
        <v>55</v>
      </c>
      <c r="N931" s="9">
        <v>3354049.65</v>
      </c>
      <c r="O931" s="9">
        <v>3354049.65</v>
      </c>
      <c r="P931" s="9">
        <v>20000.0</v>
      </c>
      <c r="Q931" s="9">
        <v>20000.0</v>
      </c>
      <c r="R931" s="9" t="s">
        <v>75</v>
      </c>
      <c r="S931" s="9" t="s">
        <v>57</v>
      </c>
      <c r="T931" s="9" t="s">
        <v>76</v>
      </c>
    </row>
    <row r="932" ht="15.75" customHeight="1">
      <c r="A932" s="9">
        <v>2107751.0</v>
      </c>
      <c r="B932" s="9">
        <v>1.2181595E7</v>
      </c>
      <c r="C932" s="9">
        <v>47029.0</v>
      </c>
      <c r="D932" s="9" t="s">
        <v>52</v>
      </c>
      <c r="E932" s="9" t="s">
        <v>126</v>
      </c>
      <c r="F932" s="9">
        <v>112209.0</v>
      </c>
      <c r="H932" s="9">
        <v>3.76748372E7</v>
      </c>
      <c r="I932" s="9">
        <v>3.262400577E7</v>
      </c>
      <c r="J932" s="9">
        <v>3402933.77</v>
      </c>
      <c r="K932" s="9">
        <v>3501029.0</v>
      </c>
      <c r="L932" s="9" t="s">
        <v>59</v>
      </c>
      <c r="M932" s="9" t="s">
        <v>62</v>
      </c>
      <c r="N932" s="9">
        <v>1.6597686E7</v>
      </c>
      <c r="O932" s="9">
        <v>1.641224316E7</v>
      </c>
      <c r="P932" s="9">
        <v>1582939.8</v>
      </c>
      <c r="Q932" s="9">
        <v>1262364.0</v>
      </c>
      <c r="R932" s="9" t="s">
        <v>56</v>
      </c>
      <c r="S932" s="9" t="s">
        <v>57</v>
      </c>
      <c r="T932" s="9" t="s">
        <v>58</v>
      </c>
    </row>
    <row r="933" ht="15.75" customHeight="1">
      <c r="A933" s="9">
        <v>2110424.0</v>
      </c>
      <c r="B933" s="9">
        <v>9980579.0</v>
      </c>
      <c r="C933" s="9">
        <v>30356.0</v>
      </c>
      <c r="D933" s="9" t="s">
        <v>52</v>
      </c>
      <c r="E933" s="9" t="s">
        <v>53</v>
      </c>
      <c r="F933" s="9">
        <v>66897.0</v>
      </c>
      <c r="G933" s="9">
        <v>9976878.82</v>
      </c>
      <c r="H933" s="9">
        <v>9976878.82</v>
      </c>
      <c r="I933" s="9">
        <v>0.0</v>
      </c>
      <c r="J933" s="9">
        <v>0.0</v>
      </c>
      <c r="K933" s="9">
        <v>0.0</v>
      </c>
      <c r="L933" s="9" t="s">
        <v>54</v>
      </c>
      <c r="M933" s="9" t="s">
        <v>55</v>
      </c>
      <c r="N933" s="9">
        <v>9491571.83</v>
      </c>
      <c r="O933" s="9">
        <v>9472588.67</v>
      </c>
      <c r="P933" s="9">
        <v>342506.99</v>
      </c>
      <c r="Q933" s="9">
        <v>342506.99</v>
      </c>
      <c r="R933" s="9" t="s">
        <v>60</v>
      </c>
      <c r="S933" s="9" t="s">
        <v>57</v>
      </c>
      <c r="T933" s="9" t="s">
        <v>61</v>
      </c>
      <c r="V933" s="9">
        <v>9976878.82</v>
      </c>
      <c r="W933" s="9">
        <v>0.0</v>
      </c>
      <c r="X933" s="9">
        <v>0.0</v>
      </c>
    </row>
    <row r="934" ht="15.75" customHeight="1">
      <c r="A934" s="9">
        <v>2111442.0</v>
      </c>
      <c r="B934" s="9">
        <v>6099067.0</v>
      </c>
      <c r="C934" s="9">
        <v>30481.0</v>
      </c>
      <c r="D934" s="9" t="s">
        <v>52</v>
      </c>
      <c r="E934" s="9" t="s">
        <v>53</v>
      </c>
      <c r="F934" s="9">
        <v>36927.0</v>
      </c>
      <c r="G934" s="9">
        <v>6901924.0</v>
      </c>
      <c r="H934" s="9">
        <v>6901924.0</v>
      </c>
      <c r="I934" s="9">
        <v>0.0</v>
      </c>
      <c r="J934" s="9">
        <v>0.0</v>
      </c>
      <c r="K934" s="9">
        <v>0.0</v>
      </c>
      <c r="L934" s="9" t="s">
        <v>69</v>
      </c>
      <c r="M934" s="9" t="s">
        <v>55</v>
      </c>
      <c r="N934" s="9">
        <v>6099067.0</v>
      </c>
      <c r="O934" s="9">
        <v>5808707.56</v>
      </c>
      <c r="R934" s="9" t="s">
        <v>60</v>
      </c>
      <c r="S934" s="9" t="s">
        <v>57</v>
      </c>
      <c r="T934" s="9" t="s">
        <v>61</v>
      </c>
      <c r="V934" s="9">
        <v>6382882.53</v>
      </c>
      <c r="W934" s="9">
        <v>0.0</v>
      </c>
      <c r="X934" s="9">
        <v>0.0</v>
      </c>
    </row>
    <row r="935" ht="15.75" customHeight="1">
      <c r="A935" s="9">
        <v>2117090.0</v>
      </c>
      <c r="B935" s="9">
        <v>165293.6</v>
      </c>
      <c r="C935" s="9">
        <v>31211.0</v>
      </c>
      <c r="D935" s="9" t="s">
        <v>52</v>
      </c>
      <c r="E935" s="9" t="s">
        <v>53</v>
      </c>
      <c r="F935" s="9">
        <v>152207.0</v>
      </c>
      <c r="G935" s="9">
        <v>182828.21</v>
      </c>
      <c r="H935" s="9">
        <v>182828.21</v>
      </c>
      <c r="I935" s="9">
        <v>0.0</v>
      </c>
      <c r="J935" s="9">
        <v>0.0</v>
      </c>
      <c r="K935" s="9">
        <v>0.0</v>
      </c>
      <c r="L935" s="9" t="s">
        <v>69</v>
      </c>
      <c r="M935" s="9" t="s">
        <v>55</v>
      </c>
      <c r="R935" s="9" t="s">
        <v>60</v>
      </c>
      <c r="S935" s="9" t="s">
        <v>57</v>
      </c>
      <c r="T935" s="9" t="s">
        <v>61</v>
      </c>
      <c r="V935" s="9">
        <v>219868.53</v>
      </c>
      <c r="W935" s="9">
        <v>0.0</v>
      </c>
      <c r="X935" s="9">
        <v>0.0</v>
      </c>
    </row>
    <row r="936" ht="15.75" customHeight="1">
      <c r="A936" s="9">
        <v>2117093.0</v>
      </c>
      <c r="B936" s="9">
        <v>4.7912742E7</v>
      </c>
      <c r="C936" s="9">
        <v>32043.0</v>
      </c>
      <c r="D936" s="9" t="s">
        <v>52</v>
      </c>
      <c r="E936" s="9" t="s">
        <v>53</v>
      </c>
      <c r="F936" s="9">
        <v>113260.0</v>
      </c>
      <c r="G936" s="9">
        <v>5.325830209E7</v>
      </c>
      <c r="H936" s="9">
        <v>5.325830209E7</v>
      </c>
      <c r="I936" s="9">
        <v>4.5171364E7</v>
      </c>
      <c r="J936" s="9">
        <v>0.0</v>
      </c>
      <c r="K936" s="9">
        <v>0.0</v>
      </c>
      <c r="L936" s="9" t="s">
        <v>59</v>
      </c>
      <c r="M936" s="9" t="s">
        <v>55</v>
      </c>
      <c r="N936" s="9">
        <v>4.859653885E7</v>
      </c>
      <c r="O936" s="9">
        <v>4.373706299E7</v>
      </c>
      <c r="P936" s="9">
        <v>1401437.54</v>
      </c>
      <c r="Q936" s="9">
        <v>0.0</v>
      </c>
      <c r="R936" s="9" t="s">
        <v>60</v>
      </c>
      <c r="S936" s="9" t="s">
        <v>57</v>
      </c>
      <c r="T936" s="9" t="s">
        <v>61</v>
      </c>
      <c r="V936" s="9">
        <v>5.224641026E7</v>
      </c>
      <c r="W936" s="9">
        <v>0.0</v>
      </c>
      <c r="X936" s="9">
        <v>0.0</v>
      </c>
    </row>
    <row r="937" ht="15.75" customHeight="1">
      <c r="A937" s="9">
        <v>2118044.0</v>
      </c>
      <c r="B937" s="9">
        <v>269799.65</v>
      </c>
      <c r="C937" s="9">
        <v>29892.0</v>
      </c>
      <c r="D937" s="9" t="s">
        <v>52</v>
      </c>
      <c r="E937" s="9" t="s">
        <v>53</v>
      </c>
      <c r="F937" s="9">
        <v>162828.0</v>
      </c>
      <c r="G937" s="9">
        <v>269792.8</v>
      </c>
      <c r="H937" s="9">
        <v>269792.8</v>
      </c>
      <c r="I937" s="9">
        <v>223260.35</v>
      </c>
      <c r="J937" s="9">
        <v>0.0</v>
      </c>
      <c r="K937" s="9">
        <v>0.0</v>
      </c>
      <c r="L937" s="9" t="s">
        <v>69</v>
      </c>
      <c r="M937" s="9" t="s">
        <v>55</v>
      </c>
      <c r="N937" s="9">
        <v>249320.25</v>
      </c>
      <c r="O937" s="9">
        <v>211288.35</v>
      </c>
      <c r="P937" s="9">
        <v>249320.25</v>
      </c>
      <c r="Q937" s="9">
        <v>10472.55</v>
      </c>
      <c r="R937" s="9" t="s">
        <v>60</v>
      </c>
      <c r="S937" s="9" t="s">
        <v>57</v>
      </c>
      <c r="T937" s="9" t="s">
        <v>61</v>
      </c>
      <c r="V937" s="9">
        <v>223260.35</v>
      </c>
      <c r="W937" s="9">
        <v>10472.55</v>
      </c>
      <c r="X937" s="9">
        <v>0.0</v>
      </c>
    </row>
    <row r="938" ht="15.75" customHeight="1">
      <c r="A938" s="9">
        <v>2118580.0</v>
      </c>
      <c r="B938" s="9">
        <v>1711844.0</v>
      </c>
      <c r="C938" s="9">
        <v>29960.0</v>
      </c>
      <c r="D938" s="9" t="s">
        <v>52</v>
      </c>
      <c r="E938" s="9" t="s">
        <v>53</v>
      </c>
      <c r="F938" s="9">
        <v>28432.0</v>
      </c>
      <c r="G938" s="9">
        <v>1711844.0</v>
      </c>
      <c r="H938" s="9">
        <v>1711844.0</v>
      </c>
      <c r="I938" s="9">
        <v>0.0</v>
      </c>
      <c r="J938" s="9">
        <v>0.0</v>
      </c>
      <c r="K938" s="9">
        <v>0.0</v>
      </c>
      <c r="L938" s="9" t="s">
        <v>54</v>
      </c>
      <c r="M938" s="9" t="s">
        <v>55</v>
      </c>
      <c r="N938" s="9">
        <v>1711844.0</v>
      </c>
      <c r="O938" s="9">
        <v>1540659.6</v>
      </c>
      <c r="P938" s="9">
        <v>108000.0</v>
      </c>
      <c r="Q938" s="9">
        <v>97200.0</v>
      </c>
      <c r="R938" s="9" t="s">
        <v>60</v>
      </c>
      <c r="S938" s="9" t="s">
        <v>57</v>
      </c>
      <c r="T938" s="9" t="s">
        <v>61</v>
      </c>
      <c r="V938" s="9">
        <v>1540659.6</v>
      </c>
      <c r="W938" s="9">
        <v>97200.0</v>
      </c>
      <c r="X938" s="9">
        <v>0.0</v>
      </c>
    </row>
    <row r="939" ht="15.75" customHeight="1">
      <c r="A939" s="9">
        <v>2118761.0</v>
      </c>
      <c r="B939" s="9">
        <v>1085208.0</v>
      </c>
      <c r="C939" s="9">
        <v>30291.0</v>
      </c>
      <c r="D939" s="9" t="s">
        <v>52</v>
      </c>
      <c r="E939" s="9" t="s">
        <v>53</v>
      </c>
      <c r="F939" s="9">
        <v>32159.0</v>
      </c>
      <c r="G939" s="9">
        <v>1085208.0</v>
      </c>
      <c r="H939" s="9">
        <v>1085208.0</v>
      </c>
      <c r="I939" s="9">
        <v>0.0</v>
      </c>
      <c r="J939" s="9">
        <v>0.0</v>
      </c>
      <c r="K939" s="9">
        <v>0.0</v>
      </c>
      <c r="L939" s="9" t="s">
        <v>54</v>
      </c>
      <c r="M939" s="9" t="s">
        <v>55</v>
      </c>
      <c r="N939" s="9">
        <v>1085208.01</v>
      </c>
      <c r="O939" s="9">
        <v>1139468.41</v>
      </c>
      <c r="P939" s="9">
        <v>1085208.01</v>
      </c>
      <c r="Q939" s="9">
        <v>0.0</v>
      </c>
      <c r="R939" s="9" t="s">
        <v>75</v>
      </c>
      <c r="S939" s="9" t="s">
        <v>57</v>
      </c>
      <c r="T939" s="9" t="s">
        <v>76</v>
      </c>
    </row>
    <row r="940" ht="15.75" customHeight="1">
      <c r="A940" s="9">
        <v>2119147.0</v>
      </c>
      <c r="B940" s="9">
        <v>1351400.0</v>
      </c>
      <c r="C940" s="9">
        <v>30285.0</v>
      </c>
      <c r="D940" s="9" t="s">
        <v>52</v>
      </c>
      <c r="E940" s="9" t="s">
        <v>53</v>
      </c>
      <c r="F940" s="9">
        <v>32627.0</v>
      </c>
      <c r="G940" s="9">
        <v>1351400.0</v>
      </c>
      <c r="H940" s="9">
        <v>1351400.0</v>
      </c>
      <c r="I940" s="9">
        <v>0.0</v>
      </c>
      <c r="J940" s="9">
        <v>0.0</v>
      </c>
      <c r="K940" s="9">
        <v>0.0</v>
      </c>
      <c r="L940" s="9" t="s">
        <v>54</v>
      </c>
      <c r="M940" s="9" t="s">
        <v>55</v>
      </c>
      <c r="N940" s="9">
        <v>1351400.0</v>
      </c>
      <c r="O940" s="9">
        <v>1445998.0</v>
      </c>
      <c r="R940" s="9" t="s">
        <v>75</v>
      </c>
      <c r="S940" s="9" t="s">
        <v>57</v>
      </c>
      <c r="T940" s="9" t="s">
        <v>76</v>
      </c>
    </row>
    <row r="941" ht="15.75" customHeight="1">
      <c r="A941" s="9">
        <v>2121719.0</v>
      </c>
      <c r="B941" s="9">
        <v>5757748.0</v>
      </c>
      <c r="C941" s="9">
        <v>29900.0</v>
      </c>
      <c r="D941" s="9" t="s">
        <v>52</v>
      </c>
      <c r="E941" s="9" t="s">
        <v>53</v>
      </c>
      <c r="F941" s="9">
        <v>159903.0</v>
      </c>
      <c r="G941" s="9">
        <v>5757748.0</v>
      </c>
      <c r="H941" s="9">
        <v>5729646.97</v>
      </c>
      <c r="I941" s="9">
        <v>5729646.97</v>
      </c>
      <c r="J941" s="9">
        <v>0.0</v>
      </c>
      <c r="K941" s="9">
        <v>0.0</v>
      </c>
      <c r="L941" s="9" t="s">
        <v>69</v>
      </c>
      <c r="M941" s="9" t="s">
        <v>55</v>
      </c>
      <c r="N941" s="9">
        <v>2804623.26</v>
      </c>
      <c r="O941" s="9">
        <v>2778000.0</v>
      </c>
      <c r="P941" s="9">
        <v>88553.0</v>
      </c>
      <c r="Q941" s="9">
        <v>73350.0</v>
      </c>
      <c r="R941" s="9" t="s">
        <v>60</v>
      </c>
      <c r="S941" s="9" t="s">
        <v>57</v>
      </c>
      <c r="T941" s="9" t="s">
        <v>61</v>
      </c>
      <c r="V941" s="9">
        <v>2777423.4</v>
      </c>
      <c r="W941" s="9">
        <v>73350.0</v>
      </c>
      <c r="X941" s="9">
        <v>0.0</v>
      </c>
    </row>
    <row r="942" ht="15.75" customHeight="1">
      <c r="A942" s="9">
        <v>2121773.0</v>
      </c>
      <c r="B942" s="9">
        <v>2091709.0</v>
      </c>
      <c r="C942" s="9">
        <v>30193.0</v>
      </c>
      <c r="D942" s="9" t="s">
        <v>52</v>
      </c>
      <c r="E942" s="9" t="s">
        <v>53</v>
      </c>
      <c r="F942" s="9">
        <v>142482.0</v>
      </c>
      <c r="G942" s="9">
        <v>2067479.1</v>
      </c>
      <c r="H942" s="9">
        <v>2067479.1</v>
      </c>
      <c r="I942" s="9">
        <v>2025540.25</v>
      </c>
      <c r="J942" s="9">
        <v>0.0</v>
      </c>
      <c r="K942" s="9">
        <v>0.0</v>
      </c>
      <c r="L942" s="9" t="s">
        <v>59</v>
      </c>
      <c r="M942" s="9" t="s">
        <v>55</v>
      </c>
      <c r="N942" s="9">
        <v>1914742.0</v>
      </c>
      <c r="O942" s="9">
        <v>1914742.0</v>
      </c>
      <c r="P942" s="9">
        <v>0.0</v>
      </c>
      <c r="Q942" s="9">
        <v>75000.0</v>
      </c>
      <c r="R942" s="9" t="s">
        <v>60</v>
      </c>
      <c r="S942" s="9" t="s">
        <v>57</v>
      </c>
      <c r="T942" s="9" t="s">
        <v>61</v>
      </c>
      <c r="V942" s="9">
        <v>1914742.0</v>
      </c>
      <c r="W942" s="9">
        <v>75000.0</v>
      </c>
      <c r="X942" s="9">
        <v>0.0</v>
      </c>
    </row>
    <row r="943" ht="15.75" customHeight="1">
      <c r="A943" s="9">
        <v>2125481.0</v>
      </c>
      <c r="B943" s="9">
        <v>981504.0</v>
      </c>
      <c r="C943" s="9">
        <v>30504.0</v>
      </c>
      <c r="D943" s="9" t="s">
        <v>52</v>
      </c>
      <c r="E943" s="9" t="s">
        <v>53</v>
      </c>
      <c r="F943" s="9">
        <v>38962.0</v>
      </c>
      <c r="G943" s="9">
        <v>981504.0</v>
      </c>
      <c r="H943" s="9">
        <v>981504.0</v>
      </c>
      <c r="I943" s="9">
        <v>0.0</v>
      </c>
      <c r="J943" s="9">
        <v>0.0</v>
      </c>
      <c r="K943" s="9">
        <v>0.0</v>
      </c>
      <c r="L943" s="9" t="s">
        <v>54</v>
      </c>
      <c r="M943" s="9" t="s">
        <v>55</v>
      </c>
      <c r="N943" s="9">
        <v>892274.53</v>
      </c>
      <c r="O943" s="9">
        <v>803047.08</v>
      </c>
      <c r="R943" s="9" t="s">
        <v>60</v>
      </c>
      <c r="S943" s="9" t="s">
        <v>57</v>
      </c>
      <c r="T943" s="9" t="s">
        <v>61</v>
      </c>
      <c r="V943" s="9">
        <v>803097.08</v>
      </c>
      <c r="W943" s="9">
        <v>60000.0</v>
      </c>
      <c r="X943" s="9">
        <v>0.0</v>
      </c>
    </row>
    <row r="944" ht="15.75" customHeight="1">
      <c r="A944" s="9">
        <v>2127836.0</v>
      </c>
      <c r="B944" s="9">
        <v>2975323.0</v>
      </c>
      <c r="C944" s="9">
        <v>40166.0</v>
      </c>
      <c r="D944" s="9" t="s">
        <v>52</v>
      </c>
      <c r="E944" s="9" t="s">
        <v>53</v>
      </c>
      <c r="F944" s="9">
        <v>114485.0</v>
      </c>
      <c r="G944" s="9">
        <v>3845430.0</v>
      </c>
      <c r="H944" s="9">
        <v>3845430.0</v>
      </c>
      <c r="I944" s="9">
        <v>3838424.71</v>
      </c>
      <c r="J944" s="9">
        <v>0.0</v>
      </c>
      <c r="K944" s="9">
        <v>0.0</v>
      </c>
      <c r="L944" s="9" t="s">
        <v>59</v>
      </c>
      <c r="M944" s="9" t="s">
        <v>55</v>
      </c>
      <c r="R944" s="9" t="s">
        <v>96</v>
      </c>
      <c r="S944" s="9" t="s">
        <v>78</v>
      </c>
      <c r="T944" s="9" t="s">
        <v>79</v>
      </c>
      <c r="U944" s="9" t="s">
        <v>97</v>
      </c>
    </row>
    <row r="945" ht="15.75" customHeight="1">
      <c r="A945" s="9">
        <v>2128422.0</v>
      </c>
      <c r="B945" s="9">
        <v>1.4249961E7</v>
      </c>
      <c r="C945" s="9">
        <v>46179.0</v>
      </c>
      <c r="D945" s="9" t="s">
        <v>52</v>
      </c>
      <c r="E945" s="9" t="s">
        <v>53</v>
      </c>
      <c r="F945" s="9">
        <v>7565.0</v>
      </c>
      <c r="G945" s="9">
        <v>1.5050598E7</v>
      </c>
      <c r="H945" s="9">
        <v>6.361809505E7</v>
      </c>
      <c r="I945" s="9">
        <v>4.720381671E7</v>
      </c>
      <c r="J945" s="9">
        <v>3118215.39</v>
      </c>
      <c r="K945" s="9">
        <v>1.8633209E7</v>
      </c>
      <c r="L945" s="9" t="s">
        <v>59</v>
      </c>
      <c r="M945" s="9" t="s">
        <v>62</v>
      </c>
      <c r="N945" s="9">
        <v>4.732691036E7</v>
      </c>
      <c r="O945" s="9">
        <v>4.259421928E7</v>
      </c>
      <c r="P945" s="9">
        <v>2996224.49</v>
      </c>
      <c r="Q945" s="9">
        <v>2696602.05</v>
      </c>
      <c r="R945" s="9" t="s">
        <v>113</v>
      </c>
      <c r="S945" s="9" t="s">
        <v>82</v>
      </c>
      <c r="T945" s="9" t="s">
        <v>83</v>
      </c>
      <c r="U945" s="9" t="s">
        <v>114</v>
      </c>
    </row>
    <row r="946" ht="15.75" customHeight="1">
      <c r="A946" s="9">
        <v>2128590.0</v>
      </c>
      <c r="B946" s="9">
        <v>1.2913216E7</v>
      </c>
      <c r="C946" s="9">
        <v>31602.0</v>
      </c>
      <c r="D946" s="9" t="s">
        <v>52</v>
      </c>
      <c r="E946" s="9" t="s">
        <v>53</v>
      </c>
      <c r="F946" s="9">
        <v>148935.0</v>
      </c>
      <c r="G946" s="9">
        <v>1.227067626E7</v>
      </c>
      <c r="H946" s="9">
        <v>1.227067626E7</v>
      </c>
      <c r="I946" s="9">
        <v>1.226801467E7</v>
      </c>
      <c r="J946" s="9">
        <v>0.0</v>
      </c>
      <c r="K946" s="9">
        <v>0.0</v>
      </c>
      <c r="L946" s="9" t="s">
        <v>69</v>
      </c>
      <c r="M946" s="9" t="s">
        <v>55</v>
      </c>
      <c r="N946" s="9">
        <v>1.165576022E7</v>
      </c>
      <c r="O946" s="9">
        <v>1.165576022E7</v>
      </c>
      <c r="P946" s="9">
        <v>425000.0</v>
      </c>
      <c r="Q946" s="9">
        <v>425000.0</v>
      </c>
      <c r="R946" s="9" t="s">
        <v>60</v>
      </c>
      <c r="S946" s="9" t="s">
        <v>57</v>
      </c>
      <c r="T946" s="9" t="s">
        <v>61</v>
      </c>
      <c r="V946" s="9">
        <v>1.182671489E7</v>
      </c>
      <c r="W946" s="9">
        <v>428000.0</v>
      </c>
      <c r="X946" s="9">
        <v>0.0</v>
      </c>
    </row>
    <row r="947" ht="15.75" customHeight="1">
      <c r="A947" s="9">
        <v>2067833.0</v>
      </c>
      <c r="B947" s="9">
        <v>3.5517882E7</v>
      </c>
      <c r="C947" s="9">
        <v>30662.0</v>
      </c>
      <c r="D947" s="9" t="s">
        <v>52</v>
      </c>
      <c r="E947" s="9" t="s">
        <v>53</v>
      </c>
      <c r="F947" s="9">
        <v>67007.0</v>
      </c>
      <c r="G947" s="9">
        <v>3.5517882E7</v>
      </c>
      <c r="H947" s="9">
        <v>3.5517882E7</v>
      </c>
      <c r="I947" s="9">
        <v>1.543285936E7</v>
      </c>
      <c r="J947" s="9">
        <v>0.0</v>
      </c>
      <c r="K947" s="9">
        <v>0.0</v>
      </c>
      <c r="L947" s="9" t="s">
        <v>69</v>
      </c>
      <c r="M947" s="9" t="s">
        <v>55</v>
      </c>
      <c r="N947" s="9">
        <v>3.41912263E7</v>
      </c>
      <c r="O947" s="9">
        <v>3.41912263E7</v>
      </c>
      <c r="P947" s="9">
        <v>1326655.7</v>
      </c>
      <c r="Q947" s="9">
        <v>1326655.7</v>
      </c>
      <c r="R947" s="9" t="s">
        <v>72</v>
      </c>
      <c r="S947" s="9" t="s">
        <v>57</v>
      </c>
      <c r="T947" s="9" t="s">
        <v>73</v>
      </c>
      <c r="V947" s="9">
        <v>3.477775061E7</v>
      </c>
      <c r="W947" s="9">
        <v>1326655.7</v>
      </c>
      <c r="X947" s="9">
        <v>0.0</v>
      </c>
    </row>
    <row r="948" ht="15.75" customHeight="1">
      <c r="A948" s="9">
        <v>2068801.0</v>
      </c>
      <c r="B948" s="9">
        <v>1560733.0</v>
      </c>
      <c r="C948" s="9">
        <v>29923.0</v>
      </c>
      <c r="D948" s="9" t="s">
        <v>52</v>
      </c>
      <c r="E948" s="9" t="s">
        <v>53</v>
      </c>
      <c r="F948" s="9">
        <v>69761.0</v>
      </c>
      <c r="G948" s="9">
        <v>3528943.8</v>
      </c>
      <c r="H948" s="9">
        <v>3528943.8</v>
      </c>
      <c r="I948" s="9">
        <v>3121568.5</v>
      </c>
      <c r="J948" s="9">
        <v>0.0</v>
      </c>
      <c r="K948" s="9">
        <v>0.0</v>
      </c>
      <c r="L948" s="9" t="s">
        <v>69</v>
      </c>
      <c r="M948" s="9" t="s">
        <v>55</v>
      </c>
      <c r="N948" s="9">
        <v>3197273.0</v>
      </c>
      <c r="O948" s="9">
        <v>3197273.0</v>
      </c>
      <c r="P948" s="9">
        <v>3197273.0</v>
      </c>
      <c r="Q948" s="9">
        <v>126250.0</v>
      </c>
      <c r="R948" s="9" t="s">
        <v>60</v>
      </c>
      <c r="S948" s="9" t="s">
        <v>57</v>
      </c>
      <c r="T948" s="9" t="s">
        <v>61</v>
      </c>
      <c r="V948" s="9">
        <v>3324047.0</v>
      </c>
      <c r="W948" s="9">
        <v>0.0</v>
      </c>
      <c r="X948" s="9">
        <v>0.0</v>
      </c>
    </row>
    <row r="949" ht="15.75" customHeight="1">
      <c r="A949" s="9">
        <v>2068901.0</v>
      </c>
      <c r="B949" s="9">
        <v>714261.0</v>
      </c>
      <c r="C949" s="9">
        <v>30294.0</v>
      </c>
      <c r="D949" s="9" t="s">
        <v>52</v>
      </c>
      <c r="E949" s="9" t="s">
        <v>53</v>
      </c>
      <c r="F949" s="9">
        <v>70059.0</v>
      </c>
      <c r="G949" s="9">
        <v>714261.0</v>
      </c>
      <c r="H949" s="9">
        <v>714261.0</v>
      </c>
      <c r="I949" s="9">
        <v>0.0</v>
      </c>
      <c r="J949" s="9">
        <v>0.0</v>
      </c>
      <c r="K949" s="9">
        <v>0.0</v>
      </c>
      <c r="L949" s="9" t="s">
        <v>54</v>
      </c>
      <c r="M949" s="9" t="s">
        <v>55</v>
      </c>
      <c r="N949" s="9">
        <v>714261.0</v>
      </c>
      <c r="O949" s="9">
        <v>714256.71</v>
      </c>
      <c r="P949" s="9">
        <v>714261.0</v>
      </c>
      <c r="Q949" s="9">
        <v>0.0</v>
      </c>
      <c r="R949" s="9" t="s">
        <v>75</v>
      </c>
      <c r="S949" s="9" t="s">
        <v>57</v>
      </c>
      <c r="T949" s="9" t="s">
        <v>76</v>
      </c>
    </row>
    <row r="950" ht="15.75" customHeight="1">
      <c r="A950" s="9">
        <v>2069452.0</v>
      </c>
      <c r="B950" s="9">
        <v>2331300.0</v>
      </c>
      <c r="C950" s="9">
        <v>30256.0</v>
      </c>
      <c r="D950" s="9" t="s">
        <v>52</v>
      </c>
      <c r="E950" s="9" t="s">
        <v>53</v>
      </c>
      <c r="F950" s="9">
        <v>71686.0</v>
      </c>
      <c r="G950" s="9">
        <v>2533249.86</v>
      </c>
      <c r="H950" s="9">
        <v>2724732.88</v>
      </c>
      <c r="I950" s="9">
        <v>2598961.64</v>
      </c>
      <c r="J950" s="9">
        <v>5500.0</v>
      </c>
      <c r="K950" s="9">
        <v>89071.0</v>
      </c>
      <c r="L950" s="9" t="s">
        <v>59</v>
      </c>
      <c r="M950" s="9" t="s">
        <v>55</v>
      </c>
      <c r="N950" s="9">
        <v>2365960.12</v>
      </c>
      <c r="O950" s="9">
        <v>2365960.12</v>
      </c>
      <c r="P950" s="9">
        <v>69740.9</v>
      </c>
      <c r="Q950" s="9">
        <v>69740.9</v>
      </c>
      <c r="R950" s="9" t="s">
        <v>77</v>
      </c>
      <c r="S950" s="9" t="s">
        <v>78</v>
      </c>
      <c r="T950" s="9" t="s">
        <v>79</v>
      </c>
      <c r="U950" s="9" t="s">
        <v>80</v>
      </c>
    </row>
    <row r="951" ht="15.75" customHeight="1">
      <c r="A951" s="9">
        <v>2069488.0</v>
      </c>
      <c r="B951" s="9">
        <v>3288936.0</v>
      </c>
      <c r="C951" s="9">
        <v>29736.0</v>
      </c>
      <c r="D951" s="9" t="s">
        <v>52</v>
      </c>
      <c r="E951" s="9" t="s">
        <v>53</v>
      </c>
      <c r="F951" s="9">
        <v>71815.0</v>
      </c>
      <c r="G951" s="9">
        <v>3288936.0</v>
      </c>
      <c r="H951" s="9">
        <v>3288936.0</v>
      </c>
      <c r="I951" s="9">
        <v>0.0</v>
      </c>
      <c r="J951" s="9">
        <v>0.0</v>
      </c>
      <c r="K951" s="9">
        <v>0.0</v>
      </c>
      <c r="L951" s="9" t="s">
        <v>54</v>
      </c>
      <c r="M951" s="9" t="s">
        <v>65</v>
      </c>
      <c r="N951" s="9">
        <v>117110.0</v>
      </c>
      <c r="O951" s="9">
        <v>117110.0</v>
      </c>
      <c r="R951" s="9" t="s">
        <v>60</v>
      </c>
      <c r="S951" s="9" t="s">
        <v>57</v>
      </c>
      <c r="T951" s="9" t="s">
        <v>61</v>
      </c>
      <c r="V951" s="9">
        <v>117110.0</v>
      </c>
      <c r="W951" s="9">
        <v>0.0</v>
      </c>
    </row>
    <row r="952" ht="15.75" customHeight="1">
      <c r="A952" s="9">
        <v>2069637.0</v>
      </c>
      <c r="B952" s="9">
        <v>2229378.0</v>
      </c>
      <c r="C952" s="9">
        <v>31259.0</v>
      </c>
      <c r="D952" s="9" t="s">
        <v>52</v>
      </c>
      <c r="E952" s="9" t="s">
        <v>53</v>
      </c>
      <c r="F952" s="9">
        <v>72248.0</v>
      </c>
      <c r="G952" s="9">
        <v>2308800.88</v>
      </c>
      <c r="H952" s="9">
        <v>2308800.88</v>
      </c>
      <c r="I952" s="9">
        <v>2331222.0</v>
      </c>
      <c r="J952" s="9">
        <v>0.0</v>
      </c>
      <c r="K952" s="9">
        <v>0.0</v>
      </c>
      <c r="L952" s="9" t="s">
        <v>59</v>
      </c>
      <c r="M952" s="9" t="s">
        <v>55</v>
      </c>
      <c r="R952" s="9" t="s">
        <v>60</v>
      </c>
      <c r="S952" s="9" t="s">
        <v>57</v>
      </c>
      <c r="T952" s="9" t="s">
        <v>61</v>
      </c>
      <c r="V952" s="9">
        <v>2238382.0</v>
      </c>
      <c r="W952" s="9">
        <v>0.0</v>
      </c>
      <c r="X952" s="9">
        <v>0.0</v>
      </c>
    </row>
    <row r="953" ht="15.75" customHeight="1">
      <c r="A953" s="9">
        <v>2069852.0</v>
      </c>
      <c r="B953" s="9">
        <v>1910663.0</v>
      </c>
      <c r="C953" s="9">
        <v>30253.0</v>
      </c>
      <c r="D953" s="9" t="s">
        <v>52</v>
      </c>
      <c r="E953" s="9" t="s">
        <v>53</v>
      </c>
      <c r="F953" s="9">
        <v>72890.0</v>
      </c>
      <c r="G953" s="9">
        <v>1910663.0</v>
      </c>
      <c r="H953" s="9">
        <v>1910663.0</v>
      </c>
      <c r="I953" s="9">
        <v>1910662.85</v>
      </c>
      <c r="J953" s="9">
        <v>0.0</v>
      </c>
      <c r="K953" s="9">
        <v>0.0</v>
      </c>
      <c r="L953" s="9" t="s">
        <v>69</v>
      </c>
      <c r="M953" s="9" t="s">
        <v>55</v>
      </c>
      <c r="N953" s="9">
        <v>1798643.47</v>
      </c>
      <c r="O953" s="9">
        <v>1798643.47</v>
      </c>
      <c r="P953" s="9">
        <v>112019.53</v>
      </c>
      <c r="Q953" s="9">
        <v>112019.53</v>
      </c>
      <c r="R953" s="9" t="s">
        <v>60</v>
      </c>
      <c r="S953" s="9" t="s">
        <v>57</v>
      </c>
      <c r="T953" s="9" t="s">
        <v>61</v>
      </c>
      <c r="V953" s="9">
        <v>1798643.47</v>
      </c>
      <c r="W953" s="9">
        <v>112019.53</v>
      </c>
      <c r="X953" s="9">
        <v>0.0</v>
      </c>
    </row>
    <row r="954" ht="15.75" customHeight="1">
      <c r="A954" s="9">
        <v>2069922.0</v>
      </c>
      <c r="B954" s="9">
        <v>887078.0</v>
      </c>
      <c r="C954" s="9">
        <v>30043.0</v>
      </c>
      <c r="D954" s="9" t="s">
        <v>52</v>
      </c>
      <c r="E954" s="9" t="s">
        <v>53</v>
      </c>
      <c r="F954" s="9">
        <v>73053.0</v>
      </c>
      <c r="G954" s="9">
        <v>0.0</v>
      </c>
      <c r="M954" s="9" t="s">
        <v>55</v>
      </c>
      <c r="N954" s="9">
        <v>836346.05</v>
      </c>
      <c r="O954" s="9">
        <v>108981.0</v>
      </c>
      <c r="P954" s="9">
        <v>26056.49</v>
      </c>
      <c r="Q954" s="9">
        <v>18900.0</v>
      </c>
      <c r="R954" s="9" t="s">
        <v>60</v>
      </c>
      <c r="S954" s="9" t="s">
        <v>57</v>
      </c>
      <c r="T954" s="9" t="s">
        <v>61</v>
      </c>
      <c r="V954" s="9">
        <v>841346.05</v>
      </c>
      <c r="W954" s="9">
        <v>18900.0</v>
      </c>
      <c r="X954" s="9">
        <v>0.0</v>
      </c>
    </row>
    <row r="955" ht="15.75" customHeight="1">
      <c r="A955" s="9">
        <v>2072109.0</v>
      </c>
      <c r="B955" s="9">
        <v>3105211.0</v>
      </c>
      <c r="C955" s="9">
        <v>30351.0</v>
      </c>
      <c r="D955" s="9" t="s">
        <v>52</v>
      </c>
      <c r="E955" s="9" t="s">
        <v>53</v>
      </c>
      <c r="F955" s="9">
        <v>78993.0</v>
      </c>
      <c r="G955" s="9">
        <v>3080508.59</v>
      </c>
      <c r="H955" s="9">
        <v>3080508.59</v>
      </c>
      <c r="I955" s="9">
        <v>0.0</v>
      </c>
      <c r="J955" s="9">
        <v>0.0</v>
      </c>
      <c r="K955" s="9">
        <v>0.0</v>
      </c>
      <c r="L955" s="9" t="s">
        <v>54</v>
      </c>
      <c r="M955" s="9" t="s">
        <v>55</v>
      </c>
      <c r="N955" s="9">
        <v>3005980.0</v>
      </c>
      <c r="O955" s="9">
        <v>3005819.43</v>
      </c>
      <c r="P955" s="9">
        <v>74528.0</v>
      </c>
      <c r="Q955" s="9">
        <v>74528.0</v>
      </c>
      <c r="R955" s="9" t="s">
        <v>60</v>
      </c>
      <c r="S955" s="9" t="s">
        <v>57</v>
      </c>
      <c r="T955" s="9" t="s">
        <v>61</v>
      </c>
      <c r="V955" s="9">
        <v>3080347.43</v>
      </c>
      <c r="W955" s="9">
        <v>0.0</v>
      </c>
      <c r="X955" s="9">
        <v>0.0</v>
      </c>
    </row>
    <row r="956" ht="15.75" customHeight="1">
      <c r="A956" s="9">
        <v>2073047.0</v>
      </c>
      <c r="B956" s="9">
        <v>143058.0</v>
      </c>
      <c r="C956" s="9">
        <v>31147.0</v>
      </c>
      <c r="D956" s="9" t="s">
        <v>52</v>
      </c>
      <c r="E956" s="9" t="s">
        <v>53</v>
      </c>
      <c r="F956" s="9">
        <v>81492.0</v>
      </c>
      <c r="G956" s="9">
        <v>143058.0</v>
      </c>
      <c r="H956" s="9">
        <v>143058.0</v>
      </c>
      <c r="I956" s="9">
        <v>2549.0</v>
      </c>
      <c r="J956" s="9">
        <v>0.0</v>
      </c>
      <c r="K956" s="9">
        <v>0.0</v>
      </c>
      <c r="L956" s="9" t="s">
        <v>69</v>
      </c>
      <c r="M956" s="9" t="s">
        <v>55</v>
      </c>
      <c r="R956" s="9" t="s">
        <v>60</v>
      </c>
      <c r="S956" s="9" t="s">
        <v>57</v>
      </c>
      <c r="T956" s="9" t="s">
        <v>61</v>
      </c>
      <c r="V956" s="9">
        <v>143875.39</v>
      </c>
      <c r="W956" s="9">
        <v>0.0</v>
      </c>
      <c r="X956" s="9">
        <v>0.0</v>
      </c>
    </row>
    <row r="957" ht="15.75" customHeight="1">
      <c r="A957" s="9">
        <v>2073179.0</v>
      </c>
      <c r="B957" s="9">
        <v>1252051.0</v>
      </c>
      <c r="C957" s="9">
        <v>30831.0</v>
      </c>
      <c r="D957" s="9" t="s">
        <v>52</v>
      </c>
      <c r="E957" s="9" t="s">
        <v>53</v>
      </c>
      <c r="F957" s="9">
        <v>81934.0</v>
      </c>
      <c r="G957" s="9">
        <v>1252051.0</v>
      </c>
      <c r="H957" s="9">
        <v>1252051.0</v>
      </c>
      <c r="I957" s="9">
        <v>1252051.0</v>
      </c>
      <c r="J957" s="9">
        <v>0.0</v>
      </c>
      <c r="K957" s="9">
        <v>0.0</v>
      </c>
      <c r="L957" s="9" t="s">
        <v>59</v>
      </c>
      <c r="M957" s="9" t="s">
        <v>55</v>
      </c>
      <c r="N957" s="9">
        <v>1233283.0</v>
      </c>
      <c r="O957" s="9">
        <v>1233283.0</v>
      </c>
      <c r="P957" s="9">
        <v>16000.0</v>
      </c>
      <c r="Q957" s="9">
        <v>62766.81</v>
      </c>
      <c r="R957" s="9" t="s">
        <v>60</v>
      </c>
      <c r="S957" s="9" t="s">
        <v>57</v>
      </c>
      <c r="T957" s="9" t="s">
        <v>61</v>
      </c>
      <c r="V957" s="9">
        <v>1252051.0</v>
      </c>
      <c r="W957" s="9">
        <v>0.0</v>
      </c>
      <c r="X957" s="9">
        <v>0.0</v>
      </c>
    </row>
    <row r="958" ht="15.75" customHeight="1">
      <c r="A958" s="9">
        <v>2073596.0</v>
      </c>
      <c r="B958" s="9">
        <v>1590473.0</v>
      </c>
      <c r="C958" s="9">
        <v>30418.0</v>
      </c>
      <c r="D958" s="9" t="s">
        <v>52</v>
      </c>
      <c r="E958" s="9" t="s">
        <v>53</v>
      </c>
      <c r="F958" s="9">
        <v>83062.0</v>
      </c>
      <c r="G958" s="9">
        <v>1960212.0</v>
      </c>
      <c r="H958" s="9">
        <v>1590473.0</v>
      </c>
      <c r="I958" s="9">
        <v>0.0</v>
      </c>
      <c r="J958" s="9">
        <v>0.0</v>
      </c>
      <c r="K958" s="9">
        <v>0.0</v>
      </c>
      <c r="L958" s="9" t="s">
        <v>54</v>
      </c>
      <c r="M958" s="9" t="s">
        <v>55</v>
      </c>
      <c r="N958" s="9">
        <v>1813796.0</v>
      </c>
      <c r="O958" s="9">
        <v>1813795.98</v>
      </c>
      <c r="P958" s="9">
        <v>54654.0</v>
      </c>
      <c r="Q958" s="9">
        <v>54654.0</v>
      </c>
      <c r="R958" s="9" t="s">
        <v>60</v>
      </c>
      <c r="S958" s="9" t="s">
        <v>57</v>
      </c>
      <c r="T958" s="9" t="s">
        <v>61</v>
      </c>
      <c r="V958" s="9">
        <v>1813795.98</v>
      </c>
      <c r="W958" s="9">
        <v>54654.0</v>
      </c>
      <c r="X958" s="9">
        <v>0.0</v>
      </c>
    </row>
    <row r="959" ht="15.75" customHeight="1">
      <c r="A959" s="9">
        <v>2075485.0</v>
      </c>
      <c r="B959" s="9">
        <v>1028924.0</v>
      </c>
      <c r="C959" s="9">
        <v>30817.0</v>
      </c>
      <c r="D959" s="9" t="s">
        <v>52</v>
      </c>
      <c r="E959" s="9" t="s">
        <v>53</v>
      </c>
      <c r="F959" s="9">
        <v>88063.0</v>
      </c>
      <c r="G959" s="9">
        <v>1018282.01</v>
      </c>
      <c r="H959" s="9">
        <v>1018282.01</v>
      </c>
      <c r="I959" s="9">
        <v>0.0</v>
      </c>
      <c r="J959" s="9">
        <v>0.0</v>
      </c>
      <c r="K959" s="9">
        <v>0.0</v>
      </c>
      <c r="L959" s="9" t="s">
        <v>54</v>
      </c>
      <c r="M959" s="9" t="s">
        <v>55</v>
      </c>
      <c r="N959" s="9">
        <v>984316.02</v>
      </c>
      <c r="O959" s="9">
        <v>984316.0</v>
      </c>
      <c r="R959" s="9" t="s">
        <v>60</v>
      </c>
      <c r="S959" s="9" t="s">
        <v>57</v>
      </c>
      <c r="T959" s="9" t="s">
        <v>61</v>
      </c>
      <c r="V959" s="9">
        <v>1248626.05</v>
      </c>
      <c r="W959" s="9">
        <v>0.0</v>
      </c>
      <c r="X959" s="9">
        <v>0.0</v>
      </c>
    </row>
    <row r="960" ht="15.75" customHeight="1">
      <c r="A960" s="9">
        <v>2075570.0</v>
      </c>
      <c r="B960" s="9">
        <v>120439.0</v>
      </c>
      <c r="C960" s="9">
        <v>31156.0</v>
      </c>
      <c r="D960" s="9" t="s">
        <v>52</v>
      </c>
      <c r="E960" s="9" t="s">
        <v>53</v>
      </c>
      <c r="F960" s="9">
        <v>88271.0</v>
      </c>
      <c r="G960" s="9">
        <v>120439.0</v>
      </c>
      <c r="H960" s="9">
        <v>120439.0</v>
      </c>
      <c r="I960" s="9">
        <v>120469.15</v>
      </c>
      <c r="J960" s="9">
        <v>0.0</v>
      </c>
      <c r="K960" s="9">
        <v>0.0</v>
      </c>
      <c r="L960" s="9" t="s">
        <v>69</v>
      </c>
      <c r="M960" s="9" t="s">
        <v>55</v>
      </c>
      <c r="R960" s="9" t="s">
        <v>60</v>
      </c>
      <c r="S960" s="9" t="s">
        <v>57</v>
      </c>
      <c r="T960" s="9" t="s">
        <v>61</v>
      </c>
      <c r="V960" s="9">
        <v>119016.4</v>
      </c>
      <c r="W960" s="9">
        <v>0.0</v>
      </c>
      <c r="X960" s="9">
        <v>0.0</v>
      </c>
    </row>
    <row r="961" ht="15.75" customHeight="1">
      <c r="A961" s="9">
        <v>2076606.0</v>
      </c>
      <c r="B961" s="9">
        <v>3465991.0</v>
      </c>
      <c r="C961" s="9">
        <v>30826.0</v>
      </c>
      <c r="D961" s="9" t="s">
        <v>52</v>
      </c>
      <c r="E961" s="9" t="s">
        <v>53</v>
      </c>
      <c r="F961" s="9">
        <v>91330.0</v>
      </c>
      <c r="G961" s="9">
        <v>3123648.9</v>
      </c>
      <c r="H961" s="9">
        <v>3123648.9</v>
      </c>
      <c r="I961" s="9">
        <v>0.0</v>
      </c>
      <c r="J961" s="9">
        <v>0.0</v>
      </c>
      <c r="K961" s="9">
        <v>0.0</v>
      </c>
      <c r="L961" s="9" t="s">
        <v>54</v>
      </c>
      <c r="M961" s="9" t="s">
        <v>55</v>
      </c>
      <c r="N961" s="9">
        <v>2967778.2</v>
      </c>
      <c r="O961" s="9">
        <v>2967778.05</v>
      </c>
      <c r="P961" s="9">
        <v>140000.0</v>
      </c>
      <c r="Q961" s="9">
        <v>126000.0</v>
      </c>
      <c r="R961" s="9" t="s">
        <v>60</v>
      </c>
      <c r="S961" s="9" t="s">
        <v>57</v>
      </c>
      <c r="T961" s="9" t="s">
        <v>61</v>
      </c>
      <c r="V961" s="9">
        <v>3008020.71</v>
      </c>
      <c r="W961" s="9">
        <v>126000.0</v>
      </c>
      <c r="X961" s="9">
        <v>0.0</v>
      </c>
    </row>
    <row r="962" ht="15.75" customHeight="1">
      <c r="A962" s="9">
        <v>2077961.0</v>
      </c>
      <c r="B962" s="9">
        <v>3646840.0</v>
      </c>
      <c r="C962" s="9">
        <v>26607.0</v>
      </c>
      <c r="D962" s="9" t="s">
        <v>52</v>
      </c>
      <c r="E962" s="9" t="s">
        <v>53</v>
      </c>
      <c r="F962" s="9">
        <v>55271.0</v>
      </c>
      <c r="G962" s="9">
        <v>5765798.47</v>
      </c>
      <c r="H962" s="9">
        <v>6404435.51</v>
      </c>
      <c r="I962" s="9">
        <v>4801207.96</v>
      </c>
      <c r="J962" s="9">
        <v>0.0</v>
      </c>
      <c r="K962" s="9">
        <v>162468.0</v>
      </c>
      <c r="L962" s="9" t="s">
        <v>59</v>
      </c>
      <c r="M962" s="9" t="s">
        <v>55</v>
      </c>
      <c r="N962" s="9">
        <v>4624979.53</v>
      </c>
      <c r="O962" s="9">
        <v>4624979.53</v>
      </c>
      <c r="P962" s="9">
        <v>85000.0</v>
      </c>
      <c r="Q962" s="9">
        <v>85000.0</v>
      </c>
      <c r="R962" s="9" t="s">
        <v>96</v>
      </c>
      <c r="S962" s="9" t="s">
        <v>78</v>
      </c>
      <c r="T962" s="9" t="s">
        <v>79</v>
      </c>
      <c r="U962" s="9" t="s">
        <v>97</v>
      </c>
    </row>
    <row r="963" ht="15.75" customHeight="1">
      <c r="A963" s="9">
        <v>2078897.0</v>
      </c>
      <c r="B963" s="9">
        <v>9203134.0</v>
      </c>
      <c r="C963" s="9">
        <v>30302.0</v>
      </c>
      <c r="D963" s="9" t="s">
        <v>52</v>
      </c>
      <c r="E963" s="9" t="s">
        <v>53</v>
      </c>
      <c r="F963" s="9">
        <v>97213.0</v>
      </c>
      <c r="G963" s="9">
        <v>9944935.33</v>
      </c>
      <c r="H963" s="9">
        <v>9944935.33</v>
      </c>
      <c r="I963" s="9">
        <v>7405027.63</v>
      </c>
      <c r="J963" s="9">
        <v>0.0</v>
      </c>
      <c r="K963" s="9">
        <v>0.0</v>
      </c>
      <c r="L963" s="9" t="s">
        <v>59</v>
      </c>
      <c r="M963" s="9" t="s">
        <v>55</v>
      </c>
      <c r="N963" s="9">
        <v>9944935.33</v>
      </c>
      <c r="O963" s="9">
        <v>9944935.33</v>
      </c>
      <c r="P963" s="9">
        <v>200000.0</v>
      </c>
      <c r="Q963" s="9">
        <v>200000.0</v>
      </c>
      <c r="R963" s="9" t="s">
        <v>60</v>
      </c>
      <c r="S963" s="9" t="s">
        <v>57</v>
      </c>
      <c r="T963" s="9" t="s">
        <v>61</v>
      </c>
      <c r="V963" s="9">
        <v>9944935.33</v>
      </c>
      <c r="W963" s="9">
        <v>200000.0</v>
      </c>
      <c r="X963" s="9">
        <v>0.0</v>
      </c>
    </row>
    <row r="964" ht="15.75" customHeight="1">
      <c r="A964" s="9">
        <v>2084696.0</v>
      </c>
      <c r="B964" s="9">
        <v>5196392.0</v>
      </c>
      <c r="C964" s="9">
        <v>30548.0</v>
      </c>
      <c r="D964" s="9" t="s">
        <v>52</v>
      </c>
      <c r="E964" s="9" t="s">
        <v>53</v>
      </c>
      <c r="F964" s="9">
        <v>75257.0</v>
      </c>
      <c r="G964" s="9">
        <v>5790938.36</v>
      </c>
      <c r="H964" s="9">
        <v>5196392.0</v>
      </c>
      <c r="I964" s="9">
        <v>5555423.84</v>
      </c>
      <c r="J964" s="9">
        <v>0.0</v>
      </c>
      <c r="K964" s="9">
        <v>0.0</v>
      </c>
      <c r="L964" s="9" t="s">
        <v>69</v>
      </c>
      <c r="M964" s="9" t="s">
        <v>55</v>
      </c>
      <c r="N964" s="9">
        <v>5391479.13</v>
      </c>
      <c r="O964" s="9">
        <v>5391479.13</v>
      </c>
      <c r="P964" s="9">
        <v>199484.73</v>
      </c>
      <c r="Q964" s="9">
        <v>179536.26</v>
      </c>
      <c r="R964" s="9" t="s">
        <v>60</v>
      </c>
      <c r="S964" s="9" t="s">
        <v>57</v>
      </c>
      <c r="T964" s="9" t="s">
        <v>61</v>
      </c>
      <c r="V964" s="9">
        <v>5340311.27</v>
      </c>
      <c r="W964" s="9">
        <v>0.0</v>
      </c>
      <c r="X964" s="9">
        <v>0.0</v>
      </c>
    </row>
    <row r="965" ht="15.75" customHeight="1">
      <c r="A965" s="9">
        <v>2084960.0</v>
      </c>
      <c r="B965" s="9">
        <v>1.3951948E7</v>
      </c>
      <c r="C965" s="9">
        <v>30063.0</v>
      </c>
      <c r="D965" s="9" t="s">
        <v>52</v>
      </c>
      <c r="E965" s="9" t="s">
        <v>53</v>
      </c>
      <c r="F965" s="9">
        <v>65139.0</v>
      </c>
      <c r="G965" s="9">
        <v>1.5171407E7</v>
      </c>
      <c r="H965" s="9">
        <v>1.5171407E7</v>
      </c>
      <c r="I965" s="9">
        <v>1.509782581E7</v>
      </c>
      <c r="J965" s="9">
        <v>0.0</v>
      </c>
      <c r="K965" s="9">
        <v>0.0</v>
      </c>
      <c r="L965" s="9" t="s">
        <v>59</v>
      </c>
      <c r="M965" s="9" t="s">
        <v>55</v>
      </c>
      <c r="N965" s="9">
        <v>1.461599903E7</v>
      </c>
      <c r="O965" s="9">
        <v>1.454291903E7</v>
      </c>
      <c r="P965" s="9">
        <v>555407.97</v>
      </c>
      <c r="Q965" s="9">
        <v>555407.95</v>
      </c>
      <c r="R965" s="9" t="s">
        <v>60</v>
      </c>
      <c r="S965" s="9" t="s">
        <v>57</v>
      </c>
      <c r="T965" s="9" t="s">
        <v>61</v>
      </c>
      <c r="V965" s="9">
        <v>1.459291903E7</v>
      </c>
      <c r="W965" s="9">
        <v>555407.97</v>
      </c>
      <c r="X965" s="9">
        <v>0.0</v>
      </c>
    </row>
    <row r="966" ht="15.75" customHeight="1">
      <c r="A966" s="9">
        <v>2084979.0</v>
      </c>
      <c r="B966" s="9">
        <v>3.3339276E7</v>
      </c>
      <c r="C966" s="9">
        <v>26684.0</v>
      </c>
      <c r="D966" s="9" t="s">
        <v>52</v>
      </c>
      <c r="E966" s="9" t="s">
        <v>53</v>
      </c>
      <c r="F966" s="9">
        <v>62345.0</v>
      </c>
      <c r="G966" s="9">
        <v>4.630813894E7</v>
      </c>
      <c r="H966" s="9">
        <v>4.630813894E7</v>
      </c>
      <c r="I966" s="9">
        <v>4.488029294E7</v>
      </c>
      <c r="J966" s="9">
        <v>0.0</v>
      </c>
      <c r="K966" s="9">
        <v>42300.0</v>
      </c>
      <c r="L966" s="9" t="s">
        <v>59</v>
      </c>
      <c r="M966" s="9" t="s">
        <v>55</v>
      </c>
      <c r="N966" s="9">
        <v>3.358356209E7</v>
      </c>
      <c r="O966" s="9">
        <v>3.358356208E7</v>
      </c>
      <c r="P966" s="9">
        <v>1007506.87</v>
      </c>
      <c r="Q966" s="9">
        <v>906756.19</v>
      </c>
      <c r="R966" s="9" t="s">
        <v>94</v>
      </c>
      <c r="S966" s="9" t="s">
        <v>57</v>
      </c>
      <c r="T966" s="9" t="s">
        <v>95</v>
      </c>
    </row>
    <row r="967" ht="15.75" customHeight="1">
      <c r="A967" s="9">
        <v>2085596.0</v>
      </c>
      <c r="B967" s="9">
        <v>7771119.0</v>
      </c>
      <c r="C967" s="9">
        <v>30873.0</v>
      </c>
      <c r="D967" s="9" t="s">
        <v>52</v>
      </c>
      <c r="E967" s="9" t="s">
        <v>53</v>
      </c>
      <c r="F967" s="9">
        <v>34789.0</v>
      </c>
      <c r="G967" s="9">
        <v>9748930.99</v>
      </c>
      <c r="H967" s="9">
        <v>9748930.99</v>
      </c>
      <c r="I967" s="9">
        <v>1979300.0</v>
      </c>
      <c r="J967" s="9">
        <v>0.0</v>
      </c>
      <c r="K967" s="9">
        <v>0.0</v>
      </c>
      <c r="L967" s="9" t="s">
        <v>54</v>
      </c>
      <c r="M967" s="9" t="s">
        <v>55</v>
      </c>
      <c r="N967" s="9">
        <v>7907816.64</v>
      </c>
      <c r="O967" s="9">
        <v>6844585.52</v>
      </c>
      <c r="R967" s="9" t="s">
        <v>94</v>
      </c>
      <c r="S967" s="9" t="s">
        <v>57</v>
      </c>
      <c r="T967" s="9" t="s">
        <v>95</v>
      </c>
    </row>
    <row r="968" ht="15.75" customHeight="1">
      <c r="A968" s="9">
        <v>2085896.0</v>
      </c>
      <c r="B968" s="9">
        <v>3078488.0</v>
      </c>
      <c r="C968" s="9">
        <v>48660.0</v>
      </c>
      <c r="D968" s="9" t="s">
        <v>52</v>
      </c>
      <c r="E968" s="9" t="s">
        <v>52</v>
      </c>
      <c r="F968" s="9">
        <v>94009.0</v>
      </c>
      <c r="H968" s="9">
        <v>2814741.93</v>
      </c>
      <c r="I968" s="9">
        <v>2814741.93</v>
      </c>
      <c r="J968" s="9">
        <v>0.0</v>
      </c>
      <c r="K968" s="9">
        <v>0.0</v>
      </c>
      <c r="L968" s="9" t="s">
        <v>59</v>
      </c>
      <c r="M968" s="9" t="s">
        <v>116</v>
      </c>
      <c r="R968" s="9" t="s">
        <v>100</v>
      </c>
      <c r="S968" s="9" t="s">
        <v>101</v>
      </c>
      <c r="T968" s="9" t="s">
        <v>102</v>
      </c>
    </row>
    <row r="969" ht="15.75" customHeight="1">
      <c r="A969" s="9">
        <v>2116513.0</v>
      </c>
      <c r="B969" s="9">
        <v>1.0993315E7</v>
      </c>
      <c r="C969" s="9">
        <v>30540.0</v>
      </c>
      <c r="D969" s="9" t="s">
        <v>52</v>
      </c>
      <c r="E969" s="9" t="s">
        <v>53</v>
      </c>
      <c r="F969" s="9">
        <v>147146.0</v>
      </c>
      <c r="G969" s="9">
        <v>1.068364387E7</v>
      </c>
      <c r="H969" s="9">
        <v>1.068364387E7</v>
      </c>
      <c r="I969" s="9">
        <v>1.055804078E7</v>
      </c>
      <c r="J969" s="9">
        <v>0.0</v>
      </c>
      <c r="K969" s="9">
        <v>0.0</v>
      </c>
      <c r="L969" s="9" t="s">
        <v>69</v>
      </c>
      <c r="M969" s="9" t="s">
        <v>55</v>
      </c>
      <c r="N969" s="9">
        <v>1.032236123E7</v>
      </c>
      <c r="O969" s="9">
        <v>1.005398E7</v>
      </c>
      <c r="P969" s="9">
        <v>1.032236123E7</v>
      </c>
      <c r="Q969" s="9">
        <v>325154.39</v>
      </c>
      <c r="R969" s="9" t="s">
        <v>56</v>
      </c>
      <c r="S969" s="9" t="s">
        <v>57</v>
      </c>
      <c r="T969" s="9" t="s">
        <v>58</v>
      </c>
      <c r="V969" s="9">
        <v>1.02353327E7</v>
      </c>
      <c r="W969" s="9">
        <v>322422.0</v>
      </c>
      <c r="X969" s="9">
        <v>0.0</v>
      </c>
    </row>
    <row r="970" ht="15.75" customHeight="1">
      <c r="A970" s="9">
        <v>2117985.0</v>
      </c>
      <c r="B970" s="9">
        <v>1825876.0</v>
      </c>
      <c r="C970" s="9">
        <v>30794.0</v>
      </c>
      <c r="D970" s="9" t="s">
        <v>52</v>
      </c>
      <c r="E970" s="9" t="s">
        <v>53</v>
      </c>
      <c r="F970" s="9">
        <v>130579.0</v>
      </c>
      <c r="G970" s="9">
        <v>1292287.04</v>
      </c>
      <c r="H970" s="9">
        <v>1292287.04</v>
      </c>
      <c r="I970" s="9">
        <v>1249731.54</v>
      </c>
      <c r="J970" s="9">
        <v>0.0</v>
      </c>
      <c r="K970" s="9">
        <v>0.0</v>
      </c>
      <c r="L970" s="9" t="s">
        <v>69</v>
      </c>
      <c r="M970" s="9" t="s">
        <v>55</v>
      </c>
      <c r="N970" s="9">
        <v>1102287.01</v>
      </c>
      <c r="O970" s="9">
        <v>1102287.01</v>
      </c>
      <c r="R970" s="9" t="s">
        <v>60</v>
      </c>
      <c r="S970" s="9" t="s">
        <v>57</v>
      </c>
      <c r="T970" s="9" t="s">
        <v>61</v>
      </c>
      <c r="V970" s="9">
        <v>1174481.54</v>
      </c>
      <c r="W970" s="9">
        <v>0.0</v>
      </c>
      <c r="X970" s="9">
        <v>66454.2</v>
      </c>
    </row>
    <row r="971" ht="15.75" customHeight="1">
      <c r="A971" s="9">
        <v>2123082.0</v>
      </c>
      <c r="B971" s="9">
        <v>1034847.67</v>
      </c>
      <c r="C971" s="9">
        <v>30083.0</v>
      </c>
      <c r="D971" s="9" t="s">
        <v>52</v>
      </c>
      <c r="E971" s="9" t="s">
        <v>53</v>
      </c>
      <c r="F971" s="9">
        <v>146908.0</v>
      </c>
      <c r="G971" s="9">
        <v>711756.51</v>
      </c>
      <c r="H971" s="9">
        <v>711756.51</v>
      </c>
      <c r="I971" s="9">
        <v>713745.01</v>
      </c>
      <c r="J971" s="9">
        <v>0.0</v>
      </c>
      <c r="K971" s="9">
        <v>0.0</v>
      </c>
      <c r="L971" s="9" t="s">
        <v>69</v>
      </c>
      <c r="M971" s="9" t="s">
        <v>55</v>
      </c>
      <c r="N971" s="9">
        <v>606386.37</v>
      </c>
      <c r="O971" s="9">
        <v>915967.0</v>
      </c>
      <c r="R971" s="9" t="s">
        <v>60</v>
      </c>
      <c r="S971" s="9" t="s">
        <v>57</v>
      </c>
      <c r="T971" s="9" t="s">
        <v>61</v>
      </c>
      <c r="V971" s="9">
        <v>757781.2</v>
      </c>
      <c r="W971" s="9">
        <v>18900.0</v>
      </c>
      <c r="X971" s="9">
        <v>0.0</v>
      </c>
    </row>
    <row r="972" ht="15.75" customHeight="1">
      <c r="A972" s="9">
        <v>2124120.0</v>
      </c>
      <c r="B972" s="9">
        <v>9306062.0</v>
      </c>
      <c r="C972" s="9">
        <v>46822.0</v>
      </c>
      <c r="D972" s="9" t="s">
        <v>52</v>
      </c>
      <c r="E972" s="9" t="s">
        <v>53</v>
      </c>
      <c r="F972" s="9">
        <v>121810.0</v>
      </c>
      <c r="G972" s="9">
        <v>1.019305574E7</v>
      </c>
      <c r="H972" s="9">
        <v>4.661884613E7</v>
      </c>
      <c r="I972" s="9">
        <v>4.57524808E7</v>
      </c>
      <c r="J972" s="9">
        <v>3628190.81</v>
      </c>
      <c r="K972" s="9">
        <v>3668717.0</v>
      </c>
      <c r="L972" s="9" t="s">
        <v>59</v>
      </c>
      <c r="M972" s="9" t="s">
        <v>62</v>
      </c>
      <c r="N972" s="9">
        <v>3.484350367E7</v>
      </c>
      <c r="O972" s="9">
        <v>3.484350367E7</v>
      </c>
      <c r="P972" s="9">
        <v>1151496.88</v>
      </c>
      <c r="Q972" s="9">
        <v>878260.34</v>
      </c>
      <c r="R972" s="9" t="s">
        <v>94</v>
      </c>
      <c r="S972" s="9" t="s">
        <v>57</v>
      </c>
      <c r="T972" s="9" t="s">
        <v>95</v>
      </c>
    </row>
    <row r="973" ht="15.75" customHeight="1">
      <c r="A973" s="9">
        <v>2124954.0</v>
      </c>
      <c r="B973" s="9">
        <v>3264849.0</v>
      </c>
      <c r="C973" s="9">
        <v>30305.0</v>
      </c>
      <c r="D973" s="9" t="s">
        <v>52</v>
      </c>
      <c r="E973" s="9" t="s">
        <v>53</v>
      </c>
      <c r="F973" s="9">
        <v>157434.0</v>
      </c>
      <c r="G973" s="9">
        <v>3264849.0</v>
      </c>
      <c r="H973" s="9">
        <v>3264849.0</v>
      </c>
      <c r="I973" s="9">
        <v>2632311.11</v>
      </c>
      <c r="J973" s="9">
        <v>0.0</v>
      </c>
      <c r="K973" s="9">
        <v>0.0</v>
      </c>
      <c r="L973" s="9" t="s">
        <v>59</v>
      </c>
      <c r="M973" s="9" t="s">
        <v>55</v>
      </c>
      <c r="N973" s="9">
        <v>3026867.22</v>
      </c>
      <c r="O973" s="9">
        <v>3026867.22</v>
      </c>
      <c r="P973" s="9">
        <v>174000.0</v>
      </c>
      <c r="Q973" s="9">
        <v>174000.0</v>
      </c>
      <c r="R973" s="9" t="s">
        <v>56</v>
      </c>
      <c r="S973" s="9" t="s">
        <v>57</v>
      </c>
      <c r="T973" s="9" t="s">
        <v>58</v>
      </c>
      <c r="V973" s="9">
        <v>3170948.38</v>
      </c>
      <c r="W973" s="9">
        <v>0.0</v>
      </c>
      <c r="X973" s="9">
        <v>0.0</v>
      </c>
    </row>
    <row r="974" ht="15.75" customHeight="1">
      <c r="A974" s="9">
        <v>2126658.0</v>
      </c>
      <c r="B974" s="9">
        <v>360378.42</v>
      </c>
      <c r="C974" s="9">
        <v>30558.0</v>
      </c>
      <c r="D974" s="9" t="s">
        <v>52</v>
      </c>
      <c r="E974" s="9" t="s">
        <v>53</v>
      </c>
      <c r="F974" s="9">
        <v>135668.0</v>
      </c>
      <c r="G974" s="9">
        <v>367763.9</v>
      </c>
      <c r="H974" s="9">
        <v>367763.9</v>
      </c>
      <c r="I974" s="9">
        <v>0.0</v>
      </c>
      <c r="J974" s="9">
        <v>0.0</v>
      </c>
      <c r="K974" s="9">
        <v>0.0</v>
      </c>
      <c r="L974" s="9" t="s">
        <v>54</v>
      </c>
      <c r="M974" s="9" t="s">
        <v>55</v>
      </c>
      <c r="N974" s="9">
        <v>350250.64</v>
      </c>
      <c r="O974" s="9">
        <v>350250.64</v>
      </c>
      <c r="R974" s="9" t="s">
        <v>60</v>
      </c>
      <c r="S974" s="9" t="s">
        <v>57</v>
      </c>
      <c r="T974" s="9" t="s">
        <v>61</v>
      </c>
      <c r="V974" s="9">
        <v>393014.74</v>
      </c>
      <c r="W974" s="9">
        <v>0.0</v>
      </c>
      <c r="X974" s="9">
        <v>0.0</v>
      </c>
    </row>
    <row r="975" ht="15.75" customHeight="1">
      <c r="A975" s="9">
        <v>2128447.0</v>
      </c>
      <c r="B975" s="9">
        <v>1.5652718E7</v>
      </c>
      <c r="C975" s="9">
        <v>37488.0</v>
      </c>
      <c r="D975" s="9" t="s">
        <v>52</v>
      </c>
      <c r="E975" s="9" t="s">
        <v>53</v>
      </c>
      <c r="F975" s="9">
        <v>158403.0</v>
      </c>
      <c r="G975" s="9">
        <v>1.353686125E7</v>
      </c>
      <c r="H975" s="9">
        <v>1.353686125E7</v>
      </c>
      <c r="I975" s="9">
        <v>1.34887203E7</v>
      </c>
      <c r="J975" s="9">
        <v>0.0</v>
      </c>
      <c r="K975" s="9">
        <v>0.0</v>
      </c>
      <c r="L975" s="9" t="s">
        <v>69</v>
      </c>
      <c r="M975" s="9" t="s">
        <v>62</v>
      </c>
      <c r="N975" s="9">
        <v>5712445.57</v>
      </c>
      <c r="O975" s="9">
        <v>5712445.57</v>
      </c>
      <c r="P975" s="9">
        <v>285622.0</v>
      </c>
      <c r="Q975" s="9">
        <v>285622.0</v>
      </c>
      <c r="R975" s="9" t="s">
        <v>56</v>
      </c>
      <c r="S975" s="9" t="s">
        <v>57</v>
      </c>
      <c r="T975" s="9" t="s">
        <v>58</v>
      </c>
      <c r="V975" s="9">
        <v>5712445.57</v>
      </c>
      <c r="W975" s="9">
        <v>285622.0</v>
      </c>
      <c r="X975" s="9">
        <v>0.0</v>
      </c>
    </row>
    <row r="976" ht="15.75" customHeight="1">
      <c r="A976" s="9">
        <v>2128513.0</v>
      </c>
      <c r="B976" s="9">
        <v>387567.0</v>
      </c>
      <c r="C976" s="9">
        <v>31027.0</v>
      </c>
      <c r="D976" s="9" t="s">
        <v>52</v>
      </c>
      <c r="E976" s="9" t="s">
        <v>53</v>
      </c>
      <c r="F976" s="9">
        <v>135658.0</v>
      </c>
      <c r="G976" s="9">
        <v>516373.74</v>
      </c>
      <c r="H976" s="9">
        <v>516373.74</v>
      </c>
      <c r="I976" s="9">
        <v>506373.94</v>
      </c>
      <c r="J976" s="9">
        <v>0.0</v>
      </c>
      <c r="K976" s="9">
        <v>0.0</v>
      </c>
      <c r="L976" s="9" t="s">
        <v>59</v>
      </c>
      <c r="M976" s="9" t="s">
        <v>55</v>
      </c>
      <c r="R976" s="9" t="s">
        <v>94</v>
      </c>
      <c r="S976" s="9" t="s">
        <v>57</v>
      </c>
      <c r="T976" s="9" t="s">
        <v>95</v>
      </c>
    </row>
    <row r="977" ht="15.75" customHeight="1">
      <c r="A977" s="9">
        <v>2133110.0</v>
      </c>
      <c r="B977" s="9">
        <v>3674170.0</v>
      </c>
      <c r="C977" s="9">
        <v>31604.0</v>
      </c>
      <c r="D977" s="9" t="s">
        <v>52</v>
      </c>
      <c r="E977" s="9" t="s">
        <v>53</v>
      </c>
      <c r="F977" s="9">
        <v>170893.0</v>
      </c>
      <c r="G977" s="9">
        <v>4494826.63</v>
      </c>
      <c r="H977" s="9">
        <v>4494826.63</v>
      </c>
      <c r="I977" s="9">
        <v>3904385.79</v>
      </c>
      <c r="J977" s="9">
        <v>0.0</v>
      </c>
      <c r="K977" s="9">
        <v>0.0</v>
      </c>
      <c r="L977" s="9" t="s">
        <v>69</v>
      </c>
      <c r="M977" s="9" t="s">
        <v>55</v>
      </c>
      <c r="N977" s="9">
        <v>4479871.82</v>
      </c>
      <c r="O977" s="9">
        <v>4479871.82</v>
      </c>
      <c r="P977" s="9">
        <v>134396.15</v>
      </c>
      <c r="Q977" s="9">
        <v>0.0</v>
      </c>
      <c r="R977" s="9" t="s">
        <v>56</v>
      </c>
      <c r="S977" s="9" t="s">
        <v>57</v>
      </c>
      <c r="T977" s="9" t="s">
        <v>58</v>
      </c>
      <c r="V977" s="9">
        <v>3580181.46</v>
      </c>
      <c r="W977" s="9">
        <v>116534.43</v>
      </c>
      <c r="X977" s="9">
        <v>0.0</v>
      </c>
    </row>
    <row r="978" ht="15.75" customHeight="1">
      <c r="A978" s="9">
        <v>2133597.0</v>
      </c>
      <c r="B978" s="9">
        <v>2.4208021E7</v>
      </c>
      <c r="C978" s="9">
        <v>30965.0</v>
      </c>
      <c r="D978" s="9" t="s">
        <v>52</v>
      </c>
      <c r="E978" s="9" t="s">
        <v>53</v>
      </c>
      <c r="F978" s="9">
        <v>172746.0</v>
      </c>
      <c r="G978" s="9">
        <v>2.363542232E7</v>
      </c>
      <c r="H978" s="9">
        <v>2.363542232E7</v>
      </c>
      <c r="I978" s="9">
        <v>2.206477088E7</v>
      </c>
      <c r="J978" s="9">
        <v>0.0</v>
      </c>
      <c r="K978" s="9">
        <v>0.0</v>
      </c>
      <c r="L978" s="9" t="s">
        <v>69</v>
      </c>
      <c r="M978" s="9" t="s">
        <v>55</v>
      </c>
      <c r="N978" s="9">
        <v>2.274610597E7</v>
      </c>
      <c r="O978" s="9">
        <v>2.079945255E7</v>
      </c>
      <c r="P978" s="9">
        <v>885000.0</v>
      </c>
      <c r="Q978" s="9">
        <v>750000.0</v>
      </c>
      <c r="R978" s="9" t="s">
        <v>60</v>
      </c>
      <c r="S978" s="9" t="s">
        <v>57</v>
      </c>
      <c r="T978" s="9" t="s">
        <v>61</v>
      </c>
      <c r="V978" s="9">
        <v>2.079739385E7</v>
      </c>
      <c r="W978" s="9">
        <v>781545.53</v>
      </c>
      <c r="X978" s="9">
        <v>0.0</v>
      </c>
    </row>
    <row r="979" ht="15.75" customHeight="1">
      <c r="A979" s="9">
        <v>2135818.0</v>
      </c>
      <c r="B979" s="9">
        <v>3421435.0</v>
      </c>
      <c r="C979" s="9">
        <v>30887.0</v>
      </c>
      <c r="D979" s="9" t="s">
        <v>52</v>
      </c>
      <c r="E979" s="9" t="s">
        <v>53</v>
      </c>
      <c r="F979" s="9">
        <v>180750.0</v>
      </c>
      <c r="G979" s="9">
        <v>3421527.91</v>
      </c>
      <c r="H979" s="9">
        <v>3421527.91</v>
      </c>
      <c r="I979" s="9">
        <v>3294215.0</v>
      </c>
      <c r="J979" s="9">
        <v>0.0</v>
      </c>
      <c r="K979" s="9">
        <v>0.0</v>
      </c>
      <c r="L979" s="9" t="s">
        <v>59</v>
      </c>
      <c r="M979" s="9" t="s">
        <v>55</v>
      </c>
      <c r="N979" s="9">
        <v>3182816.66</v>
      </c>
      <c r="O979" s="9">
        <v>3182816.66</v>
      </c>
      <c r="P979" s="9">
        <v>111398.58</v>
      </c>
      <c r="Q979" s="9">
        <v>111398.58</v>
      </c>
      <c r="R979" s="9" t="s">
        <v>75</v>
      </c>
      <c r="S979" s="9" t="s">
        <v>57</v>
      </c>
      <c r="T979" s="9" t="s">
        <v>76</v>
      </c>
    </row>
    <row r="980" ht="15.75" customHeight="1">
      <c r="A980" s="9">
        <v>2135835.0</v>
      </c>
      <c r="B980" s="9">
        <v>1409427.0</v>
      </c>
      <c r="C980" s="9">
        <v>30307.0</v>
      </c>
      <c r="D980" s="9" t="s">
        <v>52</v>
      </c>
      <c r="E980" s="9" t="s">
        <v>53</v>
      </c>
      <c r="F980" s="9">
        <v>156303.0</v>
      </c>
      <c r="G980" s="9">
        <v>1334649.4</v>
      </c>
      <c r="H980" s="9">
        <v>1334649.4</v>
      </c>
      <c r="I980" s="9">
        <v>1412735.46</v>
      </c>
      <c r="J980" s="9">
        <v>0.0</v>
      </c>
      <c r="K980" s="9">
        <v>0.0</v>
      </c>
      <c r="L980" s="9" t="s">
        <v>69</v>
      </c>
      <c r="M980" s="9" t="s">
        <v>55</v>
      </c>
      <c r="N980" s="9">
        <v>1334649.4</v>
      </c>
      <c r="O980" s="9">
        <v>1334649.4</v>
      </c>
      <c r="P980" s="9">
        <v>92495.48</v>
      </c>
      <c r="Q980" s="9">
        <v>92495.48</v>
      </c>
      <c r="R980" s="9" t="s">
        <v>60</v>
      </c>
      <c r="S980" s="9" t="s">
        <v>57</v>
      </c>
      <c r="T980" s="9" t="s">
        <v>61</v>
      </c>
      <c r="V980" s="9">
        <v>1331121.3</v>
      </c>
      <c r="W980" s="9">
        <v>92495.48</v>
      </c>
      <c r="X980" s="9">
        <v>0.0</v>
      </c>
    </row>
    <row r="981" ht="15.75" customHeight="1">
      <c r="A981" s="9">
        <v>2135852.0</v>
      </c>
      <c r="B981" s="9">
        <v>516459.0</v>
      </c>
      <c r="C981" s="9">
        <v>31159.0</v>
      </c>
      <c r="D981" s="9" t="s">
        <v>52</v>
      </c>
      <c r="E981" s="9" t="s">
        <v>53</v>
      </c>
      <c r="F981" s="9">
        <v>172155.0</v>
      </c>
      <c r="G981" s="9">
        <v>723000.17</v>
      </c>
      <c r="H981" s="9">
        <v>723000.17</v>
      </c>
      <c r="I981" s="9">
        <v>725336.44</v>
      </c>
      <c r="J981" s="9">
        <v>0.0</v>
      </c>
      <c r="K981" s="9">
        <v>0.0</v>
      </c>
      <c r="L981" s="9" t="s">
        <v>69</v>
      </c>
      <c r="M981" s="9" t="s">
        <v>55</v>
      </c>
      <c r="R981" s="9" t="s">
        <v>60</v>
      </c>
      <c r="S981" s="9" t="s">
        <v>57</v>
      </c>
      <c r="T981" s="9" t="s">
        <v>61</v>
      </c>
      <c r="V981" s="9">
        <v>697790.8</v>
      </c>
      <c r="W981" s="9">
        <v>0.0</v>
      </c>
      <c r="X981" s="9">
        <v>0.0</v>
      </c>
    </row>
    <row r="982" ht="15.75" customHeight="1">
      <c r="A982" s="9">
        <v>2136154.0</v>
      </c>
      <c r="B982" s="9">
        <v>4.1752523E7</v>
      </c>
      <c r="C982" s="9">
        <v>30546.0</v>
      </c>
      <c r="D982" s="9" t="s">
        <v>52</v>
      </c>
      <c r="E982" s="9" t="s">
        <v>53</v>
      </c>
      <c r="F982" s="9">
        <v>168457.0</v>
      </c>
      <c r="G982" s="9">
        <v>4.592721148E7</v>
      </c>
      <c r="H982" s="9">
        <v>4.592721148E7</v>
      </c>
      <c r="I982" s="9">
        <v>4.566275207E7</v>
      </c>
      <c r="J982" s="9">
        <v>0.0</v>
      </c>
      <c r="K982" s="9">
        <v>0.0</v>
      </c>
      <c r="L982" s="9" t="s">
        <v>59</v>
      </c>
      <c r="M982" s="9" t="s">
        <v>55</v>
      </c>
      <c r="N982" s="9">
        <v>4.390648452E7</v>
      </c>
      <c r="O982" s="9">
        <v>4.377476343E7</v>
      </c>
      <c r="P982" s="9">
        <v>1536726.96</v>
      </c>
      <c r="Q982" s="9">
        <v>1536726.96</v>
      </c>
      <c r="R982" s="9" t="s">
        <v>56</v>
      </c>
      <c r="S982" s="9" t="s">
        <v>57</v>
      </c>
      <c r="T982" s="9" t="s">
        <v>58</v>
      </c>
      <c r="V982" s="9">
        <v>4.35402121E7</v>
      </c>
      <c r="W982" s="9">
        <v>1632266.48</v>
      </c>
      <c r="X982" s="9">
        <v>0.0</v>
      </c>
    </row>
    <row r="983" ht="15.75" customHeight="1">
      <c r="A983" s="9">
        <v>2138958.0</v>
      </c>
      <c r="B983" s="9">
        <v>4000990.25</v>
      </c>
      <c r="C983" s="9">
        <v>47157.0</v>
      </c>
      <c r="D983" s="9" t="s">
        <v>52</v>
      </c>
      <c r="E983" s="9" t="s">
        <v>53</v>
      </c>
      <c r="F983" s="9">
        <v>176710.0</v>
      </c>
      <c r="G983" s="9">
        <v>3909990.34</v>
      </c>
      <c r="H983" s="9">
        <v>4652154.66</v>
      </c>
      <c r="I983" s="9">
        <v>4347389.64</v>
      </c>
      <c r="J983" s="9">
        <v>1478455.47</v>
      </c>
      <c r="K983" s="9">
        <v>1954599.0</v>
      </c>
      <c r="L983" s="9" t="s">
        <v>59</v>
      </c>
      <c r="M983" s="9" t="s">
        <v>55</v>
      </c>
      <c r="N983" s="9">
        <v>4258510.4</v>
      </c>
      <c r="O983" s="9">
        <v>4258510.4</v>
      </c>
      <c r="P983" s="9">
        <v>255511.0</v>
      </c>
      <c r="Q983" s="9">
        <v>229959.9</v>
      </c>
      <c r="R983" s="9" t="s">
        <v>56</v>
      </c>
      <c r="S983" s="9" t="s">
        <v>57</v>
      </c>
      <c r="T983" s="9" t="s">
        <v>58</v>
      </c>
    </row>
    <row r="984" ht="15.75" customHeight="1">
      <c r="A984" s="9">
        <v>2143323.0</v>
      </c>
      <c r="B984" s="9">
        <v>6701327.0</v>
      </c>
      <c r="C984" s="9">
        <v>47184.0</v>
      </c>
      <c r="D984" s="9" t="s">
        <v>52</v>
      </c>
      <c r="E984" s="9" t="s">
        <v>53</v>
      </c>
      <c r="F984" s="9">
        <v>171498.0</v>
      </c>
      <c r="G984" s="9">
        <v>8890659.36</v>
      </c>
      <c r="H984" s="9">
        <v>8571881.35</v>
      </c>
      <c r="I984" s="9">
        <v>7987968.17</v>
      </c>
      <c r="J984" s="9">
        <v>2071298.17</v>
      </c>
      <c r="K984" s="9">
        <v>2873126.0</v>
      </c>
      <c r="L984" s="9" t="s">
        <v>59</v>
      </c>
      <c r="M984" s="9" t="s">
        <v>55</v>
      </c>
      <c r="N984" s="9">
        <v>8169571.03</v>
      </c>
      <c r="O984" s="9">
        <v>7831928.25</v>
      </c>
      <c r="P984" s="9">
        <v>477296.0</v>
      </c>
      <c r="Q984" s="9">
        <v>429565.77</v>
      </c>
      <c r="R984" s="9" t="s">
        <v>124</v>
      </c>
      <c r="S984" s="9" t="s">
        <v>82</v>
      </c>
      <c r="T984" s="9" t="s">
        <v>107</v>
      </c>
      <c r="U984" s="9" t="s">
        <v>125</v>
      </c>
    </row>
    <row r="985" ht="15.75" customHeight="1">
      <c r="A985" s="9">
        <v>2144191.0</v>
      </c>
      <c r="B985" s="9">
        <v>2.8228492E7</v>
      </c>
      <c r="C985" s="9">
        <v>40953.0</v>
      </c>
      <c r="D985" s="9" t="s">
        <v>52</v>
      </c>
      <c r="E985" s="9" t="s">
        <v>53</v>
      </c>
      <c r="F985" s="9">
        <v>177659.0</v>
      </c>
      <c r="G985" s="9">
        <v>3.8589509E7</v>
      </c>
      <c r="H985" s="9">
        <v>9.968987756E7</v>
      </c>
      <c r="I985" s="9">
        <v>1.749422352E7</v>
      </c>
      <c r="J985" s="9">
        <v>0.0</v>
      </c>
      <c r="K985" s="9">
        <v>86711.0</v>
      </c>
      <c r="L985" s="9" t="s">
        <v>59</v>
      </c>
      <c r="M985" s="9" t="s">
        <v>74</v>
      </c>
      <c r="N985" s="9">
        <v>388167.16</v>
      </c>
      <c r="O985" s="9">
        <v>388167.16</v>
      </c>
      <c r="R985" s="9" t="s">
        <v>127</v>
      </c>
      <c r="S985" s="9" t="s">
        <v>57</v>
      </c>
      <c r="T985" s="9" t="s">
        <v>128</v>
      </c>
    </row>
    <row r="986" ht="15.75" customHeight="1">
      <c r="A986" s="9">
        <v>2144776.0</v>
      </c>
      <c r="B986" s="9">
        <v>1488540.0</v>
      </c>
      <c r="C986" s="9">
        <v>29902.0</v>
      </c>
      <c r="D986" s="9" t="s">
        <v>52</v>
      </c>
      <c r="E986" s="9" t="s">
        <v>53</v>
      </c>
      <c r="F986" s="9">
        <v>182507.0</v>
      </c>
      <c r="G986" s="9">
        <v>1595610.46</v>
      </c>
      <c r="H986" s="9">
        <v>1595610.46</v>
      </c>
      <c r="I986" s="9">
        <v>1593566.51</v>
      </c>
      <c r="J986" s="9">
        <v>0.0</v>
      </c>
      <c r="K986" s="9">
        <v>0.0</v>
      </c>
      <c r="L986" s="9" t="s">
        <v>69</v>
      </c>
      <c r="M986" s="9" t="s">
        <v>55</v>
      </c>
      <c r="P986" s="9">
        <v>39999.66</v>
      </c>
      <c r="Q986" s="9">
        <v>30249.25</v>
      </c>
      <c r="R986" s="9" t="s">
        <v>60</v>
      </c>
      <c r="S986" s="9" t="s">
        <v>57</v>
      </c>
      <c r="T986" s="9" t="s">
        <v>61</v>
      </c>
      <c r="V986" s="9">
        <v>1517652.05</v>
      </c>
      <c r="W986" s="9">
        <v>25005.31</v>
      </c>
      <c r="X986" s="9">
        <v>0.0</v>
      </c>
    </row>
    <row r="987" ht="15.75" customHeight="1">
      <c r="A987" s="9">
        <v>2145159.0</v>
      </c>
      <c r="B987" s="9">
        <v>9914598.0</v>
      </c>
      <c r="C987" s="9">
        <v>30195.0</v>
      </c>
      <c r="D987" s="9" t="s">
        <v>52</v>
      </c>
      <c r="E987" s="9" t="s">
        <v>53</v>
      </c>
      <c r="F987" s="9">
        <v>182951.0</v>
      </c>
      <c r="G987" s="9">
        <v>1.180046721E7</v>
      </c>
      <c r="H987" s="9">
        <v>1.660737202E7</v>
      </c>
      <c r="I987" s="9">
        <v>1.151447227E7</v>
      </c>
      <c r="J987" s="9">
        <v>9711.57</v>
      </c>
      <c r="K987" s="9">
        <v>630961.0</v>
      </c>
      <c r="L987" s="9" t="s">
        <v>59</v>
      </c>
      <c r="M987" s="9" t="s">
        <v>55</v>
      </c>
      <c r="N987" s="9">
        <v>1.08535483E7</v>
      </c>
      <c r="O987" s="9">
        <v>1.08535483E7</v>
      </c>
      <c r="R987" s="9" t="s">
        <v>77</v>
      </c>
      <c r="S987" s="9" t="s">
        <v>78</v>
      </c>
      <c r="T987" s="9" t="s">
        <v>79</v>
      </c>
      <c r="U987" s="9" t="s">
        <v>80</v>
      </c>
    </row>
    <row r="988" ht="15.75" customHeight="1">
      <c r="A988" s="9">
        <v>2146161.0</v>
      </c>
      <c r="B988" s="9">
        <v>703493.0</v>
      </c>
      <c r="C988" s="9">
        <v>31323.0</v>
      </c>
      <c r="D988" s="9" t="s">
        <v>52</v>
      </c>
      <c r="E988" s="9" t="s">
        <v>53</v>
      </c>
      <c r="F988" s="9">
        <v>110044.0</v>
      </c>
      <c r="G988" s="9">
        <v>781690.08</v>
      </c>
      <c r="H988" s="9">
        <v>781690.08</v>
      </c>
      <c r="I988" s="9">
        <v>0.0</v>
      </c>
      <c r="J988" s="9">
        <v>0.0</v>
      </c>
      <c r="K988" s="9">
        <v>0.0</v>
      </c>
      <c r="L988" s="9" t="s">
        <v>54</v>
      </c>
      <c r="M988" s="9" t="s">
        <v>55</v>
      </c>
      <c r="R988" s="9" t="s">
        <v>56</v>
      </c>
      <c r="S988" s="9" t="s">
        <v>57</v>
      </c>
      <c r="T988" s="9" t="s">
        <v>58</v>
      </c>
      <c r="V988" s="9">
        <v>629760.33</v>
      </c>
      <c r="W988" s="9">
        <v>0.0</v>
      </c>
      <c r="X988" s="9">
        <v>0.0</v>
      </c>
    </row>
    <row r="989" ht="15.75" customHeight="1">
      <c r="A989" s="9">
        <v>2146648.0</v>
      </c>
      <c r="B989" s="9">
        <v>1154477.0</v>
      </c>
      <c r="C989" s="9">
        <v>30915.0</v>
      </c>
      <c r="D989" s="9" t="s">
        <v>52</v>
      </c>
      <c r="E989" s="9" t="s">
        <v>53</v>
      </c>
      <c r="F989" s="9">
        <v>117374.0</v>
      </c>
      <c r="G989" s="9">
        <v>965204.28</v>
      </c>
      <c r="H989" s="9">
        <v>965204.28</v>
      </c>
      <c r="I989" s="9">
        <v>23748.47</v>
      </c>
      <c r="J989" s="9">
        <v>0.0</v>
      </c>
      <c r="K989" s="9">
        <v>0.0</v>
      </c>
      <c r="L989" s="9" t="s">
        <v>54</v>
      </c>
      <c r="M989" s="9" t="s">
        <v>55</v>
      </c>
      <c r="N989" s="9">
        <v>857110.0</v>
      </c>
      <c r="O989" s="9">
        <v>857110.0</v>
      </c>
      <c r="P989" s="9">
        <v>0.0</v>
      </c>
      <c r="Q989" s="9">
        <v>0.0</v>
      </c>
      <c r="R989" s="9" t="s">
        <v>60</v>
      </c>
      <c r="S989" s="9" t="s">
        <v>57</v>
      </c>
      <c r="T989" s="9" t="s">
        <v>61</v>
      </c>
      <c r="V989" s="9">
        <v>904504.12</v>
      </c>
      <c r="W989" s="9">
        <v>0.0</v>
      </c>
      <c r="X989" s="9">
        <v>0.0</v>
      </c>
    </row>
    <row r="990" ht="15.75" customHeight="1">
      <c r="A990" s="9">
        <v>2147933.0</v>
      </c>
      <c r="B990" s="9">
        <v>5612842.0</v>
      </c>
      <c r="C990" s="9">
        <v>39163.0</v>
      </c>
      <c r="D990" s="9" t="s">
        <v>52</v>
      </c>
      <c r="E990" s="9" t="s">
        <v>52</v>
      </c>
      <c r="F990" s="9">
        <v>127270.0</v>
      </c>
      <c r="G990" s="9">
        <v>5612842.0</v>
      </c>
      <c r="H990" s="9">
        <v>5612842.0</v>
      </c>
      <c r="I990" s="9">
        <v>0.0</v>
      </c>
      <c r="J990" s="9">
        <v>0.0</v>
      </c>
      <c r="K990" s="9">
        <v>0.0</v>
      </c>
      <c r="L990" s="9" t="s">
        <v>54</v>
      </c>
      <c r="M990" s="9" t="s">
        <v>116</v>
      </c>
      <c r="R990" s="9" t="s">
        <v>117</v>
      </c>
      <c r="S990" s="9" t="s">
        <v>57</v>
      </c>
      <c r="T990" s="9" t="s">
        <v>118</v>
      </c>
    </row>
    <row r="991" ht="15.75" customHeight="1">
      <c r="A991" s="9">
        <v>2116846.0</v>
      </c>
      <c r="B991" s="9">
        <v>1.6895538E7</v>
      </c>
      <c r="C991" s="9">
        <v>39369.0</v>
      </c>
      <c r="D991" s="9" t="s">
        <v>52</v>
      </c>
      <c r="E991" s="9" t="s">
        <v>53</v>
      </c>
      <c r="F991" s="9">
        <v>12713.0</v>
      </c>
      <c r="G991" s="9">
        <v>1.832308227E7</v>
      </c>
      <c r="H991" s="9">
        <v>1.85016343E7</v>
      </c>
      <c r="I991" s="9">
        <v>1.7948881E7</v>
      </c>
      <c r="J991" s="9">
        <v>0.0</v>
      </c>
      <c r="K991" s="9">
        <v>0.0</v>
      </c>
      <c r="L991" s="9" t="s">
        <v>59</v>
      </c>
      <c r="M991" s="9" t="s">
        <v>62</v>
      </c>
      <c r="R991" s="9" t="s">
        <v>56</v>
      </c>
      <c r="S991" s="9" t="s">
        <v>57</v>
      </c>
      <c r="T991" s="9" t="s">
        <v>58</v>
      </c>
    </row>
    <row r="992" ht="15.75" customHeight="1">
      <c r="A992" s="9">
        <v>2117573.0</v>
      </c>
      <c r="B992" s="9">
        <v>665698.0</v>
      </c>
      <c r="C992" s="9">
        <v>31113.0</v>
      </c>
      <c r="D992" s="9" t="s">
        <v>52</v>
      </c>
      <c r="E992" s="9" t="s">
        <v>53</v>
      </c>
      <c r="F992" s="9">
        <v>147693.0</v>
      </c>
      <c r="G992" s="9">
        <v>731120.7</v>
      </c>
      <c r="H992" s="9">
        <v>731120.7</v>
      </c>
      <c r="I992" s="9">
        <v>709120.82</v>
      </c>
      <c r="J992" s="9">
        <v>0.0</v>
      </c>
      <c r="K992" s="9">
        <v>0.0</v>
      </c>
      <c r="L992" s="9" t="s">
        <v>69</v>
      </c>
      <c r="M992" s="9" t="s">
        <v>55</v>
      </c>
      <c r="R992" s="9" t="s">
        <v>60</v>
      </c>
      <c r="S992" s="9" t="s">
        <v>57</v>
      </c>
      <c r="T992" s="9" t="s">
        <v>61</v>
      </c>
      <c r="V992" s="9">
        <v>652741.88</v>
      </c>
      <c r="W992" s="9">
        <v>0.0</v>
      </c>
      <c r="X992" s="9">
        <v>0.0</v>
      </c>
    </row>
    <row r="993" ht="15.75" customHeight="1">
      <c r="A993" s="9">
        <v>2118307.0</v>
      </c>
      <c r="B993" s="9">
        <v>1215078.0</v>
      </c>
      <c r="C993" s="9">
        <v>31070.0</v>
      </c>
      <c r="D993" s="9" t="s">
        <v>52</v>
      </c>
      <c r="E993" s="9" t="s">
        <v>53</v>
      </c>
      <c r="F993" s="9">
        <v>135414.0</v>
      </c>
      <c r="G993" s="9">
        <v>1463385.5</v>
      </c>
      <c r="H993" s="9">
        <v>1463385.5</v>
      </c>
      <c r="I993" s="9">
        <v>1463384.31</v>
      </c>
      <c r="J993" s="9">
        <v>0.0</v>
      </c>
      <c r="K993" s="9">
        <v>0.0</v>
      </c>
      <c r="L993" s="9" t="s">
        <v>69</v>
      </c>
      <c r="M993" s="9" t="s">
        <v>55</v>
      </c>
      <c r="R993" s="9" t="s">
        <v>60</v>
      </c>
      <c r="S993" s="9" t="s">
        <v>57</v>
      </c>
      <c r="T993" s="9" t="s">
        <v>61</v>
      </c>
      <c r="V993" s="9">
        <v>1209365.32</v>
      </c>
      <c r="W993" s="9">
        <v>0.0</v>
      </c>
      <c r="X993" s="9">
        <v>0.0</v>
      </c>
    </row>
    <row r="994" ht="15.75" customHeight="1">
      <c r="A994" s="9">
        <v>2121717.0</v>
      </c>
      <c r="B994" s="9">
        <v>5999324.0</v>
      </c>
      <c r="C994" s="9">
        <v>29895.0</v>
      </c>
      <c r="D994" s="9" t="s">
        <v>52</v>
      </c>
      <c r="E994" s="9" t="s">
        <v>53</v>
      </c>
      <c r="F994" s="9">
        <v>143362.0</v>
      </c>
      <c r="G994" s="9">
        <v>7217970.95</v>
      </c>
      <c r="H994" s="9">
        <v>7217970.95</v>
      </c>
      <c r="I994" s="9">
        <v>6611325.0</v>
      </c>
      <c r="J994" s="9">
        <v>0.0</v>
      </c>
      <c r="K994" s="9">
        <v>0.0</v>
      </c>
      <c r="L994" s="9" t="s">
        <v>69</v>
      </c>
      <c r="M994" s="9" t="s">
        <v>55</v>
      </c>
      <c r="N994" s="9">
        <v>7079125.95</v>
      </c>
      <c r="O994" s="9">
        <v>6479200.0</v>
      </c>
      <c r="P994" s="9">
        <v>7079125.95</v>
      </c>
      <c r="Q994" s="9">
        <v>132125.0</v>
      </c>
      <c r="R994" s="9" t="s">
        <v>60</v>
      </c>
      <c r="S994" s="9" t="s">
        <v>57</v>
      </c>
      <c r="T994" s="9" t="s">
        <v>61</v>
      </c>
      <c r="V994" s="9">
        <v>6479200.0</v>
      </c>
      <c r="W994" s="9">
        <v>132125.0</v>
      </c>
      <c r="X994" s="9">
        <v>0.0</v>
      </c>
    </row>
    <row r="995" ht="15.75" customHeight="1">
      <c r="A995" s="9">
        <v>2123762.0</v>
      </c>
      <c r="B995" s="9">
        <v>1.1999474E7</v>
      </c>
      <c r="C995" s="9">
        <v>30608.0</v>
      </c>
      <c r="D995" s="9" t="s">
        <v>52</v>
      </c>
      <c r="E995" s="9" t="s">
        <v>53</v>
      </c>
      <c r="F995" s="9">
        <v>110557.0</v>
      </c>
      <c r="G995" s="9">
        <v>1.308800595E7</v>
      </c>
      <c r="H995" s="9">
        <v>1.308800595E7</v>
      </c>
      <c r="I995" s="9">
        <v>1.268309394E7</v>
      </c>
      <c r="J995" s="9">
        <v>0.0</v>
      </c>
      <c r="K995" s="9">
        <v>0.0</v>
      </c>
      <c r="L995" s="9" t="s">
        <v>69</v>
      </c>
      <c r="M995" s="9" t="s">
        <v>55</v>
      </c>
      <c r="N995" s="9">
        <v>1.169569396E7</v>
      </c>
      <c r="O995" s="9">
        <v>1.169469466E7</v>
      </c>
      <c r="P995" s="9">
        <v>857557.56</v>
      </c>
      <c r="Q995" s="9">
        <v>857557.56</v>
      </c>
      <c r="R995" s="9" t="s">
        <v>60</v>
      </c>
      <c r="S995" s="9" t="s">
        <v>57</v>
      </c>
      <c r="T995" s="9" t="s">
        <v>61</v>
      </c>
      <c r="V995" s="9">
        <v>1.167813754E7</v>
      </c>
      <c r="W995" s="9">
        <v>985096.94</v>
      </c>
      <c r="X995" s="9">
        <v>0.0</v>
      </c>
    </row>
    <row r="996" ht="15.75" customHeight="1">
      <c r="A996" s="9">
        <v>2125025.0</v>
      </c>
      <c r="B996" s="9">
        <v>359816.2</v>
      </c>
      <c r="C996" s="9">
        <v>26616.0</v>
      </c>
      <c r="D996" s="9" t="s">
        <v>52</v>
      </c>
      <c r="E996" s="9" t="s">
        <v>53</v>
      </c>
      <c r="F996" s="9">
        <v>124037.0</v>
      </c>
      <c r="G996" s="9">
        <v>502864.85</v>
      </c>
      <c r="H996" s="9">
        <v>502864.85</v>
      </c>
      <c r="I996" s="9">
        <v>474938.0</v>
      </c>
      <c r="J996" s="9">
        <v>0.0</v>
      </c>
      <c r="K996" s="9">
        <v>0.0</v>
      </c>
      <c r="L996" s="9" t="s">
        <v>69</v>
      </c>
      <c r="M996" s="9" t="s">
        <v>55</v>
      </c>
      <c r="N996" s="9">
        <v>474938.46</v>
      </c>
      <c r="O996" s="9">
        <v>474938.46</v>
      </c>
      <c r="P996" s="9">
        <v>21847.0</v>
      </c>
      <c r="Q996" s="9">
        <v>21847.0</v>
      </c>
      <c r="R996" s="9" t="s">
        <v>60</v>
      </c>
      <c r="S996" s="9" t="s">
        <v>57</v>
      </c>
      <c r="T996" s="9" t="s">
        <v>61</v>
      </c>
      <c r="V996" s="9">
        <v>474938.0</v>
      </c>
      <c r="W996" s="9">
        <v>0.0</v>
      </c>
      <c r="X996" s="9">
        <v>0.0</v>
      </c>
    </row>
    <row r="997" ht="15.75" customHeight="1">
      <c r="A997" s="9">
        <v>2125261.0</v>
      </c>
      <c r="B997" s="9">
        <v>1780096.0</v>
      </c>
      <c r="C997" s="9">
        <v>30795.0</v>
      </c>
      <c r="D997" s="9" t="s">
        <v>52</v>
      </c>
      <c r="E997" s="9" t="s">
        <v>53</v>
      </c>
      <c r="F997" s="9">
        <v>101026.0</v>
      </c>
      <c r="G997" s="9">
        <v>1962884.87</v>
      </c>
      <c r="H997" s="9">
        <v>1962884.87</v>
      </c>
      <c r="I997" s="9">
        <v>1949933.26</v>
      </c>
      <c r="J997" s="9">
        <v>0.0</v>
      </c>
      <c r="K997" s="9">
        <v>0.0</v>
      </c>
      <c r="L997" s="9" t="s">
        <v>59</v>
      </c>
      <c r="M997" s="9" t="s">
        <v>55</v>
      </c>
      <c r="N997" s="9">
        <v>1864884.87</v>
      </c>
      <c r="O997" s="9">
        <v>1864884.87</v>
      </c>
      <c r="R997" s="9" t="s">
        <v>60</v>
      </c>
      <c r="S997" s="9" t="s">
        <v>57</v>
      </c>
      <c r="T997" s="9" t="s">
        <v>61</v>
      </c>
      <c r="V997" s="9">
        <v>1863280.49</v>
      </c>
      <c r="W997" s="9">
        <v>0.0</v>
      </c>
      <c r="X997" s="9">
        <v>0.0</v>
      </c>
    </row>
    <row r="998" ht="15.75" customHeight="1">
      <c r="A998" s="9">
        <v>2125268.0</v>
      </c>
      <c r="B998" s="9">
        <v>5974743.0</v>
      </c>
      <c r="C998" s="9">
        <v>29950.0</v>
      </c>
      <c r="D998" s="9" t="s">
        <v>52</v>
      </c>
      <c r="E998" s="9" t="s">
        <v>53</v>
      </c>
      <c r="F998" s="9">
        <v>147727.0</v>
      </c>
      <c r="G998" s="9">
        <v>5974743.0</v>
      </c>
      <c r="H998" s="9">
        <v>5974743.0</v>
      </c>
      <c r="I998" s="9">
        <v>1868098.4</v>
      </c>
      <c r="J998" s="9">
        <v>0.0</v>
      </c>
      <c r="K998" s="9">
        <v>0.0</v>
      </c>
      <c r="L998" s="9" t="s">
        <v>69</v>
      </c>
      <c r="M998" s="9" t="s">
        <v>55</v>
      </c>
      <c r="N998" s="9">
        <v>5298831.29</v>
      </c>
      <c r="O998" s="9">
        <v>5298831.29</v>
      </c>
      <c r="P998" s="9">
        <v>423906.5</v>
      </c>
      <c r="Q998" s="9">
        <v>423906.5</v>
      </c>
      <c r="R998" s="9" t="s">
        <v>60</v>
      </c>
      <c r="S998" s="9" t="s">
        <v>57</v>
      </c>
      <c r="T998" s="9" t="s">
        <v>61</v>
      </c>
      <c r="V998" s="9">
        <v>2841565.0</v>
      </c>
      <c r="W998" s="9">
        <v>145805.84</v>
      </c>
      <c r="X998" s="9">
        <v>0.0</v>
      </c>
    </row>
    <row r="999" ht="15.75" customHeight="1">
      <c r="A999" s="9">
        <v>2134283.0</v>
      </c>
      <c r="B999" s="9">
        <v>3136491.0</v>
      </c>
      <c r="C999" s="9">
        <v>30801.0</v>
      </c>
      <c r="D999" s="9" t="s">
        <v>52</v>
      </c>
      <c r="E999" s="9" t="s">
        <v>53</v>
      </c>
      <c r="F999" s="9">
        <v>135315.0</v>
      </c>
      <c r="G999" s="9">
        <v>4917128.88</v>
      </c>
      <c r="H999" s="9">
        <v>4917128.88</v>
      </c>
      <c r="I999" s="9">
        <v>579633.0</v>
      </c>
      <c r="J999" s="9">
        <v>0.0</v>
      </c>
      <c r="K999" s="9">
        <v>0.0</v>
      </c>
      <c r="L999" s="9" t="s">
        <v>54</v>
      </c>
      <c r="M999" s="9" t="s">
        <v>55</v>
      </c>
      <c r="N999" s="9">
        <v>3857466.52</v>
      </c>
      <c r="O999" s="9">
        <v>3829071.21</v>
      </c>
      <c r="P999" s="9">
        <v>122148.01</v>
      </c>
      <c r="Q999" s="9">
        <v>122140.0</v>
      </c>
      <c r="R999" s="9" t="s">
        <v>56</v>
      </c>
      <c r="S999" s="9" t="s">
        <v>57</v>
      </c>
      <c r="T999" s="9" t="s">
        <v>58</v>
      </c>
      <c r="V999" s="9">
        <v>4377517.6</v>
      </c>
      <c r="W999" s="9">
        <v>0.0</v>
      </c>
      <c r="X999" s="9">
        <v>0.0</v>
      </c>
    </row>
    <row r="1000" ht="15.75" customHeight="1">
      <c r="A1000" s="9">
        <v>2134626.0</v>
      </c>
      <c r="B1000" s="9">
        <v>4031235.0</v>
      </c>
      <c r="C1000" s="9">
        <v>30833.0</v>
      </c>
      <c r="D1000" s="9" t="s">
        <v>52</v>
      </c>
      <c r="E1000" s="9" t="s">
        <v>53</v>
      </c>
      <c r="F1000" s="9">
        <v>176896.0</v>
      </c>
      <c r="G1000" s="9">
        <v>4139412.0</v>
      </c>
      <c r="H1000" s="9">
        <v>4139412.0</v>
      </c>
      <c r="I1000" s="9">
        <v>4129380.83</v>
      </c>
      <c r="J1000" s="9">
        <v>0.0</v>
      </c>
      <c r="K1000" s="9">
        <v>0.0</v>
      </c>
      <c r="L1000" s="9" t="s">
        <v>59</v>
      </c>
      <c r="M1000" s="9" t="s">
        <v>55</v>
      </c>
      <c r="N1000" s="9">
        <v>3912773.04</v>
      </c>
      <c r="O1000" s="9">
        <v>3912773.04</v>
      </c>
      <c r="P1000" s="9">
        <v>116746.92</v>
      </c>
      <c r="Q1000" s="9">
        <v>116746.92</v>
      </c>
      <c r="R1000" s="9" t="s">
        <v>60</v>
      </c>
      <c r="S1000" s="9" t="s">
        <v>57</v>
      </c>
      <c r="T1000" s="9" t="s">
        <v>61</v>
      </c>
      <c r="V1000" s="9">
        <v>3912773.04</v>
      </c>
      <c r="W1000" s="9">
        <v>106716.58</v>
      </c>
      <c r="X1000" s="9">
        <v>0.0</v>
      </c>
    </row>
    <row r="1001" ht="15.75" customHeight="1">
      <c r="A1001" s="9">
        <v>2135421.0</v>
      </c>
      <c r="B1001" s="9">
        <v>483968.53</v>
      </c>
      <c r="C1001" s="9">
        <v>29893.0</v>
      </c>
      <c r="D1001" s="9" t="s">
        <v>52</v>
      </c>
      <c r="E1001" s="9" t="s">
        <v>53</v>
      </c>
      <c r="F1001" s="9">
        <v>177416.0</v>
      </c>
      <c r="G1001" s="9">
        <v>605535.81</v>
      </c>
      <c r="H1001" s="9">
        <v>605535.81</v>
      </c>
      <c r="I1001" s="9">
        <v>509988.52</v>
      </c>
      <c r="J1001" s="9">
        <v>0.0</v>
      </c>
      <c r="K1001" s="9">
        <v>0.0</v>
      </c>
      <c r="L1001" s="9" t="s">
        <v>69</v>
      </c>
      <c r="M1001" s="9" t="s">
        <v>55</v>
      </c>
      <c r="N1001" s="9">
        <v>0.0</v>
      </c>
      <c r="O1001" s="9">
        <v>490497.05</v>
      </c>
      <c r="R1001" s="9" t="s">
        <v>60</v>
      </c>
      <c r="S1001" s="9" t="s">
        <v>57</v>
      </c>
      <c r="T1001" s="9" t="s">
        <v>61</v>
      </c>
      <c r="V1001" s="9">
        <v>486993.8</v>
      </c>
      <c r="W1001" s="9">
        <v>15644.72</v>
      </c>
      <c r="X1001" s="9">
        <v>0.0</v>
      </c>
    </row>
    <row r="1002" ht="15.75" customHeight="1">
      <c r="A1002" s="9">
        <v>2135832.0</v>
      </c>
      <c r="B1002" s="9">
        <v>3505966.0</v>
      </c>
      <c r="C1002" s="9">
        <v>30031.0</v>
      </c>
      <c r="D1002" s="9" t="s">
        <v>52</v>
      </c>
      <c r="E1002" s="9" t="s">
        <v>53</v>
      </c>
      <c r="F1002" s="9">
        <v>177427.0</v>
      </c>
      <c r="G1002" s="9">
        <v>3748564.03</v>
      </c>
      <c r="H1002" s="9">
        <v>3748564.03</v>
      </c>
      <c r="I1002" s="9">
        <v>3686259.83</v>
      </c>
      <c r="J1002" s="9">
        <v>0.0</v>
      </c>
      <c r="K1002" s="9">
        <v>0.0</v>
      </c>
      <c r="L1002" s="9" t="s">
        <v>69</v>
      </c>
      <c r="M1002" s="9" t="s">
        <v>55</v>
      </c>
      <c r="N1002" s="9">
        <v>3532665.86</v>
      </c>
      <c r="O1002" s="9">
        <v>3532665.86</v>
      </c>
      <c r="P1002" s="9">
        <v>0.0</v>
      </c>
      <c r="Q1002" s="9">
        <v>0.0</v>
      </c>
      <c r="R1002" s="9" t="s">
        <v>60</v>
      </c>
      <c r="S1002" s="9" t="s">
        <v>57</v>
      </c>
      <c r="T1002" s="9" t="s">
        <v>61</v>
      </c>
      <c r="V1002" s="9">
        <v>3684457.45</v>
      </c>
      <c r="W1002" s="9">
        <v>153594.17</v>
      </c>
      <c r="X1002" s="9">
        <v>0.0</v>
      </c>
    </row>
    <row r="1003" ht="15.75" customHeight="1">
      <c r="A1003" s="9">
        <v>2139397.0</v>
      </c>
      <c r="B1003" s="9">
        <v>1494795.0</v>
      </c>
      <c r="C1003" s="9">
        <v>30835.0</v>
      </c>
      <c r="D1003" s="9" t="s">
        <v>52</v>
      </c>
      <c r="E1003" s="9" t="s">
        <v>53</v>
      </c>
      <c r="F1003" s="9">
        <v>175779.0</v>
      </c>
      <c r="G1003" s="9">
        <v>1524795.0</v>
      </c>
      <c r="H1003" s="9">
        <v>1524795.0</v>
      </c>
      <c r="I1003" s="9">
        <v>1513609.25</v>
      </c>
      <c r="J1003" s="9">
        <v>0.0</v>
      </c>
      <c r="K1003" s="9">
        <v>0.0</v>
      </c>
      <c r="L1003" s="9" t="s">
        <v>69</v>
      </c>
      <c r="M1003" s="9" t="s">
        <v>55</v>
      </c>
      <c r="R1003" s="9" t="s">
        <v>75</v>
      </c>
      <c r="S1003" s="9" t="s">
        <v>57</v>
      </c>
      <c r="T1003" s="9" t="s">
        <v>76</v>
      </c>
      <c r="V1003" s="9">
        <v>0.0</v>
      </c>
      <c r="W1003" s="9">
        <v>0.0</v>
      </c>
      <c r="X1003" s="9">
        <v>0.0</v>
      </c>
    </row>
    <row r="1004" ht="15.75" customHeight="1">
      <c r="A1004" s="9">
        <v>2140642.0</v>
      </c>
      <c r="B1004" s="9">
        <v>380992.73</v>
      </c>
      <c r="C1004" s="9">
        <v>30085.0</v>
      </c>
      <c r="D1004" s="9" t="s">
        <v>52</v>
      </c>
      <c r="E1004" s="9" t="s">
        <v>53</v>
      </c>
      <c r="F1004" s="9">
        <v>181190.0</v>
      </c>
      <c r="G1004" s="9">
        <v>532399.87</v>
      </c>
      <c r="H1004" s="9">
        <v>532399.87</v>
      </c>
      <c r="I1004" s="9">
        <v>532399.64</v>
      </c>
      <c r="J1004" s="9">
        <v>0.0</v>
      </c>
      <c r="K1004" s="9">
        <v>0.0</v>
      </c>
      <c r="L1004" s="9" t="s">
        <v>59</v>
      </c>
      <c r="M1004" s="9" t="s">
        <v>55</v>
      </c>
      <c r="N1004" s="9">
        <v>502399.87</v>
      </c>
      <c r="O1004" s="9">
        <v>502399.87</v>
      </c>
      <c r="P1004" s="9">
        <v>15000.0</v>
      </c>
      <c r="Q1004" s="9">
        <v>15000.0</v>
      </c>
      <c r="R1004" s="9" t="s">
        <v>56</v>
      </c>
      <c r="S1004" s="9" t="s">
        <v>57</v>
      </c>
      <c r="T1004" s="9" t="s">
        <v>58</v>
      </c>
      <c r="V1004" s="9">
        <v>501158.37</v>
      </c>
      <c r="W1004" s="9">
        <v>15000.0</v>
      </c>
      <c r="X1004" s="9">
        <v>0.0</v>
      </c>
    </row>
    <row r="1005" ht="15.75" customHeight="1">
      <c r="A1005" s="9">
        <v>2141680.0</v>
      </c>
      <c r="B1005" s="9">
        <v>5258457.0</v>
      </c>
      <c r="C1005" s="9">
        <v>30566.0</v>
      </c>
      <c r="D1005" s="9" t="s">
        <v>52</v>
      </c>
      <c r="E1005" s="9" t="s">
        <v>53</v>
      </c>
      <c r="F1005" s="9">
        <v>180074.0</v>
      </c>
      <c r="G1005" s="9">
        <v>6108147.54</v>
      </c>
      <c r="H1005" s="9">
        <v>6108147.54</v>
      </c>
      <c r="I1005" s="9">
        <v>5772184.0</v>
      </c>
      <c r="J1005" s="9">
        <v>0.0</v>
      </c>
      <c r="K1005" s="9">
        <v>0.0</v>
      </c>
      <c r="L1005" s="9" t="s">
        <v>69</v>
      </c>
      <c r="M1005" s="9" t="s">
        <v>55</v>
      </c>
      <c r="N1005" s="9">
        <v>5541828.49</v>
      </c>
      <c r="O1005" s="9">
        <v>5541274.31</v>
      </c>
      <c r="R1005" s="9" t="s">
        <v>60</v>
      </c>
      <c r="S1005" s="9" t="s">
        <v>57</v>
      </c>
      <c r="T1005" s="9" t="s">
        <v>61</v>
      </c>
      <c r="V1005" s="9">
        <v>5541274.31</v>
      </c>
      <c r="W1005" s="9">
        <v>230909.52</v>
      </c>
      <c r="X1005" s="9">
        <v>0.0</v>
      </c>
    </row>
    <row r="1006" ht="15.75" customHeight="1">
      <c r="A1006" s="9">
        <v>2142382.0</v>
      </c>
      <c r="B1006" s="9">
        <v>4004100.0</v>
      </c>
      <c r="C1006" s="9">
        <v>30190.0</v>
      </c>
      <c r="D1006" s="9" t="s">
        <v>52</v>
      </c>
      <c r="E1006" s="9" t="s">
        <v>53</v>
      </c>
      <c r="F1006" s="9">
        <v>177321.0</v>
      </c>
      <c r="G1006" s="9">
        <v>4003101.0</v>
      </c>
      <c r="H1006" s="9">
        <v>4508212.4</v>
      </c>
      <c r="I1006" s="9">
        <v>4175742.84</v>
      </c>
      <c r="J1006" s="9">
        <v>0.0</v>
      </c>
      <c r="K1006" s="9">
        <v>0.0</v>
      </c>
      <c r="L1006" s="9" t="s">
        <v>69</v>
      </c>
      <c r="M1006" s="9" t="s">
        <v>55</v>
      </c>
      <c r="N1006" s="9">
        <v>4003101.0</v>
      </c>
      <c r="O1006" s="9">
        <v>4003101.0</v>
      </c>
      <c r="P1006" s="9">
        <v>200155.0</v>
      </c>
      <c r="Q1006" s="9">
        <v>200155.0</v>
      </c>
      <c r="R1006" s="9" t="s">
        <v>60</v>
      </c>
      <c r="S1006" s="9" t="s">
        <v>57</v>
      </c>
      <c r="T1006" s="9" t="s">
        <v>61</v>
      </c>
      <c r="V1006" s="9">
        <v>4575153.83</v>
      </c>
      <c r="W1006" s="9">
        <v>0.0</v>
      </c>
      <c r="X1006" s="9">
        <v>0.0</v>
      </c>
    </row>
    <row r="1007" ht="15.75" customHeight="1">
      <c r="A1007" s="9">
        <v>2143016.0</v>
      </c>
      <c r="B1007" s="9">
        <v>4367222.0</v>
      </c>
      <c r="C1007" s="9">
        <v>30375.0</v>
      </c>
      <c r="D1007" s="9" t="s">
        <v>52</v>
      </c>
      <c r="E1007" s="9" t="s">
        <v>53</v>
      </c>
      <c r="F1007" s="9">
        <v>160688.0</v>
      </c>
      <c r="G1007" s="9">
        <v>4737263.83</v>
      </c>
      <c r="H1007" s="9">
        <v>4737263.83</v>
      </c>
      <c r="I1007" s="9">
        <v>4641862.44</v>
      </c>
      <c r="J1007" s="9">
        <v>0.0</v>
      </c>
      <c r="K1007" s="9">
        <v>0.0</v>
      </c>
      <c r="L1007" s="9" t="s">
        <v>59</v>
      </c>
      <c r="M1007" s="9" t="s">
        <v>55</v>
      </c>
      <c r="N1007" s="9">
        <v>4463250.56</v>
      </c>
      <c r="O1007" s="9">
        <v>4462862.44</v>
      </c>
      <c r="P1007" s="9">
        <v>164452.86</v>
      </c>
      <c r="Q1007" s="9">
        <v>0.0</v>
      </c>
      <c r="R1007" s="9" t="s">
        <v>60</v>
      </c>
      <c r="S1007" s="9" t="s">
        <v>57</v>
      </c>
      <c r="T1007" s="9" t="s">
        <v>61</v>
      </c>
      <c r="V1007" s="9">
        <v>4462862.44</v>
      </c>
      <c r="W1007" s="9">
        <v>164000.0</v>
      </c>
      <c r="X1007" s="9">
        <v>0.0</v>
      </c>
    </row>
    <row r="1008" ht="15.75" customHeight="1">
      <c r="A1008" s="9">
        <v>2143218.0</v>
      </c>
      <c r="B1008" s="9">
        <v>2266768.0</v>
      </c>
      <c r="C1008" s="9">
        <v>31980.0</v>
      </c>
      <c r="D1008" s="9" t="s">
        <v>52</v>
      </c>
      <c r="E1008" s="9" t="s">
        <v>53</v>
      </c>
      <c r="F1008" s="9">
        <v>158850.0</v>
      </c>
      <c r="G1008" s="9">
        <v>3154384.87</v>
      </c>
      <c r="H1008" s="9">
        <v>4.480845415E7</v>
      </c>
      <c r="I1008" s="9">
        <v>3135489.91</v>
      </c>
      <c r="J1008" s="9">
        <v>0.0</v>
      </c>
      <c r="K1008" s="9">
        <v>0.0</v>
      </c>
      <c r="L1008" s="9" t="s">
        <v>59</v>
      </c>
      <c r="M1008" s="9" t="s">
        <v>55</v>
      </c>
      <c r="N1008" s="9">
        <v>3044844.95</v>
      </c>
      <c r="O1008" s="9">
        <v>3044844.95</v>
      </c>
      <c r="P1008" s="9">
        <v>69740.05</v>
      </c>
      <c r="Q1008" s="9">
        <v>69740.05</v>
      </c>
      <c r="R1008" s="9" t="s">
        <v>77</v>
      </c>
      <c r="S1008" s="9" t="s">
        <v>78</v>
      </c>
      <c r="T1008" s="9" t="s">
        <v>79</v>
      </c>
      <c r="U1008" s="9" t="s">
        <v>80</v>
      </c>
    </row>
    <row r="1009" ht="15.75" customHeight="1">
      <c r="A1009" s="9">
        <v>2143884.0</v>
      </c>
      <c r="B1009" s="9">
        <v>5250373.0</v>
      </c>
      <c r="C1009" s="9">
        <v>31262.0</v>
      </c>
      <c r="D1009" s="9" t="s">
        <v>52</v>
      </c>
      <c r="E1009" s="9" t="s">
        <v>53</v>
      </c>
      <c r="F1009" s="9">
        <v>92301.0</v>
      </c>
      <c r="G1009" s="9">
        <v>5250373.0</v>
      </c>
      <c r="H1009" s="9">
        <v>5250373.0</v>
      </c>
      <c r="I1009" s="9">
        <v>0.0</v>
      </c>
      <c r="J1009" s="9">
        <v>0.0</v>
      </c>
      <c r="K1009" s="9">
        <v>0.0</v>
      </c>
      <c r="L1009" s="9" t="s">
        <v>54</v>
      </c>
      <c r="M1009" s="9" t="s">
        <v>55</v>
      </c>
      <c r="R1009" s="9" t="s">
        <v>75</v>
      </c>
      <c r="S1009" s="9" t="s">
        <v>57</v>
      </c>
      <c r="T1009" s="9" t="s">
        <v>76</v>
      </c>
    </row>
    <row r="1010" ht="15.75" customHeight="1">
      <c r="A1010" s="9">
        <v>2144179.0</v>
      </c>
      <c r="B1010" s="9">
        <v>4782927.0</v>
      </c>
      <c r="C1010" s="9">
        <v>29981.0</v>
      </c>
      <c r="D1010" s="9" t="s">
        <v>52</v>
      </c>
      <c r="E1010" s="9" t="s">
        <v>53</v>
      </c>
      <c r="F1010" s="9">
        <v>147059.0</v>
      </c>
      <c r="G1010" s="9">
        <v>4533637.0</v>
      </c>
      <c r="H1010" s="9">
        <v>4533637.0</v>
      </c>
      <c r="I1010" s="9">
        <v>4458387.81</v>
      </c>
      <c r="J1010" s="9">
        <v>0.0</v>
      </c>
      <c r="K1010" s="9">
        <v>0.0</v>
      </c>
      <c r="L1010" s="9" t="s">
        <v>59</v>
      </c>
      <c r="M1010" s="9" t="s">
        <v>55</v>
      </c>
      <c r="N1010" s="9">
        <v>4340154.46</v>
      </c>
      <c r="O1010" s="9">
        <v>4340154.46</v>
      </c>
      <c r="P1010" s="9">
        <v>4340154.46</v>
      </c>
      <c r="Q1010" s="9">
        <v>118234.54</v>
      </c>
      <c r="R1010" s="9" t="s">
        <v>60</v>
      </c>
      <c r="S1010" s="9" t="s">
        <v>57</v>
      </c>
      <c r="T1010" s="9" t="s">
        <v>61</v>
      </c>
      <c r="V1010" s="9">
        <v>4340154.46</v>
      </c>
      <c r="W1010" s="9">
        <v>118234.54</v>
      </c>
      <c r="X1010" s="9">
        <v>0.0</v>
      </c>
    </row>
    <row r="1011" ht="15.75" customHeight="1">
      <c r="A1011" s="9">
        <v>2145147.0</v>
      </c>
      <c r="B1011" s="9">
        <v>4423572.0</v>
      </c>
      <c r="C1011" s="9">
        <v>30888.0</v>
      </c>
      <c r="D1011" s="9" t="s">
        <v>52</v>
      </c>
      <c r="E1011" s="9" t="s">
        <v>53</v>
      </c>
      <c r="F1011" s="9">
        <v>178039.0</v>
      </c>
      <c r="G1011" s="9">
        <v>4979011.91</v>
      </c>
      <c r="H1011" s="9">
        <v>4979011.91</v>
      </c>
      <c r="I1011" s="9">
        <v>4858058.64</v>
      </c>
      <c r="J1011" s="9">
        <v>0.0</v>
      </c>
      <c r="K1011" s="9">
        <v>0.0</v>
      </c>
      <c r="L1011" s="9" t="s">
        <v>69</v>
      </c>
      <c r="M1011" s="9" t="s">
        <v>55</v>
      </c>
      <c r="N1011" s="9">
        <v>4731152.71</v>
      </c>
      <c r="O1011" s="9">
        <v>4410396.59</v>
      </c>
      <c r="P1011" s="9">
        <v>0.0</v>
      </c>
      <c r="Q1011" s="9">
        <v>100236.28</v>
      </c>
      <c r="R1011" s="9" t="s">
        <v>60</v>
      </c>
      <c r="S1011" s="9" t="s">
        <v>57</v>
      </c>
      <c r="T1011" s="9" t="s">
        <v>61</v>
      </c>
      <c r="V1011" s="9">
        <v>4410377.9</v>
      </c>
      <c r="W1011" s="9">
        <v>100236.28</v>
      </c>
      <c r="X1011" s="9">
        <v>0.0</v>
      </c>
    </row>
    <row r="1012" ht="15.75" customHeight="1">
      <c r="A1012" s="9">
        <v>2148464.0</v>
      </c>
      <c r="B1012" s="9">
        <v>5999792.0</v>
      </c>
      <c r="C1012" s="9">
        <v>29521.0</v>
      </c>
      <c r="D1012" s="9" t="s">
        <v>52</v>
      </c>
      <c r="E1012" s="9" t="s">
        <v>53</v>
      </c>
      <c r="F1012" s="9">
        <v>173959.0</v>
      </c>
      <c r="G1012" s="9">
        <v>7630049.78</v>
      </c>
      <c r="H1012" s="9">
        <v>7630049.78</v>
      </c>
      <c r="I1012" s="9">
        <v>7586009.59</v>
      </c>
      <c r="J1012" s="9">
        <v>0.0</v>
      </c>
      <c r="K1012" s="9">
        <v>0.0</v>
      </c>
      <c r="L1012" s="9" t="s">
        <v>69</v>
      </c>
      <c r="M1012" s="9" t="s">
        <v>55</v>
      </c>
      <c r="N1012" s="9">
        <v>7292298.52</v>
      </c>
      <c r="O1012" s="9">
        <v>6545000.0</v>
      </c>
      <c r="P1012" s="9">
        <v>261137.4</v>
      </c>
      <c r="Q1012" s="9">
        <v>261137.4</v>
      </c>
      <c r="R1012" s="9" t="s">
        <v>60</v>
      </c>
      <c r="S1012" s="9" t="s">
        <v>57</v>
      </c>
      <c r="T1012" s="9" t="s">
        <v>61</v>
      </c>
      <c r="V1012" s="9">
        <v>7313872.19</v>
      </c>
      <c r="W1012" s="9">
        <v>261137.4</v>
      </c>
      <c r="X1012" s="9">
        <v>0.0</v>
      </c>
    </row>
    <row r="1013" ht="15.75" customHeight="1">
      <c r="A1013" s="9">
        <v>2074310.0</v>
      </c>
      <c r="B1013" s="9">
        <v>2101267.0</v>
      </c>
      <c r="C1013" s="9">
        <v>30420.0</v>
      </c>
      <c r="D1013" s="9" t="s">
        <v>52</v>
      </c>
      <c r="E1013" s="9" t="s">
        <v>53</v>
      </c>
      <c r="F1013" s="9">
        <v>84795.0</v>
      </c>
      <c r="G1013" s="9">
        <v>2310000.0</v>
      </c>
      <c r="H1013" s="9">
        <v>2310000.0</v>
      </c>
      <c r="I1013" s="9">
        <v>2119917.87</v>
      </c>
      <c r="J1013" s="9">
        <v>0.0</v>
      </c>
      <c r="K1013" s="9">
        <v>0.0</v>
      </c>
      <c r="L1013" s="9" t="s">
        <v>59</v>
      </c>
      <c r="M1013" s="9" t="s">
        <v>55</v>
      </c>
      <c r="N1013" s="9">
        <v>2200856.0</v>
      </c>
      <c r="O1013" s="9">
        <v>2200856.0</v>
      </c>
      <c r="P1013" s="9">
        <v>2200856.0</v>
      </c>
      <c r="Q1013" s="9">
        <v>49609.0</v>
      </c>
      <c r="R1013" s="9" t="s">
        <v>60</v>
      </c>
      <c r="S1013" s="9" t="s">
        <v>57</v>
      </c>
      <c r="T1013" s="9" t="s">
        <v>61</v>
      </c>
      <c r="V1013" s="9">
        <v>2200856.0</v>
      </c>
      <c r="W1013" s="9">
        <v>0.0</v>
      </c>
      <c r="X1013" s="9">
        <v>0.0</v>
      </c>
    </row>
    <row r="1014" ht="15.75" customHeight="1">
      <c r="A1014" s="9">
        <v>2077243.0</v>
      </c>
      <c r="B1014" s="9">
        <v>5903197.0</v>
      </c>
      <c r="C1014" s="9">
        <v>30254.0</v>
      </c>
      <c r="D1014" s="9" t="s">
        <v>52</v>
      </c>
      <c r="E1014" s="9" t="s">
        <v>53</v>
      </c>
      <c r="F1014" s="9">
        <v>93268.0</v>
      </c>
      <c r="G1014" s="9">
        <v>6469875.4</v>
      </c>
      <c r="H1014" s="9">
        <v>6469875.4</v>
      </c>
      <c r="I1014" s="9">
        <v>6469874.68</v>
      </c>
      <c r="J1014" s="9">
        <v>0.0</v>
      </c>
      <c r="K1014" s="9">
        <v>0.0</v>
      </c>
      <c r="L1014" s="9" t="s">
        <v>69</v>
      </c>
      <c r="M1014" s="9" t="s">
        <v>55</v>
      </c>
      <c r="N1014" s="9">
        <v>6011216.88</v>
      </c>
      <c r="O1014" s="9">
        <v>6011216.88</v>
      </c>
      <c r="P1014" s="9">
        <v>222530.52</v>
      </c>
      <c r="Q1014" s="9">
        <v>218080.0</v>
      </c>
      <c r="R1014" s="9" t="s">
        <v>60</v>
      </c>
      <c r="S1014" s="9" t="s">
        <v>57</v>
      </c>
      <c r="T1014" s="9" t="s">
        <v>61</v>
      </c>
      <c r="V1014" s="9">
        <v>6021992.84</v>
      </c>
      <c r="W1014" s="9">
        <v>224332.63</v>
      </c>
      <c r="X1014" s="9">
        <v>0.0</v>
      </c>
    </row>
    <row r="1015" ht="15.75" customHeight="1">
      <c r="A1015" s="9">
        <v>2077252.0</v>
      </c>
      <c r="B1015" s="9">
        <v>1857867.0</v>
      </c>
      <c r="C1015" s="9">
        <v>30052.0</v>
      </c>
      <c r="D1015" s="9" t="s">
        <v>52</v>
      </c>
      <c r="E1015" s="9" t="s">
        <v>53</v>
      </c>
      <c r="F1015" s="9">
        <v>93285.0</v>
      </c>
      <c r="G1015" s="9">
        <v>2025259.74</v>
      </c>
      <c r="H1015" s="9">
        <v>2025259.74</v>
      </c>
      <c r="I1015" s="9">
        <v>7645.0</v>
      </c>
      <c r="J1015" s="9">
        <v>0.0</v>
      </c>
      <c r="K1015" s="9">
        <v>0.0</v>
      </c>
      <c r="L1015" s="9" t="s">
        <v>59</v>
      </c>
      <c r="M1015" s="9" t="s">
        <v>55</v>
      </c>
      <c r="N1015" s="9">
        <v>1898995.25</v>
      </c>
      <c r="O1015" s="9">
        <v>0.0</v>
      </c>
      <c r="P1015" s="9">
        <v>1898995.25</v>
      </c>
      <c r="Q1015" s="9">
        <v>79789.71</v>
      </c>
      <c r="R1015" s="9" t="s">
        <v>60</v>
      </c>
      <c r="S1015" s="9" t="s">
        <v>57</v>
      </c>
      <c r="T1015" s="9" t="s">
        <v>61</v>
      </c>
      <c r="V1015" s="9">
        <v>1796579.47</v>
      </c>
      <c r="W1015" s="9">
        <v>79749.81</v>
      </c>
      <c r="X1015" s="9">
        <v>0.0</v>
      </c>
    </row>
    <row r="1016" ht="15.75" customHeight="1">
      <c r="A1016" s="9">
        <v>2079015.0</v>
      </c>
      <c r="B1016" s="9">
        <v>8628416.0</v>
      </c>
      <c r="C1016" s="9">
        <v>30522.0</v>
      </c>
      <c r="D1016" s="9" t="s">
        <v>52</v>
      </c>
      <c r="E1016" s="9" t="s">
        <v>53</v>
      </c>
      <c r="F1016" s="9">
        <v>91948.0</v>
      </c>
      <c r="G1016" s="9">
        <v>1.0351869E7</v>
      </c>
      <c r="H1016" s="9">
        <v>1.0351869E7</v>
      </c>
      <c r="I1016" s="9">
        <v>8266589.77</v>
      </c>
      <c r="J1016" s="9">
        <v>0.0</v>
      </c>
      <c r="K1016" s="9">
        <v>0.0</v>
      </c>
      <c r="L1016" s="9" t="s">
        <v>69</v>
      </c>
      <c r="M1016" s="9" t="s">
        <v>55</v>
      </c>
      <c r="N1016" s="9">
        <v>8063938.0</v>
      </c>
      <c r="O1016" s="9">
        <v>8063938.0</v>
      </c>
      <c r="P1016" s="9">
        <v>282238.0</v>
      </c>
      <c r="Q1016" s="9">
        <v>254014.2</v>
      </c>
      <c r="R1016" s="9" t="s">
        <v>72</v>
      </c>
      <c r="S1016" s="9" t="s">
        <v>57</v>
      </c>
      <c r="T1016" s="9" t="s">
        <v>73</v>
      </c>
      <c r="V1016" s="9">
        <v>7651031.75</v>
      </c>
      <c r="W1016" s="9">
        <v>241439.86</v>
      </c>
      <c r="X1016" s="9">
        <v>0.0</v>
      </c>
    </row>
    <row r="1017" ht="15.75" customHeight="1">
      <c r="A1017" s="9">
        <v>2079224.0</v>
      </c>
      <c r="B1017" s="9">
        <v>8.0078652E7</v>
      </c>
      <c r="C1017" s="9">
        <v>40952.0</v>
      </c>
      <c r="D1017" s="9" t="s">
        <v>52</v>
      </c>
      <c r="E1017" s="9" t="s">
        <v>53</v>
      </c>
      <c r="F1017" s="9">
        <v>23468.0</v>
      </c>
      <c r="G1017" s="9">
        <v>1.2068498825E8</v>
      </c>
      <c r="H1017" s="9">
        <v>4.0342071934E8</v>
      </c>
      <c r="I1017" s="9">
        <v>3.401604973E7</v>
      </c>
      <c r="J1017" s="9">
        <v>0.0</v>
      </c>
      <c r="K1017" s="9">
        <v>1247632.0</v>
      </c>
      <c r="L1017" s="9" t="s">
        <v>59</v>
      </c>
      <c r="M1017" s="9" t="s">
        <v>74</v>
      </c>
      <c r="N1017" s="9">
        <v>1872560.29</v>
      </c>
      <c r="O1017" s="9">
        <v>1800000.0</v>
      </c>
      <c r="P1017" s="9">
        <v>673544.71</v>
      </c>
      <c r="Q1017" s="9">
        <v>627880.66</v>
      </c>
      <c r="R1017" s="9" t="s">
        <v>63</v>
      </c>
      <c r="S1017" s="9" t="s">
        <v>63</v>
      </c>
    </row>
    <row r="1018" ht="15.75" customHeight="1">
      <c r="A1018" s="9">
        <v>2080496.0</v>
      </c>
      <c r="B1018" s="9">
        <v>1457537.0</v>
      </c>
      <c r="C1018" s="9">
        <v>30776.0</v>
      </c>
      <c r="D1018" s="9" t="s">
        <v>52</v>
      </c>
      <c r="E1018" s="9" t="s">
        <v>53</v>
      </c>
      <c r="F1018" s="9">
        <v>89607.0</v>
      </c>
      <c r="G1018" s="9">
        <v>1457537.0</v>
      </c>
      <c r="H1018" s="9">
        <v>1457537.0</v>
      </c>
      <c r="I1018" s="9">
        <v>2447227.09</v>
      </c>
      <c r="J1018" s="9">
        <v>0.0</v>
      </c>
      <c r="K1018" s="9">
        <v>0.0</v>
      </c>
      <c r="L1018" s="9" t="s">
        <v>59</v>
      </c>
      <c r="M1018" s="9" t="s">
        <v>55</v>
      </c>
      <c r="N1018" s="9">
        <v>1476516.95</v>
      </c>
      <c r="O1018" s="9">
        <v>1550342.82</v>
      </c>
      <c r="R1018" s="9" t="s">
        <v>75</v>
      </c>
      <c r="S1018" s="9" t="s">
        <v>57</v>
      </c>
      <c r="T1018" s="9" t="s">
        <v>76</v>
      </c>
      <c r="V1018" s="9">
        <v>781634.55</v>
      </c>
      <c r="W1018" s="9">
        <v>0.0</v>
      </c>
      <c r="X1018" s="9">
        <v>0.0</v>
      </c>
    </row>
    <row r="1019" ht="15.75" customHeight="1">
      <c r="A1019" s="9">
        <v>2084708.0</v>
      </c>
      <c r="B1019" s="9">
        <v>5.0635897E7</v>
      </c>
      <c r="C1019" s="9">
        <v>40280.0</v>
      </c>
      <c r="D1019" s="9" t="s">
        <v>52</v>
      </c>
      <c r="E1019" s="9" t="s">
        <v>53</v>
      </c>
      <c r="F1019" s="9">
        <v>67323.0</v>
      </c>
      <c r="G1019" s="9">
        <v>1.0937926785E8</v>
      </c>
      <c r="H1019" s="9">
        <v>1.0676541252E8</v>
      </c>
      <c r="I1019" s="9">
        <v>4.070643677E7</v>
      </c>
      <c r="J1019" s="9">
        <v>0.0</v>
      </c>
      <c r="K1019" s="9">
        <v>16835.0</v>
      </c>
      <c r="L1019" s="9" t="s">
        <v>59</v>
      </c>
      <c r="M1019" s="9" t="s">
        <v>55</v>
      </c>
      <c r="N1019" s="9">
        <v>1.0424691288E8</v>
      </c>
      <c r="O1019" s="9">
        <v>9.38222216E7</v>
      </c>
      <c r="P1019" s="9">
        <v>2100715.66</v>
      </c>
      <c r="Q1019" s="9">
        <v>2100715.66</v>
      </c>
      <c r="R1019" s="9" t="s">
        <v>77</v>
      </c>
      <c r="S1019" s="9" t="s">
        <v>78</v>
      </c>
      <c r="T1019" s="9" t="s">
        <v>79</v>
      </c>
      <c r="U1019" s="9" t="s">
        <v>80</v>
      </c>
    </row>
    <row r="1020" ht="15.75" customHeight="1">
      <c r="A1020" s="9">
        <v>2085810.0</v>
      </c>
      <c r="B1020" s="9">
        <v>828897.0</v>
      </c>
      <c r="C1020" s="9">
        <v>30701.0</v>
      </c>
      <c r="D1020" s="9" t="s">
        <v>52</v>
      </c>
      <c r="E1020" s="9" t="s">
        <v>53</v>
      </c>
      <c r="F1020" s="9">
        <v>37678.0</v>
      </c>
      <c r="G1020" s="9">
        <v>828897.0</v>
      </c>
      <c r="H1020" s="9">
        <v>828897.0</v>
      </c>
      <c r="I1020" s="9">
        <v>837091.12</v>
      </c>
      <c r="J1020" s="9">
        <v>0.0</v>
      </c>
      <c r="K1020" s="9">
        <v>0.0</v>
      </c>
      <c r="L1020" s="9" t="s">
        <v>59</v>
      </c>
      <c r="M1020" s="9" t="s">
        <v>55</v>
      </c>
      <c r="N1020" s="9">
        <v>643431.56</v>
      </c>
      <c r="O1020" s="9">
        <v>643431.56</v>
      </c>
      <c r="P1020" s="9">
        <v>32715.81</v>
      </c>
      <c r="Q1020" s="9">
        <v>32715.81</v>
      </c>
      <c r="R1020" s="9" t="s">
        <v>60</v>
      </c>
      <c r="S1020" s="9" t="s">
        <v>57</v>
      </c>
      <c r="T1020" s="9" t="s">
        <v>61</v>
      </c>
      <c r="V1020" s="9">
        <v>782429.98</v>
      </c>
      <c r="W1020" s="9">
        <v>22500.0</v>
      </c>
      <c r="X1020" s="9">
        <v>0.0</v>
      </c>
    </row>
    <row r="1021" ht="15.75" customHeight="1">
      <c r="A1021" s="9">
        <v>2088784.0</v>
      </c>
      <c r="B1021" s="9">
        <v>7.8115825E7</v>
      </c>
      <c r="C1021" s="9">
        <v>36975.0</v>
      </c>
      <c r="D1021" s="9" t="s">
        <v>52</v>
      </c>
      <c r="E1021" s="9" t="s">
        <v>87</v>
      </c>
      <c r="F1021" s="9">
        <v>47641.0</v>
      </c>
      <c r="G1021" s="9">
        <v>1.09539207E8</v>
      </c>
      <c r="H1021" s="9">
        <v>1.09539207E8</v>
      </c>
      <c r="I1021" s="9">
        <v>3998588.0</v>
      </c>
      <c r="J1021" s="9">
        <v>0.0</v>
      </c>
      <c r="K1021" s="9">
        <v>0.0</v>
      </c>
      <c r="L1021" s="9" t="s">
        <v>69</v>
      </c>
      <c r="M1021" s="9" t="s">
        <v>55</v>
      </c>
      <c r="N1021" s="9">
        <v>0.0</v>
      </c>
      <c r="O1021" s="9">
        <v>8.421106E7</v>
      </c>
      <c r="R1021" s="9" t="s">
        <v>72</v>
      </c>
      <c r="S1021" s="9" t="s">
        <v>57</v>
      </c>
      <c r="T1021" s="9" t="s">
        <v>73</v>
      </c>
    </row>
    <row r="1022" ht="15.75" customHeight="1">
      <c r="A1022" s="9">
        <v>2088918.0</v>
      </c>
      <c r="B1022" s="9">
        <v>102472.0</v>
      </c>
      <c r="C1022" s="9">
        <v>31295.0</v>
      </c>
      <c r="D1022" s="9" t="s">
        <v>52</v>
      </c>
      <c r="E1022" s="9" t="s">
        <v>53</v>
      </c>
      <c r="F1022" s="9">
        <v>75174.0</v>
      </c>
      <c r="G1022" s="9">
        <v>129603.0</v>
      </c>
      <c r="H1022" s="9">
        <v>129603.0</v>
      </c>
      <c r="I1022" s="9">
        <v>0.0</v>
      </c>
      <c r="J1022" s="9">
        <v>0.0</v>
      </c>
      <c r="K1022" s="9">
        <v>0.0</v>
      </c>
      <c r="L1022" s="9" t="s">
        <v>54</v>
      </c>
      <c r="M1022" s="9" t="s">
        <v>55</v>
      </c>
      <c r="R1022" s="9" t="s">
        <v>60</v>
      </c>
      <c r="S1022" s="9" t="s">
        <v>57</v>
      </c>
      <c r="T1022" s="9" t="s">
        <v>61</v>
      </c>
      <c r="V1022" s="9">
        <v>129449.0</v>
      </c>
      <c r="W1022" s="9">
        <v>0.0</v>
      </c>
      <c r="X1022" s="9">
        <v>0.0</v>
      </c>
    </row>
    <row r="1023" ht="15.75" customHeight="1">
      <c r="A1023" s="9">
        <v>2089286.0</v>
      </c>
      <c r="B1023" s="9">
        <v>7013375.0</v>
      </c>
      <c r="C1023" s="9">
        <v>31222.0</v>
      </c>
      <c r="D1023" s="9" t="s">
        <v>52</v>
      </c>
      <c r="E1023" s="9" t="s">
        <v>53</v>
      </c>
      <c r="F1023" s="9">
        <v>106536.0</v>
      </c>
      <c r="G1023" s="9">
        <v>9379402.68</v>
      </c>
      <c r="H1023" s="9">
        <v>9379402.68</v>
      </c>
      <c r="I1023" s="9">
        <v>9347104.37</v>
      </c>
      <c r="J1023" s="9">
        <v>0.0</v>
      </c>
      <c r="K1023" s="9">
        <v>0.0</v>
      </c>
      <c r="L1023" s="9" t="s">
        <v>69</v>
      </c>
      <c r="M1023" s="9" t="s">
        <v>55</v>
      </c>
      <c r="R1023" s="9" t="s">
        <v>60</v>
      </c>
      <c r="S1023" s="9" t="s">
        <v>57</v>
      </c>
      <c r="T1023" s="9" t="s">
        <v>61</v>
      </c>
      <c r="V1023" s="9">
        <v>9222455.65</v>
      </c>
      <c r="W1023" s="9">
        <v>0.0</v>
      </c>
      <c r="X1023" s="9">
        <v>0.0</v>
      </c>
    </row>
    <row r="1024" ht="15.75" customHeight="1">
      <c r="A1024" s="9">
        <v>2091417.0</v>
      </c>
      <c r="B1024" s="9">
        <v>1.0319982E7</v>
      </c>
      <c r="C1024" s="9">
        <v>40999.0</v>
      </c>
      <c r="D1024" s="9" t="s">
        <v>52</v>
      </c>
      <c r="E1024" s="9" t="s">
        <v>53</v>
      </c>
      <c r="F1024" s="9">
        <v>81927.0</v>
      </c>
      <c r="G1024" s="9">
        <v>1.217481799E7</v>
      </c>
      <c r="H1024" s="9">
        <v>1.217481799E7</v>
      </c>
      <c r="I1024" s="9">
        <v>1007796.18</v>
      </c>
      <c r="J1024" s="9">
        <v>0.0</v>
      </c>
      <c r="K1024" s="9">
        <v>35401.0</v>
      </c>
      <c r="L1024" s="9" t="s">
        <v>59</v>
      </c>
      <c r="M1024" s="9" t="s">
        <v>62</v>
      </c>
      <c r="R1024" s="9" t="s">
        <v>75</v>
      </c>
      <c r="S1024" s="9" t="s">
        <v>57</v>
      </c>
      <c r="T1024" s="9" t="s">
        <v>76</v>
      </c>
    </row>
    <row r="1025" ht="15.75" customHeight="1">
      <c r="A1025" s="9">
        <v>2091751.0</v>
      </c>
      <c r="B1025" s="9">
        <v>9987371.0</v>
      </c>
      <c r="C1025" s="9">
        <v>29955.0</v>
      </c>
      <c r="D1025" s="9" t="s">
        <v>52</v>
      </c>
      <c r="E1025" s="9" t="s">
        <v>53</v>
      </c>
      <c r="F1025" s="9">
        <v>49826.0</v>
      </c>
      <c r="G1025" s="9">
        <v>1.196900799E7</v>
      </c>
      <c r="H1025" s="9">
        <v>1.415249863E7</v>
      </c>
      <c r="I1025" s="9">
        <v>1.331261598E7</v>
      </c>
      <c r="J1025" s="9">
        <v>0.0</v>
      </c>
      <c r="K1025" s="9">
        <v>0.0</v>
      </c>
      <c r="L1025" s="9" t="s">
        <v>59</v>
      </c>
      <c r="M1025" s="9" t="s">
        <v>55</v>
      </c>
      <c r="N1025" s="9">
        <v>1.167708097E7</v>
      </c>
      <c r="O1025" s="9">
        <v>1.167708097E7</v>
      </c>
      <c r="P1025" s="9">
        <v>291000.0</v>
      </c>
      <c r="Q1025" s="9">
        <v>291000.0</v>
      </c>
      <c r="R1025" s="9" t="s">
        <v>129</v>
      </c>
      <c r="S1025" s="9" t="s">
        <v>78</v>
      </c>
      <c r="T1025" s="9" t="s">
        <v>79</v>
      </c>
      <c r="U1025" s="9" t="s">
        <v>130</v>
      </c>
    </row>
    <row r="1026" ht="15.75" customHeight="1">
      <c r="A1026" s="9">
        <v>2092287.0</v>
      </c>
      <c r="B1026" s="9">
        <v>5842462.0</v>
      </c>
      <c r="C1026" s="9">
        <v>30665.0</v>
      </c>
      <c r="D1026" s="9" t="s">
        <v>52</v>
      </c>
      <c r="E1026" s="9" t="s">
        <v>53</v>
      </c>
      <c r="F1026" s="9">
        <v>116997.0</v>
      </c>
      <c r="G1026" s="9">
        <v>6078975.44</v>
      </c>
      <c r="H1026" s="9">
        <v>6078975.44</v>
      </c>
      <c r="I1026" s="9">
        <v>6064204.98</v>
      </c>
      <c r="J1026" s="9">
        <v>0.0</v>
      </c>
      <c r="K1026" s="9">
        <v>0.0</v>
      </c>
      <c r="L1026" s="9" t="s">
        <v>59</v>
      </c>
      <c r="M1026" s="9" t="s">
        <v>55</v>
      </c>
      <c r="N1026" s="9">
        <v>5576335.0</v>
      </c>
      <c r="O1026" s="9">
        <v>5123348.3</v>
      </c>
      <c r="P1026" s="9">
        <v>166127.0</v>
      </c>
      <c r="Q1026" s="9">
        <v>164465.73</v>
      </c>
      <c r="R1026" s="9" t="s">
        <v>60</v>
      </c>
      <c r="S1026" s="9" t="s">
        <v>57</v>
      </c>
      <c r="T1026" s="9" t="s">
        <v>61</v>
      </c>
      <c r="V1026" s="9">
        <v>5740955.39</v>
      </c>
      <c r="W1026" s="9">
        <v>0.0</v>
      </c>
      <c r="X1026" s="9">
        <v>0.0</v>
      </c>
    </row>
    <row r="1027" ht="15.75" customHeight="1">
      <c r="A1027" s="9">
        <v>2095202.0</v>
      </c>
      <c r="B1027" s="9">
        <v>298499.51</v>
      </c>
      <c r="C1027" s="9">
        <v>31065.0</v>
      </c>
      <c r="D1027" s="9" t="s">
        <v>52</v>
      </c>
      <c r="E1027" s="9" t="s">
        <v>53</v>
      </c>
      <c r="F1027" s="9">
        <v>114009.0</v>
      </c>
      <c r="G1027" s="9">
        <v>298499.51</v>
      </c>
      <c r="H1027" s="9">
        <v>298499.51</v>
      </c>
      <c r="I1027" s="9">
        <v>617741.4</v>
      </c>
      <c r="J1027" s="9">
        <v>0.0</v>
      </c>
      <c r="K1027" s="9">
        <v>0.0</v>
      </c>
      <c r="L1027" s="9" t="s">
        <v>69</v>
      </c>
      <c r="M1027" s="9" t="s">
        <v>55</v>
      </c>
      <c r="R1027" s="9" t="s">
        <v>60</v>
      </c>
      <c r="S1027" s="9" t="s">
        <v>57</v>
      </c>
      <c r="T1027" s="9" t="s">
        <v>61</v>
      </c>
      <c r="V1027" s="9">
        <v>616041.4</v>
      </c>
      <c r="W1027" s="9">
        <v>0.0</v>
      </c>
      <c r="X1027" s="9">
        <v>0.0</v>
      </c>
    </row>
    <row r="1028" ht="15.75" customHeight="1">
      <c r="A1028" s="9">
        <v>2095204.0</v>
      </c>
      <c r="B1028" s="9">
        <v>947134.625</v>
      </c>
      <c r="C1028" s="9">
        <v>47183.0</v>
      </c>
      <c r="D1028" s="9" t="s">
        <v>52</v>
      </c>
      <c r="E1028" s="9" t="s">
        <v>53</v>
      </c>
      <c r="F1028" s="9">
        <v>111080.0</v>
      </c>
      <c r="G1028" s="9">
        <v>1.1884444067E8</v>
      </c>
      <c r="H1028" s="9">
        <v>1.4266609283E8</v>
      </c>
      <c r="I1028" s="9">
        <v>8.140220785E7</v>
      </c>
      <c r="J1028" s="9">
        <v>6.340244815E7</v>
      </c>
      <c r="K1028" s="9">
        <v>1.08950756E8</v>
      </c>
      <c r="L1028" s="9" t="s">
        <v>59</v>
      </c>
      <c r="M1028" s="9" t="s">
        <v>55</v>
      </c>
      <c r="N1028" s="9">
        <v>1.266340702E8</v>
      </c>
      <c r="O1028" s="9">
        <v>1.18E8</v>
      </c>
      <c r="P1028" s="9">
        <v>5317356.11</v>
      </c>
      <c r="Q1028" s="9">
        <v>4055610.6</v>
      </c>
      <c r="R1028" s="9" t="s">
        <v>81</v>
      </c>
      <c r="S1028" s="9" t="s">
        <v>82</v>
      </c>
      <c r="T1028" s="9" t="s">
        <v>83</v>
      </c>
      <c r="U1028" s="9" t="s">
        <v>84</v>
      </c>
    </row>
    <row r="1029" ht="15.75" customHeight="1">
      <c r="A1029" s="9">
        <v>2099682.0</v>
      </c>
      <c r="B1029" s="9">
        <v>4148667.0</v>
      </c>
      <c r="C1029" s="9">
        <v>26615.0</v>
      </c>
      <c r="D1029" s="9" t="s">
        <v>52</v>
      </c>
      <c r="E1029" s="9" t="s">
        <v>53</v>
      </c>
      <c r="F1029" s="9">
        <v>116943.0</v>
      </c>
      <c r="G1029" s="9">
        <v>5129907.0</v>
      </c>
      <c r="H1029" s="9">
        <v>5129907.0</v>
      </c>
      <c r="I1029" s="9">
        <v>4960582.28</v>
      </c>
      <c r="J1029" s="9">
        <v>0.0</v>
      </c>
      <c r="K1029" s="9">
        <v>0.0</v>
      </c>
      <c r="L1029" s="9" t="s">
        <v>69</v>
      </c>
      <c r="M1029" s="9" t="s">
        <v>55</v>
      </c>
      <c r="N1029" s="9">
        <v>4488760.0</v>
      </c>
      <c r="O1029" s="9">
        <v>4165400.0</v>
      </c>
      <c r="P1029" s="9">
        <v>128170.0</v>
      </c>
      <c r="Q1029" s="9">
        <v>108610.0</v>
      </c>
      <c r="R1029" s="9" t="s">
        <v>60</v>
      </c>
      <c r="S1029" s="9" t="s">
        <v>57</v>
      </c>
      <c r="T1029" s="9" t="s">
        <v>61</v>
      </c>
      <c r="V1029" s="9">
        <v>4605308.87</v>
      </c>
      <c r="W1029" s="9">
        <v>355273.41</v>
      </c>
      <c r="X1029" s="9">
        <v>0.0</v>
      </c>
    </row>
    <row r="1030" ht="15.75" customHeight="1">
      <c r="A1030" s="9">
        <v>2100309.0</v>
      </c>
      <c r="B1030" s="9">
        <v>187500.0</v>
      </c>
      <c r="C1030" s="9">
        <v>31264.0</v>
      </c>
      <c r="D1030" s="9" t="s">
        <v>52</v>
      </c>
      <c r="E1030" s="9" t="s">
        <v>53</v>
      </c>
      <c r="F1030" s="9">
        <v>104277.0</v>
      </c>
      <c r="G1030" s="9">
        <v>254354.84</v>
      </c>
      <c r="H1030" s="9">
        <v>254354.84</v>
      </c>
      <c r="I1030" s="9">
        <v>229632.29</v>
      </c>
      <c r="J1030" s="9">
        <v>0.0</v>
      </c>
      <c r="K1030" s="9">
        <v>0.0</v>
      </c>
      <c r="L1030" s="9" t="s">
        <v>69</v>
      </c>
      <c r="M1030" s="9" t="s">
        <v>55</v>
      </c>
      <c r="R1030" s="9" t="s">
        <v>72</v>
      </c>
      <c r="S1030" s="9" t="s">
        <v>57</v>
      </c>
      <c r="T1030" s="9" t="s">
        <v>73</v>
      </c>
      <c r="V1030" s="9">
        <v>180467.29</v>
      </c>
      <c r="W1030" s="9">
        <v>0.0</v>
      </c>
      <c r="X1030" s="9">
        <v>0.0</v>
      </c>
    </row>
    <row r="1031" ht="15.75" customHeight="1">
      <c r="A1031" s="9">
        <v>2101643.0</v>
      </c>
      <c r="B1031" s="9">
        <v>9436546.0</v>
      </c>
      <c r="C1031" s="9">
        <v>30561.0</v>
      </c>
      <c r="D1031" s="9" t="s">
        <v>52</v>
      </c>
      <c r="E1031" s="9" t="s">
        <v>53</v>
      </c>
      <c r="F1031" s="9">
        <v>99549.0</v>
      </c>
      <c r="G1031" s="9">
        <v>9275389.54</v>
      </c>
      <c r="H1031" s="9">
        <v>9275389.54</v>
      </c>
      <c r="I1031" s="9">
        <v>9045329.0</v>
      </c>
      <c r="J1031" s="9">
        <v>0.0</v>
      </c>
      <c r="K1031" s="9">
        <v>0.0</v>
      </c>
      <c r="L1031" s="9" t="s">
        <v>59</v>
      </c>
      <c r="M1031" s="9" t="s">
        <v>55</v>
      </c>
      <c r="N1031" s="9">
        <v>8852756.86</v>
      </c>
      <c r="O1031" s="9">
        <v>8625329.23</v>
      </c>
      <c r="P1031" s="9">
        <v>422632.68</v>
      </c>
      <c r="Q1031" s="9">
        <v>420000.0</v>
      </c>
      <c r="R1031" s="9" t="s">
        <v>60</v>
      </c>
      <c r="S1031" s="9" t="s">
        <v>57</v>
      </c>
      <c r="T1031" s="9" t="s">
        <v>61</v>
      </c>
      <c r="V1031" s="9">
        <v>8625329.23</v>
      </c>
      <c r="W1031" s="9">
        <v>419999.77</v>
      </c>
      <c r="X1031" s="9">
        <v>0.0</v>
      </c>
    </row>
    <row r="1032" ht="15.75" customHeight="1">
      <c r="A1032" s="9">
        <v>2101645.0</v>
      </c>
      <c r="B1032" s="9">
        <v>7544257.0</v>
      </c>
      <c r="C1032" s="9">
        <v>30611.0</v>
      </c>
      <c r="D1032" s="9" t="s">
        <v>52</v>
      </c>
      <c r="E1032" s="9" t="s">
        <v>53</v>
      </c>
      <c r="F1032" s="9">
        <v>103446.0</v>
      </c>
      <c r="G1032" s="9">
        <v>7340615.86</v>
      </c>
      <c r="H1032" s="9">
        <v>7340615.86</v>
      </c>
      <c r="I1032" s="9">
        <v>6853731.98</v>
      </c>
      <c r="J1032" s="9">
        <v>0.0</v>
      </c>
      <c r="K1032" s="9">
        <v>0.0</v>
      </c>
      <c r="L1032" s="9" t="s">
        <v>59</v>
      </c>
      <c r="M1032" s="9" t="s">
        <v>55</v>
      </c>
      <c r="N1032" s="9">
        <v>6896740.04</v>
      </c>
      <c r="O1032" s="9">
        <v>6896740.04</v>
      </c>
      <c r="P1032" s="9">
        <v>307247.0</v>
      </c>
      <c r="Q1032" s="9">
        <v>307247.0</v>
      </c>
      <c r="R1032" s="9" t="s">
        <v>56</v>
      </c>
      <c r="S1032" s="9" t="s">
        <v>57</v>
      </c>
      <c r="T1032" s="9" t="s">
        <v>58</v>
      </c>
    </row>
    <row r="1033" ht="15.75" customHeight="1">
      <c r="A1033" s="9">
        <v>2104653.0</v>
      </c>
      <c r="B1033" s="9">
        <v>9180179.0</v>
      </c>
      <c r="C1033" s="9">
        <v>37855.0</v>
      </c>
      <c r="D1033" s="9" t="s">
        <v>52</v>
      </c>
      <c r="E1033" s="9" t="s">
        <v>53</v>
      </c>
      <c r="F1033" s="9">
        <v>74464.0</v>
      </c>
      <c r="G1033" s="9">
        <v>2.1989737E7</v>
      </c>
      <c r="H1033" s="9">
        <v>2.247636615E7</v>
      </c>
      <c r="I1033" s="9">
        <v>2.199423518E7</v>
      </c>
      <c r="J1033" s="9">
        <v>0.0</v>
      </c>
      <c r="K1033" s="9">
        <v>0.0</v>
      </c>
      <c r="L1033" s="9" t="s">
        <v>59</v>
      </c>
      <c r="M1033" s="9" t="s">
        <v>62</v>
      </c>
      <c r="N1033" s="9">
        <v>1.118328076E7</v>
      </c>
      <c r="O1033" s="9">
        <v>1.118328076E7</v>
      </c>
      <c r="P1033" s="9">
        <v>555000.0</v>
      </c>
      <c r="Q1033" s="9">
        <v>499500.0</v>
      </c>
      <c r="R1033" s="9" t="s">
        <v>60</v>
      </c>
      <c r="S1033" s="9" t="s">
        <v>57</v>
      </c>
      <c r="T1033" s="9" t="s">
        <v>61</v>
      </c>
      <c r="V1033" s="9">
        <v>1.158476341E7</v>
      </c>
      <c r="W1033" s="9">
        <v>433008.61</v>
      </c>
      <c r="X1033" s="9">
        <v>0.0</v>
      </c>
    </row>
    <row r="1034" ht="15.75" customHeight="1">
      <c r="A1034" s="9">
        <v>2104753.0</v>
      </c>
      <c r="B1034" s="9">
        <v>2936799.0</v>
      </c>
      <c r="C1034" s="9">
        <v>30262.0</v>
      </c>
      <c r="D1034" s="9" t="s">
        <v>52</v>
      </c>
      <c r="E1034" s="9" t="s">
        <v>53</v>
      </c>
      <c r="F1034" s="9">
        <v>116576.0</v>
      </c>
      <c r="G1034" s="9">
        <v>3812853.08</v>
      </c>
      <c r="H1034" s="9">
        <v>3677260.54</v>
      </c>
      <c r="I1034" s="9">
        <v>3677260.54</v>
      </c>
      <c r="J1034" s="9">
        <v>0.0</v>
      </c>
      <c r="K1034" s="9">
        <v>0.0</v>
      </c>
      <c r="L1034" s="9" t="s">
        <v>69</v>
      </c>
      <c r="M1034" s="9" t="s">
        <v>55</v>
      </c>
      <c r="N1034" s="9">
        <v>3466230.08</v>
      </c>
      <c r="O1034" s="9">
        <v>3446230.08</v>
      </c>
      <c r="P1034" s="9">
        <v>0.0</v>
      </c>
      <c r="Q1034" s="9">
        <v>173311.5</v>
      </c>
      <c r="R1034" s="9" t="s">
        <v>60</v>
      </c>
      <c r="S1034" s="9" t="s">
        <v>57</v>
      </c>
      <c r="T1034" s="9" t="s">
        <v>61</v>
      </c>
      <c r="V1034" s="9">
        <v>3466230.08</v>
      </c>
      <c r="W1034" s="9">
        <v>173312.0</v>
      </c>
      <c r="X1034" s="9">
        <v>0.0</v>
      </c>
    </row>
    <row r="1035" ht="15.75" customHeight="1">
      <c r="A1035" s="9">
        <v>2086230.0</v>
      </c>
      <c r="B1035" s="9">
        <v>1741004.0</v>
      </c>
      <c r="C1035" s="9">
        <v>31045.0</v>
      </c>
      <c r="D1035" s="9" t="s">
        <v>52</v>
      </c>
      <c r="E1035" s="9" t="s">
        <v>53</v>
      </c>
      <c r="F1035" s="9">
        <v>72566.0</v>
      </c>
      <c r="G1035" s="9">
        <v>1898122.51</v>
      </c>
      <c r="H1035" s="9">
        <v>1898122.51</v>
      </c>
      <c r="I1035" s="9">
        <v>151183.31</v>
      </c>
      <c r="J1035" s="9">
        <v>0.0</v>
      </c>
      <c r="K1035" s="9">
        <v>0.0</v>
      </c>
      <c r="L1035" s="9" t="s">
        <v>59</v>
      </c>
      <c r="M1035" s="9" t="s">
        <v>55</v>
      </c>
      <c r="R1035" s="9" t="s">
        <v>60</v>
      </c>
      <c r="S1035" s="9" t="s">
        <v>57</v>
      </c>
      <c r="T1035" s="9" t="s">
        <v>61</v>
      </c>
      <c r="V1035" s="9">
        <v>1898122.0</v>
      </c>
      <c r="W1035" s="9">
        <v>0.0</v>
      </c>
      <c r="X1035" s="9">
        <v>0.0</v>
      </c>
    </row>
    <row r="1036" ht="15.75" customHeight="1">
      <c r="A1036" s="9">
        <v>2087768.0</v>
      </c>
      <c r="B1036" s="9">
        <v>4348226.0</v>
      </c>
      <c r="C1036" s="9">
        <v>30357.0</v>
      </c>
      <c r="D1036" s="9" t="s">
        <v>52</v>
      </c>
      <c r="E1036" s="9" t="s">
        <v>53</v>
      </c>
      <c r="F1036" s="9">
        <v>21870.0</v>
      </c>
      <c r="G1036" s="9">
        <v>4386074.44</v>
      </c>
      <c r="H1036" s="9">
        <v>4386074.44</v>
      </c>
      <c r="I1036" s="9">
        <v>0.0</v>
      </c>
      <c r="J1036" s="9">
        <v>0.0</v>
      </c>
      <c r="K1036" s="9">
        <v>0.0</v>
      </c>
      <c r="L1036" s="9" t="s">
        <v>54</v>
      </c>
      <c r="M1036" s="9" t="s">
        <v>55</v>
      </c>
      <c r="N1036" s="9">
        <v>4106075.0</v>
      </c>
      <c r="O1036" s="9">
        <v>4106075.0</v>
      </c>
      <c r="P1036" s="9">
        <v>4106075.0</v>
      </c>
      <c r="Q1036" s="9">
        <v>200000.0</v>
      </c>
      <c r="R1036" s="9" t="s">
        <v>75</v>
      </c>
      <c r="S1036" s="9" t="s">
        <v>57</v>
      </c>
      <c r="T1036" s="9" t="s">
        <v>76</v>
      </c>
      <c r="V1036" s="9">
        <v>4138075.0</v>
      </c>
      <c r="W1036" s="9">
        <v>0.0</v>
      </c>
      <c r="X1036" s="9">
        <v>0.0</v>
      </c>
    </row>
    <row r="1037" ht="15.75" customHeight="1">
      <c r="A1037" s="9">
        <v>2088104.0</v>
      </c>
      <c r="B1037" s="9">
        <v>9932607.0</v>
      </c>
      <c r="C1037" s="9">
        <v>30779.0</v>
      </c>
      <c r="D1037" s="9" t="s">
        <v>52</v>
      </c>
      <c r="E1037" s="9" t="s">
        <v>53</v>
      </c>
      <c r="F1037" s="9">
        <v>53188.0</v>
      </c>
      <c r="G1037" s="9">
        <v>9490269.78</v>
      </c>
      <c r="H1037" s="9">
        <v>9490269.78</v>
      </c>
      <c r="I1037" s="9">
        <v>22924.0</v>
      </c>
      <c r="J1037" s="9">
        <v>0.0</v>
      </c>
      <c r="K1037" s="9">
        <v>0.0</v>
      </c>
      <c r="L1037" s="9" t="s">
        <v>54</v>
      </c>
      <c r="M1037" s="9" t="s">
        <v>55</v>
      </c>
      <c r="N1037" s="9">
        <v>9245629.05</v>
      </c>
      <c r="O1037" s="9">
        <v>9245629.05</v>
      </c>
      <c r="R1037" s="9" t="s">
        <v>60</v>
      </c>
      <c r="S1037" s="9" t="s">
        <v>57</v>
      </c>
      <c r="T1037" s="9" t="s">
        <v>61</v>
      </c>
      <c r="V1037" s="9">
        <v>8835052.13</v>
      </c>
      <c r="W1037" s="9">
        <v>230752.26</v>
      </c>
      <c r="X1037" s="9">
        <v>0.0</v>
      </c>
    </row>
    <row r="1038" ht="15.75" customHeight="1">
      <c r="A1038" s="9">
        <v>2090495.0</v>
      </c>
      <c r="B1038" s="9">
        <v>2094434.0</v>
      </c>
      <c r="C1038" s="9">
        <v>31217.0</v>
      </c>
      <c r="D1038" s="9" t="s">
        <v>52</v>
      </c>
      <c r="E1038" s="9" t="s">
        <v>53</v>
      </c>
      <c r="F1038" s="9">
        <v>42617.0</v>
      </c>
      <c r="G1038" s="9">
        <v>2530287.57</v>
      </c>
      <c r="H1038" s="9">
        <v>2530259.34</v>
      </c>
      <c r="I1038" s="9">
        <v>1145391.38</v>
      </c>
      <c r="J1038" s="9">
        <v>0.0</v>
      </c>
      <c r="K1038" s="9">
        <v>0.0</v>
      </c>
      <c r="L1038" s="9" t="s">
        <v>69</v>
      </c>
      <c r="M1038" s="9" t="s">
        <v>55</v>
      </c>
      <c r="R1038" s="9" t="s">
        <v>60</v>
      </c>
      <c r="S1038" s="9" t="s">
        <v>57</v>
      </c>
      <c r="T1038" s="9" t="s">
        <v>61</v>
      </c>
      <c r="V1038" s="9">
        <v>2530259.34</v>
      </c>
      <c r="W1038" s="9">
        <v>0.0</v>
      </c>
      <c r="X1038" s="9">
        <v>0.0</v>
      </c>
    </row>
    <row r="1039" ht="15.75" customHeight="1">
      <c r="A1039" s="9">
        <v>2090510.0</v>
      </c>
      <c r="B1039" s="9">
        <v>356743.0</v>
      </c>
      <c r="C1039" s="9">
        <v>30179.0</v>
      </c>
      <c r="D1039" s="9" t="s">
        <v>52</v>
      </c>
      <c r="E1039" s="9" t="s">
        <v>53</v>
      </c>
      <c r="F1039" s="9">
        <v>111440.0</v>
      </c>
      <c r="G1039" s="9">
        <v>356743.0</v>
      </c>
      <c r="H1039" s="9">
        <v>356743.0</v>
      </c>
      <c r="I1039" s="9">
        <v>171833.78</v>
      </c>
      <c r="J1039" s="9">
        <v>0.0</v>
      </c>
      <c r="K1039" s="9">
        <v>0.0</v>
      </c>
      <c r="L1039" s="9" t="s">
        <v>69</v>
      </c>
      <c r="M1039" s="9" t="s">
        <v>55</v>
      </c>
      <c r="N1039" s="9">
        <v>319240.22</v>
      </c>
      <c r="O1039" s="9">
        <v>319240.22</v>
      </c>
      <c r="P1039" s="9">
        <v>319240.22</v>
      </c>
      <c r="Q1039" s="9">
        <v>8309.23</v>
      </c>
      <c r="R1039" s="9" t="s">
        <v>60</v>
      </c>
      <c r="S1039" s="9" t="s">
        <v>57</v>
      </c>
      <c r="T1039" s="9" t="s">
        <v>61</v>
      </c>
      <c r="V1039" s="9">
        <v>319240.22</v>
      </c>
      <c r="W1039" s="9">
        <v>8308.5</v>
      </c>
      <c r="X1039" s="9">
        <v>0.0</v>
      </c>
    </row>
    <row r="1040" ht="15.75" customHeight="1">
      <c r="A1040" s="9">
        <v>2090512.0</v>
      </c>
      <c r="B1040" s="9">
        <v>3498670.0</v>
      </c>
      <c r="C1040" s="9">
        <v>30600.0</v>
      </c>
      <c r="D1040" s="9" t="s">
        <v>52</v>
      </c>
      <c r="E1040" s="9" t="s">
        <v>53</v>
      </c>
      <c r="F1040" s="9">
        <v>52909.0</v>
      </c>
      <c r="G1040" s="9">
        <v>3672436.46</v>
      </c>
      <c r="H1040" s="9">
        <v>3672436.46</v>
      </c>
      <c r="I1040" s="9">
        <v>0.0</v>
      </c>
      <c r="J1040" s="9">
        <v>0.0</v>
      </c>
      <c r="K1040" s="9">
        <v>0.0</v>
      </c>
      <c r="L1040" s="9" t="s">
        <v>69</v>
      </c>
      <c r="M1040" s="9" t="s">
        <v>55</v>
      </c>
      <c r="N1040" s="9">
        <v>3609118.61</v>
      </c>
      <c r="O1040" s="9">
        <v>3609118.58</v>
      </c>
      <c r="P1040" s="9">
        <v>63317.87</v>
      </c>
      <c r="Q1040" s="9">
        <v>63317.87</v>
      </c>
      <c r="R1040" s="9" t="s">
        <v>60</v>
      </c>
      <c r="S1040" s="9" t="s">
        <v>57</v>
      </c>
      <c r="T1040" s="9" t="s">
        <v>61</v>
      </c>
      <c r="V1040" s="9">
        <v>3485271.16</v>
      </c>
      <c r="W1040" s="9">
        <v>64168.97</v>
      </c>
      <c r="X1040" s="9">
        <v>0.0</v>
      </c>
    </row>
    <row r="1041" ht="15.75" customHeight="1">
      <c r="A1041" s="9">
        <v>2094837.0</v>
      </c>
      <c r="B1041" s="9">
        <v>298872.0</v>
      </c>
      <c r="C1041" s="9">
        <v>31300.0</v>
      </c>
      <c r="D1041" s="9" t="s">
        <v>52</v>
      </c>
      <c r="E1041" s="9" t="s">
        <v>53</v>
      </c>
      <c r="F1041" s="9">
        <v>75127.0</v>
      </c>
      <c r="G1041" s="9">
        <v>298872.0</v>
      </c>
      <c r="H1041" s="9">
        <v>298872.0</v>
      </c>
      <c r="I1041" s="9">
        <v>0.0</v>
      </c>
      <c r="J1041" s="9">
        <v>0.0</v>
      </c>
      <c r="K1041" s="9">
        <v>0.0</v>
      </c>
      <c r="L1041" s="9" t="s">
        <v>69</v>
      </c>
      <c r="M1041" s="9" t="s">
        <v>55</v>
      </c>
      <c r="R1041" s="9" t="s">
        <v>60</v>
      </c>
      <c r="S1041" s="9" t="s">
        <v>57</v>
      </c>
      <c r="T1041" s="9" t="s">
        <v>61</v>
      </c>
      <c r="V1041" s="9">
        <v>327489.73</v>
      </c>
      <c r="W1041" s="9">
        <v>0.0</v>
      </c>
      <c r="X1041" s="9">
        <v>0.0</v>
      </c>
    </row>
    <row r="1042" ht="15.75" customHeight="1">
      <c r="A1042" s="9">
        <v>2095205.0</v>
      </c>
      <c r="B1042" s="9">
        <v>299426.0</v>
      </c>
      <c r="C1042" s="9">
        <v>31064.0</v>
      </c>
      <c r="D1042" s="9" t="s">
        <v>52</v>
      </c>
      <c r="E1042" s="9" t="s">
        <v>53</v>
      </c>
      <c r="F1042" s="9">
        <v>113314.0</v>
      </c>
      <c r="G1042" s="9">
        <v>299426.0</v>
      </c>
      <c r="H1042" s="9">
        <v>299426.0</v>
      </c>
      <c r="I1042" s="9">
        <v>299426.0</v>
      </c>
      <c r="J1042" s="9">
        <v>0.0</v>
      </c>
      <c r="K1042" s="9">
        <v>0.0</v>
      </c>
      <c r="L1042" s="9" t="s">
        <v>69</v>
      </c>
      <c r="M1042" s="9" t="s">
        <v>55</v>
      </c>
      <c r="R1042" s="9" t="s">
        <v>60</v>
      </c>
      <c r="S1042" s="9" t="s">
        <v>57</v>
      </c>
      <c r="T1042" s="9" t="s">
        <v>61</v>
      </c>
      <c r="V1042" s="9">
        <v>299426.0</v>
      </c>
      <c r="W1042" s="9">
        <v>0.0</v>
      </c>
      <c r="X1042" s="9">
        <v>0.0</v>
      </c>
    </row>
    <row r="1043" ht="15.75" customHeight="1">
      <c r="A1043" s="9">
        <v>2095790.0</v>
      </c>
      <c r="B1043" s="9">
        <v>9768337.0</v>
      </c>
      <c r="C1043" s="9">
        <v>46145.0</v>
      </c>
      <c r="D1043" s="9" t="s">
        <v>52</v>
      </c>
      <c r="E1043" s="9" t="s">
        <v>111</v>
      </c>
      <c r="F1043" s="9">
        <v>117772.0</v>
      </c>
      <c r="H1043" s="9">
        <v>1.009923561E7</v>
      </c>
      <c r="I1043" s="9">
        <v>9694066.17</v>
      </c>
      <c r="J1043" s="9">
        <v>13544.05</v>
      </c>
      <c r="K1043" s="9">
        <v>13545.0</v>
      </c>
      <c r="L1043" s="9" t="s">
        <v>59</v>
      </c>
      <c r="M1043" s="9" t="s">
        <v>55</v>
      </c>
      <c r="N1043" s="9">
        <v>1391848.93</v>
      </c>
      <c r="O1043" s="9">
        <v>1252672.42</v>
      </c>
      <c r="P1043" s="9">
        <v>136512.57</v>
      </c>
      <c r="Q1043" s="9">
        <v>122861.32</v>
      </c>
      <c r="R1043" s="9" t="s">
        <v>63</v>
      </c>
      <c r="S1043" s="9" t="s">
        <v>63</v>
      </c>
    </row>
    <row r="1044" ht="15.75" customHeight="1">
      <c r="A1044" s="9">
        <v>2095826.0</v>
      </c>
      <c r="B1044" s="9">
        <v>8898818.0</v>
      </c>
      <c r="C1044" s="9">
        <v>47486.0</v>
      </c>
      <c r="D1044" s="9" t="s">
        <v>52</v>
      </c>
      <c r="E1044" s="9" t="s">
        <v>53</v>
      </c>
      <c r="F1044" s="9">
        <v>113639.0</v>
      </c>
      <c r="G1044" s="9">
        <v>8898818.0</v>
      </c>
      <c r="H1044" s="9">
        <v>9797945.3</v>
      </c>
      <c r="I1044" s="9">
        <v>594866.35</v>
      </c>
      <c r="J1044" s="9">
        <v>182864.16</v>
      </c>
      <c r="K1044" s="9">
        <v>349759.0</v>
      </c>
      <c r="L1044" s="9" t="s">
        <v>59</v>
      </c>
      <c r="M1044" s="9" t="s">
        <v>74</v>
      </c>
      <c r="R1044" s="9" t="s">
        <v>85</v>
      </c>
      <c r="S1044" s="9" t="s">
        <v>67</v>
      </c>
      <c r="T1044" s="9" t="s">
        <v>86</v>
      </c>
    </row>
    <row r="1045" ht="15.75" customHeight="1">
      <c r="A1045" s="9">
        <v>2096009.0</v>
      </c>
      <c r="B1045" s="9">
        <v>860690.0</v>
      </c>
      <c r="C1045" s="9">
        <v>30187.0</v>
      </c>
      <c r="D1045" s="9" t="s">
        <v>52</v>
      </c>
      <c r="E1045" s="9" t="s">
        <v>53</v>
      </c>
      <c r="F1045" s="9">
        <v>115042.0</v>
      </c>
      <c r="G1045" s="9">
        <v>860690.0</v>
      </c>
      <c r="H1045" s="9">
        <v>860690.0</v>
      </c>
      <c r="I1045" s="9">
        <v>886510.0</v>
      </c>
      <c r="J1045" s="9">
        <v>0.0</v>
      </c>
      <c r="K1045" s="9">
        <v>0.0</v>
      </c>
      <c r="L1045" s="9" t="s">
        <v>59</v>
      </c>
      <c r="M1045" s="9" t="s">
        <v>55</v>
      </c>
      <c r="N1045" s="9">
        <v>860690.0</v>
      </c>
      <c r="O1045" s="9">
        <v>860690.0</v>
      </c>
      <c r="P1045" s="9">
        <v>25820.0</v>
      </c>
      <c r="Q1045" s="9">
        <v>25820.0</v>
      </c>
      <c r="R1045" s="9" t="s">
        <v>60</v>
      </c>
      <c r="S1045" s="9" t="s">
        <v>57</v>
      </c>
      <c r="T1045" s="9" t="s">
        <v>61</v>
      </c>
      <c r="V1045" s="9">
        <v>860690.0</v>
      </c>
      <c r="W1045" s="9">
        <v>25820.0</v>
      </c>
      <c r="X1045" s="9">
        <v>0.0</v>
      </c>
    </row>
    <row r="1046" ht="15.75" customHeight="1">
      <c r="A1046" s="9">
        <v>2096111.0</v>
      </c>
      <c r="B1046" s="9">
        <v>1.3712958E7</v>
      </c>
      <c r="C1046" s="9">
        <v>41828.0</v>
      </c>
      <c r="D1046" s="9" t="s">
        <v>52</v>
      </c>
      <c r="E1046" s="9" t="s">
        <v>53</v>
      </c>
      <c r="F1046" s="9">
        <v>116962.0</v>
      </c>
      <c r="G1046" s="9">
        <v>2.607872051E7</v>
      </c>
      <c r="H1046" s="9">
        <v>2.704217042E7</v>
      </c>
      <c r="I1046" s="9">
        <v>2.314080817E7</v>
      </c>
      <c r="J1046" s="9">
        <v>0.0</v>
      </c>
      <c r="K1046" s="9">
        <v>35000.0</v>
      </c>
      <c r="L1046" s="9" t="s">
        <v>59</v>
      </c>
      <c r="M1046" s="9" t="s">
        <v>62</v>
      </c>
      <c r="N1046" s="9">
        <v>1.777909073E7</v>
      </c>
      <c r="O1046" s="9">
        <v>1.777909073E7</v>
      </c>
      <c r="P1046" s="9">
        <v>870096.55</v>
      </c>
      <c r="Q1046" s="9">
        <v>870096.55</v>
      </c>
      <c r="R1046" s="9" t="s">
        <v>77</v>
      </c>
      <c r="S1046" s="9" t="s">
        <v>78</v>
      </c>
      <c r="T1046" s="9" t="s">
        <v>79</v>
      </c>
      <c r="U1046" s="9" t="s">
        <v>80</v>
      </c>
    </row>
    <row r="1047" ht="15.75" customHeight="1">
      <c r="A1047" s="9">
        <v>2096745.0</v>
      </c>
      <c r="B1047" s="9">
        <v>1017108.91</v>
      </c>
      <c r="C1047" s="9">
        <v>30429.0</v>
      </c>
      <c r="D1047" s="9" t="s">
        <v>52</v>
      </c>
      <c r="E1047" s="9" t="s">
        <v>53</v>
      </c>
      <c r="F1047" s="9">
        <v>123125.0</v>
      </c>
      <c r="G1047" s="9">
        <v>1117358.25</v>
      </c>
      <c r="H1047" s="9">
        <v>1117358.25</v>
      </c>
      <c r="I1047" s="9">
        <v>1092903.78</v>
      </c>
      <c r="J1047" s="9">
        <v>0.0</v>
      </c>
      <c r="K1047" s="9">
        <v>0.0</v>
      </c>
      <c r="L1047" s="9" t="s">
        <v>59</v>
      </c>
      <c r="M1047" s="9" t="s">
        <v>55</v>
      </c>
      <c r="N1047" s="9">
        <v>1041258.25</v>
      </c>
      <c r="O1047" s="9">
        <v>1041258.25</v>
      </c>
      <c r="P1047" s="9">
        <v>1041258.25</v>
      </c>
      <c r="Q1047" s="9">
        <v>45000.0</v>
      </c>
      <c r="R1047" s="9" t="s">
        <v>72</v>
      </c>
      <c r="S1047" s="9" t="s">
        <v>57</v>
      </c>
      <c r="T1047" s="9" t="s">
        <v>73</v>
      </c>
      <c r="V1047" s="9">
        <v>1074052.05</v>
      </c>
      <c r="W1047" s="9">
        <v>45000.0</v>
      </c>
      <c r="X1047" s="9">
        <v>0.0</v>
      </c>
    </row>
    <row r="1048" ht="15.75" customHeight="1">
      <c r="A1048" s="9">
        <v>2099702.0</v>
      </c>
      <c r="B1048" s="9">
        <v>5864577.0</v>
      </c>
      <c r="C1048" s="9">
        <v>30564.0</v>
      </c>
      <c r="D1048" s="9" t="s">
        <v>52</v>
      </c>
      <c r="E1048" s="9" t="s">
        <v>53</v>
      </c>
      <c r="F1048" s="9">
        <v>126466.0</v>
      </c>
      <c r="G1048" s="9">
        <v>5397387.07</v>
      </c>
      <c r="H1048" s="9">
        <v>5397387.07</v>
      </c>
      <c r="I1048" s="9">
        <v>5181742.58</v>
      </c>
      <c r="J1048" s="9">
        <v>0.0</v>
      </c>
      <c r="K1048" s="9">
        <v>0.0</v>
      </c>
      <c r="L1048" s="9" t="s">
        <v>59</v>
      </c>
      <c r="M1048" s="9" t="s">
        <v>55</v>
      </c>
      <c r="N1048" s="9">
        <v>4953947.76</v>
      </c>
      <c r="O1048" s="9">
        <v>4953947.76</v>
      </c>
      <c r="R1048" s="9" t="s">
        <v>60</v>
      </c>
      <c r="S1048" s="9" t="s">
        <v>57</v>
      </c>
      <c r="T1048" s="9" t="s">
        <v>61</v>
      </c>
      <c r="V1048" s="9">
        <v>4953947.76</v>
      </c>
      <c r="W1048" s="9">
        <v>227794.81</v>
      </c>
      <c r="X1048" s="9">
        <v>0.0</v>
      </c>
    </row>
    <row r="1049" ht="15.75" customHeight="1">
      <c r="A1049" s="9">
        <v>2104182.0</v>
      </c>
      <c r="B1049" s="9">
        <v>845636.0</v>
      </c>
      <c r="C1049" s="9">
        <v>30068.0</v>
      </c>
      <c r="D1049" s="9" t="s">
        <v>52</v>
      </c>
      <c r="E1049" s="9" t="s">
        <v>53</v>
      </c>
      <c r="F1049" s="9">
        <v>116954.0</v>
      </c>
      <c r="G1049" s="9">
        <v>883386.77</v>
      </c>
      <c r="H1049" s="9">
        <v>883386.77</v>
      </c>
      <c r="I1049" s="9">
        <v>845636.0</v>
      </c>
      <c r="J1049" s="9">
        <v>0.0</v>
      </c>
      <c r="K1049" s="9">
        <v>0.0</v>
      </c>
      <c r="L1049" s="9" t="s">
        <v>59</v>
      </c>
      <c r="M1049" s="9" t="s">
        <v>55</v>
      </c>
      <c r="N1049" s="9">
        <v>788119.0</v>
      </c>
      <c r="O1049" s="9">
        <v>788119.0</v>
      </c>
      <c r="P1049" s="9">
        <v>33825.0</v>
      </c>
      <c r="Q1049" s="9">
        <v>33825.0</v>
      </c>
      <c r="R1049" s="9" t="s">
        <v>60</v>
      </c>
      <c r="S1049" s="9" t="s">
        <v>57</v>
      </c>
      <c r="T1049" s="9" t="s">
        <v>61</v>
      </c>
      <c r="V1049" s="9">
        <v>788119.0</v>
      </c>
      <c r="W1049" s="9">
        <v>33825.0</v>
      </c>
      <c r="X1049" s="9">
        <v>23692.0</v>
      </c>
    </row>
    <row r="1050" ht="15.75" customHeight="1">
      <c r="A1050" s="9">
        <v>2104214.0</v>
      </c>
      <c r="B1050" s="9">
        <v>2527990.0</v>
      </c>
      <c r="C1050" s="9">
        <v>31303.0</v>
      </c>
      <c r="D1050" s="9" t="s">
        <v>52</v>
      </c>
      <c r="E1050" s="9" t="s">
        <v>53</v>
      </c>
      <c r="F1050" s="9">
        <v>117321.0</v>
      </c>
      <c r="G1050" s="9">
        <v>2596722.2</v>
      </c>
      <c r="H1050" s="9">
        <v>2596722.2</v>
      </c>
      <c r="I1050" s="9">
        <v>2315881.24</v>
      </c>
      <c r="J1050" s="9">
        <v>0.0</v>
      </c>
      <c r="K1050" s="9">
        <v>0.0</v>
      </c>
      <c r="L1050" s="9" t="s">
        <v>69</v>
      </c>
      <c r="M1050" s="9" t="s">
        <v>55</v>
      </c>
      <c r="R1050" s="9" t="s">
        <v>75</v>
      </c>
      <c r="S1050" s="9" t="s">
        <v>57</v>
      </c>
      <c r="T1050" s="9" t="s">
        <v>76</v>
      </c>
    </row>
    <row r="1051" ht="15.75" customHeight="1">
      <c r="A1051" s="9">
        <v>2104231.0</v>
      </c>
      <c r="B1051" s="9">
        <v>2280293.0</v>
      </c>
      <c r="C1051" s="9">
        <v>30185.0</v>
      </c>
      <c r="D1051" s="9" t="s">
        <v>52</v>
      </c>
      <c r="E1051" s="9" t="s">
        <v>53</v>
      </c>
      <c r="F1051" s="9">
        <v>111754.0</v>
      </c>
      <c r="G1051" s="9">
        <v>2365441.73</v>
      </c>
      <c r="H1051" s="9">
        <v>2365441.73</v>
      </c>
      <c r="I1051" s="9">
        <v>2365441.0</v>
      </c>
      <c r="J1051" s="9">
        <v>0.0</v>
      </c>
      <c r="K1051" s="9">
        <v>0.0</v>
      </c>
      <c r="L1051" s="9" t="s">
        <v>69</v>
      </c>
      <c r="M1051" s="9" t="s">
        <v>55</v>
      </c>
      <c r="N1051" s="9">
        <v>2321718.0</v>
      </c>
      <c r="O1051" s="9">
        <v>2089546.2</v>
      </c>
      <c r="P1051" s="9">
        <v>43723.0</v>
      </c>
      <c r="Q1051" s="9">
        <v>43723.0</v>
      </c>
      <c r="R1051" s="9" t="s">
        <v>60</v>
      </c>
      <c r="S1051" s="9" t="s">
        <v>57</v>
      </c>
      <c r="T1051" s="9" t="s">
        <v>61</v>
      </c>
      <c r="V1051" s="9">
        <v>2321718.0</v>
      </c>
      <c r="W1051" s="9">
        <v>43723.0</v>
      </c>
      <c r="X1051" s="9">
        <v>0.0</v>
      </c>
    </row>
    <row r="1052" ht="15.75" customHeight="1">
      <c r="A1052" s="9">
        <v>2104246.0</v>
      </c>
      <c r="B1052" s="9">
        <v>831852.0</v>
      </c>
      <c r="C1052" s="9">
        <v>30614.0</v>
      </c>
      <c r="D1052" s="9" t="s">
        <v>52</v>
      </c>
      <c r="E1052" s="9" t="s">
        <v>53</v>
      </c>
      <c r="F1052" s="9">
        <v>102154.0</v>
      </c>
      <c r="G1052" s="9">
        <v>1127295.19</v>
      </c>
      <c r="H1052" s="9">
        <v>1127295.19</v>
      </c>
      <c r="I1052" s="9">
        <v>1283708.75</v>
      </c>
      <c r="J1052" s="9">
        <v>0.0</v>
      </c>
      <c r="K1052" s="9">
        <v>0.0</v>
      </c>
      <c r="L1052" s="9" t="s">
        <v>69</v>
      </c>
      <c r="M1052" s="9" t="s">
        <v>55</v>
      </c>
      <c r="N1052" s="9">
        <v>1127295.19</v>
      </c>
      <c r="O1052" s="9">
        <v>1127295.19</v>
      </c>
      <c r="P1052" s="9">
        <v>38213.4</v>
      </c>
      <c r="Q1052" s="9">
        <v>38213.4</v>
      </c>
      <c r="R1052" s="9" t="s">
        <v>56</v>
      </c>
      <c r="S1052" s="9" t="s">
        <v>57</v>
      </c>
      <c r="T1052" s="9" t="s">
        <v>58</v>
      </c>
      <c r="V1052" s="9">
        <v>1086581.7</v>
      </c>
      <c r="W1052" s="9">
        <v>0.0</v>
      </c>
      <c r="X1052" s="9">
        <v>0.0</v>
      </c>
    </row>
    <row r="1053" ht="15.75" customHeight="1">
      <c r="A1053" s="9">
        <v>2104648.0</v>
      </c>
      <c r="B1053" s="9">
        <v>2353019.0</v>
      </c>
      <c r="C1053" s="9">
        <v>30715.0</v>
      </c>
      <c r="D1053" s="9" t="s">
        <v>52</v>
      </c>
      <c r="E1053" s="9" t="s">
        <v>53</v>
      </c>
      <c r="F1053" s="9">
        <v>114893.0</v>
      </c>
      <c r="G1053" s="9">
        <v>2834590.7</v>
      </c>
      <c r="H1053" s="9">
        <v>2834590.7</v>
      </c>
      <c r="I1053" s="9">
        <v>3009291.42</v>
      </c>
      <c r="J1053" s="9">
        <v>0.0</v>
      </c>
      <c r="K1053" s="9">
        <v>0.0</v>
      </c>
      <c r="L1053" s="9" t="s">
        <v>69</v>
      </c>
      <c r="M1053" s="9" t="s">
        <v>55</v>
      </c>
      <c r="N1053" s="9">
        <v>2704649.57</v>
      </c>
      <c r="O1053" s="9">
        <v>2704649.57</v>
      </c>
      <c r="P1053" s="9">
        <v>100000.0</v>
      </c>
      <c r="Q1053" s="9">
        <v>100000.0</v>
      </c>
      <c r="R1053" s="9" t="s">
        <v>60</v>
      </c>
      <c r="S1053" s="9" t="s">
        <v>57</v>
      </c>
      <c r="T1053" s="9" t="s">
        <v>61</v>
      </c>
      <c r="V1053" s="9">
        <v>2923888.48</v>
      </c>
      <c r="W1053" s="9">
        <v>0.0</v>
      </c>
      <c r="X1053" s="9">
        <v>0.0</v>
      </c>
    </row>
    <row r="1054" ht="15.75" customHeight="1">
      <c r="A1054" s="9">
        <v>2104684.0</v>
      </c>
      <c r="B1054" s="9">
        <v>5990592.0</v>
      </c>
      <c r="C1054" s="9">
        <v>30070.0</v>
      </c>
      <c r="D1054" s="9" t="s">
        <v>52</v>
      </c>
      <c r="E1054" s="9" t="s">
        <v>53</v>
      </c>
      <c r="F1054" s="9">
        <v>121875.0</v>
      </c>
      <c r="G1054" s="9">
        <v>5990592.0</v>
      </c>
      <c r="H1054" s="9">
        <v>5990592.0</v>
      </c>
      <c r="I1054" s="9">
        <v>5900591.59</v>
      </c>
      <c r="J1054" s="9">
        <v>0.0</v>
      </c>
      <c r="K1054" s="9">
        <v>0.0</v>
      </c>
      <c r="L1054" s="9" t="s">
        <v>69</v>
      </c>
      <c r="M1054" s="9" t="s">
        <v>55</v>
      </c>
      <c r="N1054" s="9">
        <v>5619611.43</v>
      </c>
      <c r="O1054" s="9">
        <v>436824.95</v>
      </c>
      <c r="P1054" s="9">
        <v>5619611.43</v>
      </c>
      <c r="Q1054" s="9">
        <v>280980.57</v>
      </c>
      <c r="R1054" s="9" t="s">
        <v>60</v>
      </c>
      <c r="S1054" s="9" t="s">
        <v>57</v>
      </c>
      <c r="T1054" s="9" t="s">
        <v>61</v>
      </c>
      <c r="V1054" s="9">
        <v>5619611.43</v>
      </c>
      <c r="W1054" s="9">
        <v>280980.57</v>
      </c>
      <c r="X1054" s="9">
        <v>0.0</v>
      </c>
    </row>
    <row r="1055" ht="15.75" customHeight="1">
      <c r="A1055" s="9">
        <v>2104699.0</v>
      </c>
      <c r="B1055" s="9">
        <v>5845689.0</v>
      </c>
      <c r="C1055" s="9">
        <v>30937.0</v>
      </c>
      <c r="D1055" s="9" t="s">
        <v>52</v>
      </c>
      <c r="E1055" s="9" t="s">
        <v>53</v>
      </c>
      <c r="F1055" s="9">
        <v>116151.0</v>
      </c>
      <c r="G1055" s="9">
        <v>6246158.18</v>
      </c>
      <c r="H1055" s="9">
        <v>6246158.18</v>
      </c>
      <c r="I1055" s="9">
        <v>7035253.33</v>
      </c>
      <c r="J1055" s="9">
        <v>0.0</v>
      </c>
      <c r="K1055" s="9">
        <v>0.0</v>
      </c>
      <c r="L1055" s="9" t="s">
        <v>69</v>
      </c>
      <c r="M1055" s="9" t="s">
        <v>55</v>
      </c>
      <c r="N1055" s="9">
        <v>5822461.78</v>
      </c>
      <c r="O1055" s="9">
        <v>5822461.78</v>
      </c>
      <c r="P1055" s="9">
        <v>5822461.78</v>
      </c>
      <c r="Q1055" s="9">
        <v>395927.4</v>
      </c>
      <c r="R1055" s="9" t="s">
        <v>60</v>
      </c>
      <c r="S1055" s="9" t="s">
        <v>57</v>
      </c>
      <c r="T1055" s="9" t="s">
        <v>61</v>
      </c>
      <c r="V1055" s="9">
        <v>6462602.98</v>
      </c>
      <c r="W1055" s="9">
        <v>395972.4</v>
      </c>
      <c r="X1055" s="9">
        <v>0.0</v>
      </c>
    </row>
    <row r="1056" ht="15.75" customHeight="1">
      <c r="A1056" s="9">
        <v>2105937.0</v>
      </c>
      <c r="B1056" s="9">
        <v>1796277.0</v>
      </c>
      <c r="C1056" s="9">
        <v>31172.0</v>
      </c>
      <c r="D1056" s="9" t="s">
        <v>52</v>
      </c>
      <c r="E1056" s="9" t="s">
        <v>53</v>
      </c>
      <c r="F1056" s="9">
        <v>121687.0</v>
      </c>
      <c r="G1056" s="9">
        <v>1703090.0</v>
      </c>
      <c r="H1056" s="9">
        <v>1703090.0</v>
      </c>
      <c r="I1056" s="9">
        <v>0.0</v>
      </c>
      <c r="J1056" s="9">
        <v>0.0</v>
      </c>
      <c r="K1056" s="9">
        <v>0.0</v>
      </c>
      <c r="L1056" s="9" t="s">
        <v>54</v>
      </c>
      <c r="M1056" s="9" t="s">
        <v>55</v>
      </c>
      <c r="R1056" s="9" t="s">
        <v>60</v>
      </c>
      <c r="S1056" s="9" t="s">
        <v>57</v>
      </c>
      <c r="T1056" s="9" t="s">
        <v>61</v>
      </c>
      <c r="V1056" s="9">
        <v>1229639.49</v>
      </c>
      <c r="W1056" s="9">
        <v>0.0</v>
      </c>
      <c r="X1056" s="9">
        <v>0.0</v>
      </c>
    </row>
    <row r="1057" ht="15.75" customHeight="1">
      <c r="A1057" s="9">
        <v>2128672.0</v>
      </c>
      <c r="B1057" s="9">
        <v>2267178.0</v>
      </c>
      <c r="C1057" s="9">
        <v>33198.0</v>
      </c>
      <c r="D1057" s="9" t="s">
        <v>52</v>
      </c>
      <c r="E1057" s="9" t="s">
        <v>53</v>
      </c>
      <c r="F1057" s="9">
        <v>147942.0</v>
      </c>
      <c r="G1057" s="9">
        <v>3100158.25</v>
      </c>
      <c r="H1057" s="9">
        <v>3100158.25</v>
      </c>
      <c r="I1057" s="9">
        <v>2927132.67</v>
      </c>
      <c r="J1057" s="9">
        <v>0.0</v>
      </c>
      <c r="K1057" s="9">
        <v>0.0</v>
      </c>
      <c r="L1057" s="9" t="s">
        <v>69</v>
      </c>
      <c r="M1057" s="9" t="s">
        <v>62</v>
      </c>
      <c r="N1057" s="9">
        <v>927873.47</v>
      </c>
      <c r="O1057" s="9">
        <v>927873.47</v>
      </c>
      <c r="P1057" s="9">
        <v>35385.01</v>
      </c>
      <c r="Q1057" s="9">
        <v>35385.01</v>
      </c>
      <c r="R1057" s="9" t="s">
        <v>56</v>
      </c>
      <c r="S1057" s="9" t="s">
        <v>57</v>
      </c>
      <c r="T1057" s="9" t="s">
        <v>58</v>
      </c>
      <c r="V1057" s="9">
        <v>927873.47</v>
      </c>
      <c r="W1057" s="9">
        <v>0.0</v>
      </c>
      <c r="X1057" s="9">
        <v>0.0</v>
      </c>
    </row>
    <row r="1058" ht="15.75" customHeight="1">
      <c r="A1058" s="9">
        <v>2128772.0</v>
      </c>
      <c r="B1058" s="9">
        <v>2013001.0</v>
      </c>
      <c r="C1058" s="9">
        <v>26693.0</v>
      </c>
      <c r="D1058" s="9" t="s">
        <v>52</v>
      </c>
      <c r="E1058" s="9" t="s">
        <v>53</v>
      </c>
      <c r="F1058" s="9">
        <v>160269.0</v>
      </c>
      <c r="G1058" s="9">
        <v>1859741.57</v>
      </c>
      <c r="H1058" s="9">
        <v>1859741.57</v>
      </c>
      <c r="I1058" s="9">
        <v>1804838.0</v>
      </c>
      <c r="J1058" s="9">
        <v>0.0</v>
      </c>
      <c r="K1058" s="9">
        <v>0.0</v>
      </c>
      <c r="L1058" s="9" t="s">
        <v>69</v>
      </c>
      <c r="M1058" s="9" t="s">
        <v>55</v>
      </c>
      <c r="N1058" s="9">
        <v>1762346.2</v>
      </c>
      <c r="O1058" s="9">
        <v>1762346.2</v>
      </c>
      <c r="P1058" s="9">
        <v>39999.9</v>
      </c>
      <c r="Q1058" s="9">
        <v>39999.9</v>
      </c>
      <c r="R1058" s="9" t="s">
        <v>60</v>
      </c>
      <c r="S1058" s="9" t="s">
        <v>57</v>
      </c>
      <c r="T1058" s="9" t="s">
        <v>61</v>
      </c>
      <c r="V1058" s="9">
        <v>1762346.2</v>
      </c>
      <c r="W1058" s="9">
        <v>39999.9</v>
      </c>
      <c r="X1058" s="9">
        <v>0.0</v>
      </c>
    </row>
    <row r="1059" ht="15.75" customHeight="1">
      <c r="A1059" s="9">
        <v>2128872.0</v>
      </c>
      <c r="B1059" s="9">
        <v>1149110.0</v>
      </c>
      <c r="C1059" s="9">
        <v>29976.0</v>
      </c>
      <c r="D1059" s="9" t="s">
        <v>52</v>
      </c>
      <c r="E1059" s="9" t="s">
        <v>53</v>
      </c>
      <c r="F1059" s="9">
        <v>136469.0</v>
      </c>
      <c r="G1059" s="9">
        <v>1283108.1</v>
      </c>
      <c r="H1059" s="9">
        <v>1283108.1</v>
      </c>
      <c r="I1059" s="9">
        <v>1276403.53</v>
      </c>
      <c r="J1059" s="9">
        <v>0.0</v>
      </c>
      <c r="K1059" s="9">
        <v>0.0</v>
      </c>
      <c r="L1059" s="9" t="s">
        <v>59</v>
      </c>
      <c r="M1059" s="9" t="s">
        <v>55</v>
      </c>
      <c r="N1059" s="9">
        <v>1123434.24</v>
      </c>
      <c r="O1059" s="9">
        <v>1123434.24</v>
      </c>
      <c r="P1059" s="9">
        <v>58182.76</v>
      </c>
      <c r="Q1059" s="9">
        <v>58182.76</v>
      </c>
      <c r="R1059" s="9" t="s">
        <v>60</v>
      </c>
      <c r="S1059" s="9" t="s">
        <v>57</v>
      </c>
      <c r="T1059" s="9" t="s">
        <v>61</v>
      </c>
      <c r="V1059" s="9">
        <v>1224925.34</v>
      </c>
      <c r="W1059" s="9">
        <v>58182.76</v>
      </c>
      <c r="X1059" s="9">
        <v>0.0</v>
      </c>
    </row>
    <row r="1060" ht="15.75" customHeight="1">
      <c r="A1060" s="9">
        <v>2129393.0</v>
      </c>
      <c r="B1060" s="9">
        <v>2.0643914E7</v>
      </c>
      <c r="C1060" s="9">
        <v>40093.0</v>
      </c>
      <c r="D1060" s="9" t="s">
        <v>52</v>
      </c>
      <c r="E1060" s="9" t="s">
        <v>53</v>
      </c>
      <c r="F1060" s="9">
        <v>140368.0</v>
      </c>
      <c r="G1060" s="9">
        <v>1.274330654E7</v>
      </c>
      <c r="H1060" s="9">
        <v>1.280799364E7</v>
      </c>
      <c r="I1060" s="9">
        <v>1.26958909E7</v>
      </c>
      <c r="J1060" s="9">
        <v>0.0</v>
      </c>
      <c r="K1060" s="9">
        <v>0.0</v>
      </c>
      <c r="L1060" s="9" t="s">
        <v>59</v>
      </c>
      <c r="M1060" s="9" t="s">
        <v>55</v>
      </c>
      <c r="N1060" s="9">
        <v>1.191632832E7</v>
      </c>
      <c r="O1060" s="9">
        <v>1.191632832E7</v>
      </c>
      <c r="P1060" s="9">
        <v>439183.77</v>
      </c>
      <c r="Q1060" s="9">
        <v>439000.0</v>
      </c>
      <c r="R1060" s="9" t="s">
        <v>72</v>
      </c>
      <c r="S1060" s="9" t="s">
        <v>57</v>
      </c>
      <c r="T1060" s="9" t="s">
        <v>73</v>
      </c>
      <c r="V1060" s="9">
        <v>1.200628523E7</v>
      </c>
      <c r="W1060" s="9">
        <v>439000.0</v>
      </c>
      <c r="X1060" s="9">
        <v>0.0</v>
      </c>
    </row>
    <row r="1061" ht="15.75" customHeight="1">
      <c r="A1061" s="9">
        <v>2130880.0</v>
      </c>
      <c r="B1061" s="9">
        <v>3369814.0</v>
      </c>
      <c r="C1061" s="9">
        <v>30363.0</v>
      </c>
      <c r="D1061" s="9" t="s">
        <v>52</v>
      </c>
      <c r="E1061" s="9" t="s">
        <v>53</v>
      </c>
      <c r="F1061" s="9">
        <v>13080.0</v>
      </c>
      <c r="G1061" s="9">
        <v>3369814.0</v>
      </c>
      <c r="H1061" s="9">
        <v>3369814.0</v>
      </c>
      <c r="I1061" s="9">
        <v>3107141.74</v>
      </c>
      <c r="J1061" s="9">
        <v>0.0</v>
      </c>
      <c r="K1061" s="9">
        <v>0.0</v>
      </c>
      <c r="L1061" s="9" t="s">
        <v>59</v>
      </c>
      <c r="M1061" s="9" t="s">
        <v>55</v>
      </c>
      <c r="N1061" s="9">
        <v>3161064.37</v>
      </c>
      <c r="O1061" s="9">
        <v>3161064.37</v>
      </c>
      <c r="P1061" s="9">
        <v>166089.82</v>
      </c>
      <c r="Q1061" s="9">
        <v>166089.82</v>
      </c>
      <c r="R1061" s="9" t="s">
        <v>75</v>
      </c>
      <c r="S1061" s="9" t="s">
        <v>57</v>
      </c>
      <c r="T1061" s="9" t="s">
        <v>76</v>
      </c>
    </row>
    <row r="1062" ht="15.75" customHeight="1">
      <c r="A1062" s="9">
        <v>2132733.0</v>
      </c>
      <c r="B1062" s="9">
        <v>8.5756119E7</v>
      </c>
      <c r="C1062" s="9">
        <v>40181.0</v>
      </c>
      <c r="D1062" s="9" t="s">
        <v>52</v>
      </c>
      <c r="E1062" s="9" t="s">
        <v>53</v>
      </c>
      <c r="F1062" s="9">
        <v>141994.0</v>
      </c>
      <c r="G1062" s="9">
        <v>1.1368591422E8</v>
      </c>
      <c r="H1062" s="9">
        <v>1.2625058766E8</v>
      </c>
      <c r="I1062" s="9">
        <v>1.2513741329E8</v>
      </c>
      <c r="J1062" s="9">
        <v>4224.3</v>
      </c>
      <c r="K1062" s="9">
        <v>4225.0</v>
      </c>
      <c r="L1062" s="9" t="s">
        <v>59</v>
      </c>
      <c r="M1062" s="9" t="s">
        <v>55</v>
      </c>
      <c r="N1062" s="9">
        <v>3.682851442E7</v>
      </c>
      <c r="O1062" s="9">
        <v>3.682851442E7</v>
      </c>
      <c r="P1062" s="9">
        <v>969110.0</v>
      </c>
      <c r="Q1062" s="9">
        <v>872199.36</v>
      </c>
      <c r="R1062" s="9" t="s">
        <v>72</v>
      </c>
      <c r="S1062" s="9" t="s">
        <v>57</v>
      </c>
      <c r="T1062" s="9" t="s">
        <v>73</v>
      </c>
      <c r="V1062" s="9">
        <v>4.337255887E7</v>
      </c>
      <c r="W1062" s="9">
        <v>0.0</v>
      </c>
      <c r="X1062" s="9">
        <v>0.0</v>
      </c>
    </row>
    <row r="1063" ht="15.75" customHeight="1">
      <c r="A1063" s="9">
        <v>2135778.0</v>
      </c>
      <c r="B1063" s="9">
        <v>5997334.0</v>
      </c>
      <c r="C1063" s="9">
        <v>30310.0</v>
      </c>
      <c r="D1063" s="9" t="s">
        <v>52</v>
      </c>
      <c r="E1063" s="9" t="s">
        <v>53</v>
      </c>
      <c r="F1063" s="9">
        <v>177432.0</v>
      </c>
      <c r="G1063" s="9">
        <v>5986852.0</v>
      </c>
      <c r="H1063" s="9">
        <v>5986852.0</v>
      </c>
      <c r="I1063" s="9">
        <v>5968224.12</v>
      </c>
      <c r="J1063" s="9">
        <v>0.0</v>
      </c>
      <c r="K1063" s="9">
        <v>0.0</v>
      </c>
      <c r="L1063" s="9" t="s">
        <v>59</v>
      </c>
      <c r="M1063" s="9" t="s">
        <v>55</v>
      </c>
      <c r="N1063" s="9">
        <v>5846852.2</v>
      </c>
      <c r="O1063" s="9">
        <v>5554509.59</v>
      </c>
      <c r="R1063" s="9" t="s">
        <v>60</v>
      </c>
      <c r="S1063" s="9" t="s">
        <v>57</v>
      </c>
      <c r="T1063" s="9" t="s">
        <v>61</v>
      </c>
      <c r="V1063" s="9">
        <v>5969508.15</v>
      </c>
      <c r="W1063" s="9">
        <v>173054.07</v>
      </c>
      <c r="X1063" s="9">
        <v>0.0</v>
      </c>
    </row>
    <row r="1064" ht="15.75" customHeight="1">
      <c r="A1064" s="9">
        <v>2138917.0</v>
      </c>
      <c r="B1064" s="9">
        <v>2320997.0</v>
      </c>
      <c r="C1064" s="9">
        <v>30559.0</v>
      </c>
      <c r="D1064" s="9" t="s">
        <v>52</v>
      </c>
      <c r="E1064" s="9" t="s">
        <v>53</v>
      </c>
      <c r="F1064" s="9">
        <v>173562.0</v>
      </c>
      <c r="G1064" s="9">
        <v>2624416.9</v>
      </c>
      <c r="H1064" s="9">
        <v>2624416.9</v>
      </c>
      <c r="I1064" s="9">
        <v>2593950.23</v>
      </c>
      <c r="J1064" s="9">
        <v>0.0</v>
      </c>
      <c r="K1064" s="9">
        <v>0.0</v>
      </c>
      <c r="L1064" s="9" t="s">
        <v>59</v>
      </c>
      <c r="M1064" s="9" t="s">
        <v>55</v>
      </c>
      <c r="N1064" s="9">
        <v>2523384.45</v>
      </c>
      <c r="O1064" s="9">
        <v>2523384.45</v>
      </c>
      <c r="R1064" s="9" t="s">
        <v>60</v>
      </c>
      <c r="S1064" s="9" t="s">
        <v>57</v>
      </c>
      <c r="T1064" s="9" t="s">
        <v>61</v>
      </c>
      <c r="V1064" s="9">
        <v>2594158.45</v>
      </c>
      <c r="W1064" s="9">
        <v>0.0</v>
      </c>
      <c r="X1064" s="9">
        <v>0.0</v>
      </c>
    </row>
    <row r="1065" ht="15.75" customHeight="1">
      <c r="A1065" s="9">
        <v>2138968.0</v>
      </c>
      <c r="B1065" s="9">
        <v>751847.89</v>
      </c>
      <c r="C1065" s="9">
        <v>30082.0</v>
      </c>
      <c r="D1065" s="9" t="s">
        <v>52</v>
      </c>
      <c r="E1065" s="9" t="s">
        <v>53</v>
      </c>
      <c r="F1065" s="9">
        <v>168845.0</v>
      </c>
      <c r="G1065" s="9">
        <v>985178.83</v>
      </c>
      <c r="H1065" s="9">
        <v>985178.83</v>
      </c>
      <c r="I1065" s="9">
        <v>952384.36</v>
      </c>
      <c r="J1065" s="9">
        <v>0.0</v>
      </c>
      <c r="K1065" s="9">
        <v>0.0</v>
      </c>
      <c r="L1065" s="9" t="s">
        <v>69</v>
      </c>
      <c r="M1065" s="9" t="s">
        <v>55</v>
      </c>
      <c r="N1065" s="9">
        <v>847063.15</v>
      </c>
      <c r="O1065" s="9">
        <v>788119.0</v>
      </c>
      <c r="R1065" s="9" t="s">
        <v>60</v>
      </c>
      <c r="S1065" s="9" t="s">
        <v>57</v>
      </c>
      <c r="T1065" s="9" t="s">
        <v>61</v>
      </c>
      <c r="V1065" s="9">
        <v>948982.64</v>
      </c>
      <c r="W1065" s="9">
        <v>0.0</v>
      </c>
      <c r="X1065" s="9">
        <v>0.0</v>
      </c>
    </row>
    <row r="1066" ht="15.75" customHeight="1">
      <c r="A1066" s="9">
        <v>2138986.0</v>
      </c>
      <c r="B1066" s="9">
        <v>3265129.0</v>
      </c>
      <c r="C1066" s="9">
        <v>30306.0</v>
      </c>
      <c r="D1066" s="9" t="s">
        <v>52</v>
      </c>
      <c r="E1066" s="9" t="s">
        <v>53</v>
      </c>
      <c r="F1066" s="9">
        <v>176681.0</v>
      </c>
      <c r="G1066" s="9">
        <v>3200123.41</v>
      </c>
      <c r="H1066" s="9">
        <v>3200123.41</v>
      </c>
      <c r="I1066" s="9">
        <v>3403604.19</v>
      </c>
      <c r="J1066" s="9">
        <v>0.0</v>
      </c>
      <c r="K1066" s="9">
        <v>0.0</v>
      </c>
      <c r="L1066" s="9" t="s">
        <v>59</v>
      </c>
      <c r="M1066" s="9" t="s">
        <v>55</v>
      </c>
      <c r="N1066" s="9">
        <v>3200123.42</v>
      </c>
      <c r="O1066" s="9">
        <v>3200123.42</v>
      </c>
      <c r="P1066" s="9">
        <v>134695.82</v>
      </c>
      <c r="Q1066" s="9">
        <v>134695.82</v>
      </c>
      <c r="R1066" s="9" t="s">
        <v>60</v>
      </c>
      <c r="S1066" s="9" t="s">
        <v>57</v>
      </c>
      <c r="T1066" s="9" t="s">
        <v>61</v>
      </c>
      <c r="V1066" s="9">
        <v>3296932.64</v>
      </c>
      <c r="W1066" s="9">
        <v>134695.82</v>
      </c>
      <c r="X1066" s="9">
        <v>0.0</v>
      </c>
    </row>
    <row r="1067" ht="15.75" customHeight="1">
      <c r="A1067" s="9">
        <v>2140489.0</v>
      </c>
      <c r="B1067" s="9">
        <v>2683360.0</v>
      </c>
      <c r="C1067" s="9">
        <v>30836.0</v>
      </c>
      <c r="D1067" s="9" t="s">
        <v>52</v>
      </c>
      <c r="E1067" s="9" t="s">
        <v>53</v>
      </c>
      <c r="F1067" s="9">
        <v>177232.0</v>
      </c>
      <c r="G1067" s="9">
        <v>3145308.58</v>
      </c>
      <c r="H1067" s="9">
        <v>3145308.58</v>
      </c>
      <c r="I1067" s="9">
        <v>3097782.84</v>
      </c>
      <c r="J1067" s="9">
        <v>0.0</v>
      </c>
      <c r="K1067" s="9">
        <v>0.0</v>
      </c>
      <c r="L1067" s="9" t="s">
        <v>69</v>
      </c>
      <c r="M1067" s="9" t="s">
        <v>55</v>
      </c>
      <c r="N1067" s="9">
        <v>2803074.96</v>
      </c>
      <c r="O1067" s="9">
        <v>2963079.22</v>
      </c>
      <c r="P1067" s="9">
        <v>115263.78</v>
      </c>
      <c r="Q1067" s="9">
        <v>115263.78</v>
      </c>
      <c r="R1067" s="9" t="s">
        <v>60</v>
      </c>
      <c r="S1067" s="9" t="s">
        <v>57</v>
      </c>
      <c r="T1067" s="9" t="s">
        <v>61</v>
      </c>
      <c r="V1067" s="9">
        <v>2963079.21</v>
      </c>
      <c r="W1067" s="9">
        <v>115263.78</v>
      </c>
      <c r="X1067" s="9">
        <v>0.0</v>
      </c>
    </row>
    <row r="1068" ht="15.75" customHeight="1">
      <c r="A1068" s="9">
        <v>2140607.0</v>
      </c>
      <c r="B1068" s="9">
        <v>2892598.0</v>
      </c>
      <c r="C1068" s="9">
        <v>29880.0</v>
      </c>
      <c r="D1068" s="9" t="s">
        <v>52</v>
      </c>
      <c r="E1068" s="9" t="s">
        <v>53</v>
      </c>
      <c r="F1068" s="9">
        <v>173784.0</v>
      </c>
      <c r="G1068" s="9">
        <v>2892598.0</v>
      </c>
      <c r="H1068" s="9">
        <v>2892598.0</v>
      </c>
      <c r="I1068" s="9">
        <v>2888413.35</v>
      </c>
      <c r="J1068" s="9">
        <v>0.0</v>
      </c>
      <c r="K1068" s="9">
        <v>0.0</v>
      </c>
      <c r="L1068" s="9" t="s">
        <v>69</v>
      </c>
      <c r="M1068" s="9" t="s">
        <v>55</v>
      </c>
      <c r="N1068" s="9">
        <v>2759910.0</v>
      </c>
      <c r="O1068" s="9">
        <v>2572797.45</v>
      </c>
      <c r="P1068" s="9">
        <v>132688.0</v>
      </c>
      <c r="Q1068" s="9">
        <v>112447.45</v>
      </c>
      <c r="R1068" s="9" t="s">
        <v>60</v>
      </c>
      <c r="S1068" s="9" t="s">
        <v>57</v>
      </c>
      <c r="T1068" s="9" t="s">
        <v>61</v>
      </c>
      <c r="V1068" s="9">
        <v>2756028.45</v>
      </c>
      <c r="W1068" s="9">
        <v>112447.45</v>
      </c>
      <c r="X1068" s="9">
        <v>0.0</v>
      </c>
    </row>
    <row r="1069" ht="15.75" customHeight="1">
      <c r="A1069" s="9">
        <v>2140658.0</v>
      </c>
      <c r="B1069" s="9">
        <v>9956895.0</v>
      </c>
      <c r="C1069" s="9">
        <v>37143.0</v>
      </c>
      <c r="D1069" s="9" t="s">
        <v>52</v>
      </c>
      <c r="E1069" s="9" t="s">
        <v>53</v>
      </c>
      <c r="F1069" s="9">
        <v>179384.0</v>
      </c>
      <c r="G1069" s="9">
        <v>1.291944283E7</v>
      </c>
      <c r="H1069" s="9">
        <v>1.291944283E7</v>
      </c>
      <c r="I1069" s="9">
        <v>1.291737483E7</v>
      </c>
      <c r="J1069" s="9">
        <v>0.0</v>
      </c>
      <c r="K1069" s="9">
        <v>0.0</v>
      </c>
      <c r="L1069" s="9" t="s">
        <v>69</v>
      </c>
      <c r="M1069" s="9" t="s">
        <v>62</v>
      </c>
      <c r="N1069" s="9">
        <v>2164805.8</v>
      </c>
      <c r="O1069" s="9">
        <v>2164805.8</v>
      </c>
      <c r="P1069" s="9">
        <v>75768.0</v>
      </c>
      <c r="Q1069" s="9">
        <v>75768.0</v>
      </c>
      <c r="R1069" s="9" t="s">
        <v>72</v>
      </c>
      <c r="S1069" s="9" t="s">
        <v>57</v>
      </c>
      <c r="T1069" s="9" t="s">
        <v>73</v>
      </c>
      <c r="V1069" s="9">
        <v>2164805.8</v>
      </c>
      <c r="W1069" s="9">
        <v>75767.82</v>
      </c>
      <c r="X1069" s="9">
        <v>0.0</v>
      </c>
    </row>
    <row r="1070" ht="15.75" customHeight="1">
      <c r="A1070" s="9">
        <v>2140672.0</v>
      </c>
      <c r="B1070" s="9">
        <v>2390396.0</v>
      </c>
      <c r="C1070" s="9">
        <v>29971.0</v>
      </c>
      <c r="D1070" s="9" t="s">
        <v>52</v>
      </c>
      <c r="E1070" s="9" t="s">
        <v>53</v>
      </c>
      <c r="F1070" s="9">
        <v>177378.0</v>
      </c>
      <c r="G1070" s="9">
        <v>2390396.0</v>
      </c>
      <c r="H1070" s="9">
        <v>2390396.0</v>
      </c>
      <c r="I1070" s="9">
        <v>2474375.73</v>
      </c>
      <c r="J1070" s="9">
        <v>0.0</v>
      </c>
      <c r="K1070" s="9">
        <v>0.0</v>
      </c>
      <c r="L1070" s="9" t="s">
        <v>59</v>
      </c>
      <c r="M1070" s="9" t="s">
        <v>55</v>
      </c>
      <c r="N1070" s="9">
        <v>2292429.23</v>
      </c>
      <c r="O1070" s="9">
        <v>2292429.23</v>
      </c>
      <c r="P1070" s="9">
        <v>97967.06</v>
      </c>
      <c r="Q1070" s="9">
        <v>97000.0</v>
      </c>
      <c r="R1070" s="9" t="s">
        <v>60</v>
      </c>
      <c r="S1070" s="9" t="s">
        <v>57</v>
      </c>
      <c r="T1070" s="9" t="s">
        <v>61</v>
      </c>
      <c r="V1070" s="9">
        <v>2292429.23</v>
      </c>
      <c r="W1070" s="9">
        <v>97000.0</v>
      </c>
      <c r="X1070" s="9">
        <v>0.0</v>
      </c>
    </row>
    <row r="1071" ht="15.75" customHeight="1">
      <c r="A1071" s="9">
        <v>2146187.0</v>
      </c>
      <c r="B1071" s="9">
        <v>2587477.0</v>
      </c>
      <c r="C1071" s="9">
        <v>39153.0</v>
      </c>
      <c r="D1071" s="9" t="s">
        <v>52</v>
      </c>
      <c r="E1071" s="9" t="s">
        <v>52</v>
      </c>
      <c r="F1071" s="9">
        <v>126887.0</v>
      </c>
      <c r="G1071" s="9">
        <v>2587477.0</v>
      </c>
      <c r="H1071" s="9">
        <v>2587477.0</v>
      </c>
      <c r="I1071" s="9">
        <v>140776.27</v>
      </c>
      <c r="J1071" s="9">
        <v>0.0</v>
      </c>
      <c r="K1071" s="9">
        <v>0.0</v>
      </c>
      <c r="L1071" s="9" t="s">
        <v>69</v>
      </c>
      <c r="M1071" s="9" t="s">
        <v>116</v>
      </c>
      <c r="R1071" s="9" t="s">
        <v>72</v>
      </c>
      <c r="S1071" s="9" t="s">
        <v>57</v>
      </c>
      <c r="T1071" s="9" t="s">
        <v>73</v>
      </c>
    </row>
    <row r="1072" ht="15.75" customHeight="1">
      <c r="A1072" s="9">
        <v>2147005.0</v>
      </c>
      <c r="B1072" s="9">
        <v>9634092.0</v>
      </c>
      <c r="C1072" s="9">
        <v>30805.0</v>
      </c>
      <c r="D1072" s="9" t="s">
        <v>52</v>
      </c>
      <c r="E1072" s="9" t="s">
        <v>53</v>
      </c>
      <c r="F1072" s="9">
        <v>179963.0</v>
      </c>
      <c r="G1072" s="9">
        <v>1.175180023E7</v>
      </c>
      <c r="H1072" s="9">
        <v>1.175180023E7</v>
      </c>
      <c r="I1072" s="9">
        <v>1.175180023E7</v>
      </c>
      <c r="J1072" s="9">
        <v>0.0</v>
      </c>
      <c r="K1072" s="9">
        <v>0.0</v>
      </c>
      <c r="L1072" s="9" t="s">
        <v>59</v>
      </c>
      <c r="M1072" s="9" t="s">
        <v>55</v>
      </c>
      <c r="N1072" s="9">
        <v>1.112284454E7</v>
      </c>
      <c r="O1072" s="9">
        <v>1.112284454E7</v>
      </c>
      <c r="P1072" s="9">
        <v>0.0</v>
      </c>
      <c r="Q1072" s="9">
        <v>195000.0</v>
      </c>
      <c r="R1072" s="9" t="s">
        <v>60</v>
      </c>
      <c r="S1072" s="9" t="s">
        <v>57</v>
      </c>
      <c r="T1072" s="9" t="s">
        <v>61</v>
      </c>
      <c r="V1072" s="9">
        <v>1.112284454E7</v>
      </c>
      <c r="W1072" s="9">
        <v>229899.41</v>
      </c>
      <c r="X1072" s="9">
        <v>0.0</v>
      </c>
    </row>
    <row r="1073" ht="15.75" customHeight="1">
      <c r="A1073" s="9">
        <v>2147841.0</v>
      </c>
      <c r="B1073" s="9">
        <v>5488206.0</v>
      </c>
      <c r="C1073" s="9">
        <v>30886.0</v>
      </c>
      <c r="D1073" s="9" t="s">
        <v>52</v>
      </c>
      <c r="E1073" s="9" t="s">
        <v>53</v>
      </c>
      <c r="F1073" s="9">
        <v>175709.0</v>
      </c>
      <c r="G1073" s="9">
        <v>5488206.0</v>
      </c>
      <c r="H1073" s="9">
        <v>5283727.05</v>
      </c>
      <c r="I1073" s="9">
        <v>5283727.05</v>
      </c>
      <c r="J1073" s="9">
        <v>0.0</v>
      </c>
      <c r="K1073" s="9">
        <v>0.0</v>
      </c>
      <c r="L1073" s="9" t="s">
        <v>59</v>
      </c>
      <c r="M1073" s="9" t="s">
        <v>55</v>
      </c>
      <c r="N1073" s="9">
        <v>5035052.0</v>
      </c>
      <c r="O1073" s="9">
        <v>5035052.0</v>
      </c>
      <c r="P1073" s="9">
        <v>251752.0</v>
      </c>
      <c r="Q1073" s="9">
        <v>251752.0</v>
      </c>
      <c r="R1073" s="9" t="s">
        <v>60</v>
      </c>
      <c r="S1073" s="9" t="s">
        <v>57</v>
      </c>
      <c r="T1073" s="9" t="s">
        <v>61</v>
      </c>
      <c r="V1073" s="9">
        <v>5386078.47</v>
      </c>
      <c r="W1073" s="9">
        <v>0.0</v>
      </c>
      <c r="X1073" s="9">
        <v>0.0</v>
      </c>
    </row>
    <row r="1074" ht="15.75" customHeight="1">
      <c r="A1074" s="9">
        <v>2147842.0</v>
      </c>
      <c r="B1074" s="9">
        <v>949581.12</v>
      </c>
      <c r="C1074" s="9">
        <v>31023.0</v>
      </c>
      <c r="D1074" s="9" t="s">
        <v>52</v>
      </c>
      <c r="E1074" s="9" t="s">
        <v>53</v>
      </c>
      <c r="F1074" s="9">
        <v>166967.0</v>
      </c>
      <c r="G1074" s="9">
        <v>949581.12</v>
      </c>
      <c r="H1074" s="9">
        <v>949581.12</v>
      </c>
      <c r="I1074" s="9">
        <v>718950.0</v>
      </c>
      <c r="J1074" s="9">
        <v>0.0</v>
      </c>
      <c r="K1074" s="9">
        <v>0.0</v>
      </c>
      <c r="L1074" s="9" t="s">
        <v>69</v>
      </c>
      <c r="M1074" s="9" t="s">
        <v>55</v>
      </c>
      <c r="R1074" s="9" t="s">
        <v>60</v>
      </c>
      <c r="S1074" s="9" t="s">
        <v>57</v>
      </c>
      <c r="T1074" s="9" t="s">
        <v>61</v>
      </c>
      <c r="V1074" s="9">
        <v>899393.0</v>
      </c>
      <c r="W1074" s="9">
        <v>0.0</v>
      </c>
      <c r="X1074" s="9">
        <v>0.0</v>
      </c>
    </row>
    <row r="1075" ht="15.75" customHeight="1">
      <c r="A1075" s="9">
        <v>2148060.0</v>
      </c>
      <c r="B1075" s="9">
        <v>3786864.0</v>
      </c>
      <c r="C1075" s="9">
        <v>30266.0</v>
      </c>
      <c r="D1075" s="9" t="s">
        <v>52</v>
      </c>
      <c r="E1075" s="9" t="s">
        <v>53</v>
      </c>
      <c r="F1075" s="9">
        <v>192842.0</v>
      </c>
      <c r="G1075" s="9">
        <v>3776346.0</v>
      </c>
      <c r="H1075" s="9">
        <v>3786864.0</v>
      </c>
      <c r="I1075" s="9">
        <v>3776345.52</v>
      </c>
      <c r="J1075" s="9">
        <v>0.0</v>
      </c>
      <c r="K1075" s="9">
        <v>0.0</v>
      </c>
      <c r="L1075" s="9" t="s">
        <v>59</v>
      </c>
      <c r="M1075" s="9" t="s">
        <v>55</v>
      </c>
      <c r="N1075" s="9">
        <v>3445142.99</v>
      </c>
      <c r="O1075" s="9">
        <v>3445142.99</v>
      </c>
      <c r="P1075" s="9">
        <v>0.0</v>
      </c>
      <c r="Q1075" s="9">
        <v>103354.29</v>
      </c>
      <c r="R1075" s="9" t="s">
        <v>60</v>
      </c>
      <c r="S1075" s="9" t="s">
        <v>57</v>
      </c>
      <c r="T1075" s="9" t="s">
        <v>61</v>
      </c>
      <c r="V1075" s="9">
        <v>3410342.71</v>
      </c>
      <c r="W1075" s="9">
        <v>103354.29</v>
      </c>
      <c r="X1075" s="9">
        <v>0.0</v>
      </c>
    </row>
    <row r="1076" ht="15.75" customHeight="1">
      <c r="A1076" s="9">
        <v>2148459.0</v>
      </c>
      <c r="B1076" s="9">
        <v>3524663.0</v>
      </c>
      <c r="C1076" s="9">
        <v>38114.0</v>
      </c>
      <c r="D1076" s="9" t="s">
        <v>52</v>
      </c>
      <c r="E1076" s="9" t="s">
        <v>53</v>
      </c>
      <c r="F1076" s="9">
        <v>15715.0</v>
      </c>
      <c r="G1076" s="9">
        <v>1.749634434E7</v>
      </c>
      <c r="H1076" s="9">
        <v>1.769994125E7</v>
      </c>
      <c r="I1076" s="9">
        <v>1.453118622E7</v>
      </c>
      <c r="J1076" s="9">
        <v>0.0</v>
      </c>
      <c r="K1076" s="9">
        <v>0.0</v>
      </c>
      <c r="L1076" s="9" t="s">
        <v>69</v>
      </c>
      <c r="M1076" s="9" t="s">
        <v>62</v>
      </c>
      <c r="N1076" s="9">
        <v>6951909.38</v>
      </c>
      <c r="O1076" s="9">
        <v>6480591.57</v>
      </c>
      <c r="P1076" s="9">
        <v>270000.0</v>
      </c>
      <c r="Q1076" s="9">
        <v>251694.0</v>
      </c>
      <c r="R1076" s="9" t="s">
        <v>56</v>
      </c>
      <c r="S1076" s="9" t="s">
        <v>57</v>
      </c>
      <c r="T1076" s="9" t="s">
        <v>58</v>
      </c>
      <c r="V1076" s="9">
        <v>6991005.36</v>
      </c>
      <c r="W1076" s="9">
        <v>265867.47</v>
      </c>
      <c r="X1076" s="9">
        <v>0.0</v>
      </c>
    </row>
    <row r="1077" ht="15.75" customHeight="1">
      <c r="A1077" s="9">
        <v>2148927.0</v>
      </c>
      <c r="B1077" s="9">
        <v>1615888.0</v>
      </c>
      <c r="C1077" s="9">
        <v>29815.0</v>
      </c>
      <c r="D1077" s="9" t="s">
        <v>52</v>
      </c>
      <c r="E1077" s="9" t="s">
        <v>53</v>
      </c>
      <c r="F1077" s="9">
        <v>192798.0</v>
      </c>
      <c r="G1077" s="9">
        <v>1615888.0</v>
      </c>
      <c r="H1077" s="9">
        <v>1615888.0</v>
      </c>
      <c r="I1077" s="9">
        <v>0.0</v>
      </c>
      <c r="J1077" s="9">
        <v>0.0</v>
      </c>
      <c r="K1077" s="9">
        <v>0.0</v>
      </c>
      <c r="L1077" s="9" t="s">
        <v>54</v>
      </c>
      <c r="M1077" s="9" t="s">
        <v>65</v>
      </c>
      <c r="N1077" s="9">
        <v>30779.0</v>
      </c>
      <c r="O1077" s="9">
        <v>30779.0</v>
      </c>
      <c r="R1077" s="9" t="s">
        <v>60</v>
      </c>
      <c r="S1077" s="9" t="s">
        <v>57</v>
      </c>
      <c r="T1077" s="9" t="s">
        <v>61</v>
      </c>
      <c r="V1077" s="9">
        <v>30779.0</v>
      </c>
      <c r="W1077" s="9">
        <v>0.0</v>
      </c>
    </row>
    <row r="1078" ht="15.75" customHeight="1">
      <c r="A1078" s="9">
        <v>2148928.0</v>
      </c>
      <c r="B1078" s="9">
        <v>2390452.0</v>
      </c>
      <c r="C1078" s="9">
        <v>30311.0</v>
      </c>
      <c r="D1078" s="9" t="s">
        <v>52</v>
      </c>
      <c r="E1078" s="9" t="s">
        <v>53</v>
      </c>
      <c r="F1078" s="9">
        <v>144641.0</v>
      </c>
      <c r="G1078" s="9">
        <v>2708669.97</v>
      </c>
      <c r="H1078" s="9">
        <v>2708669.97</v>
      </c>
      <c r="I1078" s="9">
        <v>2705729.74</v>
      </c>
      <c r="J1078" s="9">
        <v>0.0</v>
      </c>
      <c r="K1078" s="9">
        <v>0.0</v>
      </c>
      <c r="L1078" s="9" t="s">
        <v>59</v>
      </c>
      <c r="M1078" s="9" t="s">
        <v>55</v>
      </c>
      <c r="N1078" s="9">
        <v>2616288.94</v>
      </c>
      <c r="O1078" s="9">
        <v>2616286.94</v>
      </c>
      <c r="P1078" s="9">
        <v>92383.01</v>
      </c>
      <c r="Q1078" s="9">
        <v>92383.01</v>
      </c>
      <c r="R1078" s="9" t="s">
        <v>94</v>
      </c>
      <c r="S1078" s="9" t="s">
        <v>57</v>
      </c>
      <c r="T1078" s="9" t="s">
        <v>95</v>
      </c>
      <c r="V1078" s="9">
        <v>2616287.0</v>
      </c>
      <c r="W1078" s="9">
        <v>92383.01</v>
      </c>
      <c r="X1078" s="9">
        <v>0.0</v>
      </c>
    </row>
    <row r="1079" ht="15.75" customHeight="1">
      <c r="A1079" s="9">
        <v>2054323.0</v>
      </c>
      <c r="B1079" s="9">
        <v>3093408.0</v>
      </c>
      <c r="C1079" s="9">
        <v>30774.0</v>
      </c>
      <c r="D1079" s="9" t="s">
        <v>52</v>
      </c>
      <c r="E1079" s="9" t="s">
        <v>53</v>
      </c>
      <c r="F1079" s="9">
        <v>43144.0</v>
      </c>
      <c r="G1079" s="9">
        <v>4018107.62</v>
      </c>
      <c r="H1079" s="9">
        <v>4018107.62</v>
      </c>
      <c r="I1079" s="9">
        <v>361622.83</v>
      </c>
      <c r="J1079" s="9">
        <v>0.0</v>
      </c>
      <c r="K1079" s="9">
        <v>0.0</v>
      </c>
      <c r="L1079" s="9" t="s">
        <v>59</v>
      </c>
      <c r="M1079" s="9" t="s">
        <v>55</v>
      </c>
      <c r="N1079" s="9">
        <v>0.0</v>
      </c>
      <c r="O1079" s="9">
        <v>0.0</v>
      </c>
      <c r="R1079" s="9" t="s">
        <v>60</v>
      </c>
      <c r="S1079" s="9" t="s">
        <v>57</v>
      </c>
      <c r="T1079" s="9" t="s">
        <v>61</v>
      </c>
    </row>
    <row r="1080" ht="15.75" customHeight="1">
      <c r="A1080" s="9">
        <v>2054341.0</v>
      </c>
      <c r="B1080" s="9">
        <v>4238798.0</v>
      </c>
      <c r="C1080" s="9">
        <v>30479.0</v>
      </c>
      <c r="D1080" s="9" t="s">
        <v>52</v>
      </c>
      <c r="E1080" s="9" t="s">
        <v>53</v>
      </c>
      <c r="F1080" s="9">
        <v>39212.0</v>
      </c>
      <c r="G1080" s="9">
        <v>4238798.0</v>
      </c>
      <c r="H1080" s="9">
        <v>4238798.0</v>
      </c>
      <c r="I1080" s="9">
        <v>376028.45</v>
      </c>
      <c r="J1080" s="9">
        <v>0.0</v>
      </c>
      <c r="K1080" s="9">
        <v>0.0</v>
      </c>
      <c r="L1080" s="9" t="s">
        <v>59</v>
      </c>
      <c r="M1080" s="9" t="s">
        <v>55</v>
      </c>
      <c r="N1080" s="9">
        <v>4526059.49</v>
      </c>
      <c r="O1080" s="9">
        <v>4073453.55</v>
      </c>
      <c r="P1080" s="9">
        <v>0.0</v>
      </c>
      <c r="Q1080" s="9">
        <v>230304.79</v>
      </c>
      <c r="R1080" s="9" t="s">
        <v>56</v>
      </c>
      <c r="S1080" s="9" t="s">
        <v>57</v>
      </c>
      <c r="T1080" s="9" t="s">
        <v>58</v>
      </c>
      <c r="V1080" s="9">
        <v>4073453.55</v>
      </c>
      <c r="W1080" s="9">
        <v>0.0</v>
      </c>
      <c r="X1080" s="9">
        <v>0.0</v>
      </c>
    </row>
    <row r="1081" ht="15.75" customHeight="1">
      <c r="A1081" s="9">
        <v>2054348.0</v>
      </c>
      <c r="B1081" s="9">
        <v>9209808.0</v>
      </c>
      <c r="C1081" s="9">
        <v>30434.0</v>
      </c>
      <c r="D1081" s="9" t="s">
        <v>52</v>
      </c>
      <c r="E1081" s="9" t="s">
        <v>53</v>
      </c>
      <c r="F1081" s="9">
        <v>43955.0</v>
      </c>
      <c r="G1081" s="9">
        <v>9208999.57</v>
      </c>
      <c r="H1081" s="9">
        <v>9208999.57</v>
      </c>
      <c r="I1081" s="9">
        <v>9085968.25</v>
      </c>
      <c r="J1081" s="9">
        <v>0.0</v>
      </c>
      <c r="K1081" s="9">
        <v>0.0</v>
      </c>
      <c r="L1081" s="9" t="s">
        <v>59</v>
      </c>
      <c r="M1081" s="9" t="s">
        <v>55</v>
      </c>
      <c r="N1081" s="9">
        <v>8623772.69</v>
      </c>
      <c r="O1081" s="9">
        <v>7761395.43</v>
      </c>
      <c r="P1081" s="9">
        <v>190650.83</v>
      </c>
      <c r="Q1081" s="9">
        <v>171585.75</v>
      </c>
      <c r="R1081" s="9" t="s">
        <v>60</v>
      </c>
      <c r="S1081" s="9" t="s">
        <v>57</v>
      </c>
      <c r="T1081" s="9" t="s">
        <v>61</v>
      </c>
      <c r="V1081" s="9">
        <v>8205982.6</v>
      </c>
      <c r="W1081" s="9">
        <v>0.0</v>
      </c>
      <c r="X1081" s="9">
        <v>0.0</v>
      </c>
    </row>
    <row r="1082" ht="15.75" customHeight="1">
      <c r="A1082" s="9">
        <v>2054373.0</v>
      </c>
      <c r="B1082" s="9">
        <v>1991958.0</v>
      </c>
      <c r="C1082" s="9">
        <v>30646.0</v>
      </c>
      <c r="D1082" s="9" t="s">
        <v>52</v>
      </c>
      <c r="E1082" s="9" t="s">
        <v>53</v>
      </c>
      <c r="F1082" s="9">
        <v>48217.0</v>
      </c>
      <c r="G1082" s="9">
        <v>1991958.0</v>
      </c>
      <c r="H1082" s="9">
        <v>1991958.0</v>
      </c>
      <c r="I1082" s="9">
        <v>841676.35</v>
      </c>
      <c r="J1082" s="9">
        <v>0.0</v>
      </c>
      <c r="K1082" s="9">
        <v>0.0</v>
      </c>
      <c r="L1082" s="9" t="s">
        <v>69</v>
      </c>
      <c r="M1082" s="9" t="s">
        <v>55</v>
      </c>
      <c r="N1082" s="9">
        <v>1987383.22</v>
      </c>
      <c r="O1082" s="9">
        <v>1837076.92</v>
      </c>
      <c r="P1082" s="9">
        <v>80787.93</v>
      </c>
      <c r="Q1082" s="9">
        <v>74677.92</v>
      </c>
      <c r="R1082" s="9" t="s">
        <v>72</v>
      </c>
      <c r="S1082" s="9" t="s">
        <v>57</v>
      </c>
      <c r="T1082" s="9" t="s">
        <v>73</v>
      </c>
    </row>
    <row r="1083" ht="15.75" customHeight="1">
      <c r="A1083" s="9">
        <v>2054459.0</v>
      </c>
      <c r="B1083" s="9">
        <v>1977733.0</v>
      </c>
      <c r="C1083" s="9">
        <v>29686.0</v>
      </c>
      <c r="D1083" s="9" t="s">
        <v>52</v>
      </c>
      <c r="E1083" s="9" t="s">
        <v>53</v>
      </c>
      <c r="F1083" s="9">
        <v>56395.0</v>
      </c>
      <c r="G1083" s="9">
        <v>1977733.0</v>
      </c>
      <c r="H1083" s="9">
        <v>1977733.0</v>
      </c>
      <c r="I1083" s="9">
        <v>68000.0</v>
      </c>
      <c r="J1083" s="9">
        <v>0.0</v>
      </c>
      <c r="K1083" s="9">
        <v>0.0</v>
      </c>
      <c r="L1083" s="9" t="s">
        <v>54</v>
      </c>
      <c r="M1083" s="9" t="s">
        <v>65</v>
      </c>
      <c r="N1083" s="9">
        <v>68000.0</v>
      </c>
      <c r="O1083" s="9">
        <v>68000.0</v>
      </c>
      <c r="R1083" s="9" t="s">
        <v>92</v>
      </c>
      <c r="S1083" s="9" t="s">
        <v>57</v>
      </c>
      <c r="T1083" s="9" t="s">
        <v>93</v>
      </c>
    </row>
    <row r="1084" ht="15.75" customHeight="1">
      <c r="A1084" s="9">
        <v>2054977.0</v>
      </c>
      <c r="B1084" s="9">
        <v>3376353.0</v>
      </c>
      <c r="C1084" s="9">
        <v>29935.0</v>
      </c>
      <c r="D1084" s="9" t="s">
        <v>52</v>
      </c>
      <c r="E1084" s="9" t="s">
        <v>53</v>
      </c>
      <c r="F1084" s="9">
        <v>49853.0</v>
      </c>
      <c r="G1084" s="9">
        <v>4803340.0</v>
      </c>
      <c r="H1084" s="9">
        <v>4803340.0</v>
      </c>
      <c r="I1084" s="9">
        <v>0.0</v>
      </c>
      <c r="J1084" s="9">
        <v>0.0</v>
      </c>
      <c r="K1084" s="9">
        <v>0.0</v>
      </c>
      <c r="L1084" s="9" t="s">
        <v>54</v>
      </c>
      <c r="M1084" s="9" t="s">
        <v>55</v>
      </c>
      <c r="N1084" s="9">
        <v>4583062.12</v>
      </c>
      <c r="O1084" s="9">
        <v>4124755.91</v>
      </c>
      <c r="P1084" s="9">
        <v>80659.0</v>
      </c>
      <c r="Q1084" s="9">
        <v>72593.11</v>
      </c>
      <c r="R1084" s="9" t="s">
        <v>60</v>
      </c>
      <c r="S1084" s="9" t="s">
        <v>57</v>
      </c>
      <c r="T1084" s="9" t="s">
        <v>61</v>
      </c>
      <c r="V1084" s="9">
        <v>3887153.33</v>
      </c>
      <c r="W1084" s="9">
        <v>0.0</v>
      </c>
      <c r="X1084" s="9">
        <v>0.0</v>
      </c>
    </row>
    <row r="1085" ht="15.75" customHeight="1">
      <c r="A1085" s="9">
        <v>2056438.0</v>
      </c>
      <c r="B1085" s="9">
        <v>1.6549189E7</v>
      </c>
      <c r="C1085" s="9">
        <v>30808.0</v>
      </c>
      <c r="D1085" s="9" t="s">
        <v>52</v>
      </c>
      <c r="E1085" s="9" t="s">
        <v>53</v>
      </c>
      <c r="F1085" s="9">
        <v>58032.0</v>
      </c>
      <c r="G1085" s="9">
        <v>2.4490216E7</v>
      </c>
      <c r="H1085" s="9">
        <v>2.686444649E7</v>
      </c>
      <c r="I1085" s="9">
        <v>2.053777821E7</v>
      </c>
      <c r="J1085" s="9">
        <v>0.0</v>
      </c>
      <c r="K1085" s="9">
        <v>2000.0</v>
      </c>
      <c r="L1085" s="9" t="s">
        <v>59</v>
      </c>
      <c r="M1085" s="9" t="s">
        <v>55</v>
      </c>
      <c r="N1085" s="9">
        <v>2.288440234E7</v>
      </c>
      <c r="O1085" s="9">
        <v>2.288440234E7</v>
      </c>
      <c r="P1085" s="9">
        <v>656064.96</v>
      </c>
      <c r="Q1085" s="9">
        <v>656065.66</v>
      </c>
      <c r="R1085" s="9" t="s">
        <v>96</v>
      </c>
      <c r="S1085" s="9" t="s">
        <v>78</v>
      </c>
      <c r="T1085" s="9" t="s">
        <v>79</v>
      </c>
      <c r="U1085" s="9" t="s">
        <v>97</v>
      </c>
    </row>
    <row r="1086" ht="15.75" customHeight="1">
      <c r="A1086" s="9">
        <v>2056645.0</v>
      </c>
      <c r="B1086" s="9">
        <v>1644132.0</v>
      </c>
      <c r="C1086" s="9">
        <v>29855.0</v>
      </c>
      <c r="D1086" s="9" t="s">
        <v>52</v>
      </c>
      <c r="E1086" s="9" t="s">
        <v>53</v>
      </c>
      <c r="F1086" s="9">
        <v>63002.0</v>
      </c>
      <c r="G1086" s="9">
        <v>1644132.0</v>
      </c>
      <c r="H1086" s="9">
        <v>1644132.0</v>
      </c>
      <c r="I1086" s="9">
        <v>1648632.0</v>
      </c>
      <c r="J1086" s="9">
        <v>0.0</v>
      </c>
      <c r="K1086" s="9">
        <v>0.0</v>
      </c>
      <c r="L1086" s="9" t="s">
        <v>59</v>
      </c>
      <c r="M1086" s="9" t="s">
        <v>55</v>
      </c>
      <c r="N1086" s="9">
        <v>1768622.34</v>
      </c>
      <c r="O1086" s="9">
        <v>1768622.34</v>
      </c>
      <c r="P1086" s="9">
        <v>53550.0</v>
      </c>
      <c r="Q1086" s="9">
        <v>45000.0</v>
      </c>
      <c r="R1086" s="9" t="s">
        <v>96</v>
      </c>
      <c r="S1086" s="9" t="s">
        <v>78</v>
      </c>
      <c r="T1086" s="9" t="s">
        <v>79</v>
      </c>
      <c r="U1086" s="9" t="s">
        <v>97</v>
      </c>
    </row>
    <row r="1087" ht="15.75" customHeight="1">
      <c r="A1087" s="9">
        <v>2057406.0</v>
      </c>
      <c r="B1087" s="9">
        <v>1.0760516E7</v>
      </c>
      <c r="C1087" s="9">
        <v>39787.0</v>
      </c>
      <c r="D1087" s="9" t="s">
        <v>52</v>
      </c>
      <c r="E1087" s="9" t="s">
        <v>53</v>
      </c>
      <c r="F1087" s="9">
        <v>44852.0</v>
      </c>
      <c r="G1087" s="9">
        <v>2.444292215E7</v>
      </c>
      <c r="H1087" s="9">
        <v>3.083281026E7</v>
      </c>
      <c r="I1087" s="9">
        <v>3.082936573E7</v>
      </c>
      <c r="J1087" s="9">
        <v>0.0</v>
      </c>
      <c r="K1087" s="9">
        <v>0.0</v>
      </c>
      <c r="L1087" s="9" t="s">
        <v>69</v>
      </c>
      <c r="M1087" s="9" t="s">
        <v>55</v>
      </c>
      <c r="R1087" s="9" t="s">
        <v>60</v>
      </c>
      <c r="S1087" s="9" t="s">
        <v>57</v>
      </c>
      <c r="T1087" s="9" t="s">
        <v>61</v>
      </c>
      <c r="V1087" s="9">
        <v>2.967826825E7</v>
      </c>
      <c r="W1087" s="9">
        <v>0.0</v>
      </c>
      <c r="X1087" s="9">
        <v>0.0</v>
      </c>
    </row>
    <row r="1088" ht="15.75" customHeight="1">
      <c r="A1088" s="9">
        <v>2058067.0</v>
      </c>
      <c r="B1088" s="9">
        <v>2866877.0</v>
      </c>
      <c r="C1088" s="9">
        <v>30360.0</v>
      </c>
      <c r="D1088" s="9" t="s">
        <v>52</v>
      </c>
      <c r="E1088" s="9" t="s">
        <v>53</v>
      </c>
      <c r="F1088" s="9">
        <v>36615.0</v>
      </c>
      <c r="G1088" s="9">
        <v>3013857.0</v>
      </c>
      <c r="H1088" s="9">
        <v>3531673.16</v>
      </c>
      <c r="I1088" s="9">
        <v>3505672.51</v>
      </c>
      <c r="J1088" s="9">
        <v>0.0</v>
      </c>
      <c r="K1088" s="9">
        <v>0.0</v>
      </c>
      <c r="L1088" s="9" t="s">
        <v>59</v>
      </c>
      <c r="M1088" s="9" t="s">
        <v>55</v>
      </c>
      <c r="N1088" s="9">
        <v>2760920.0</v>
      </c>
      <c r="O1088" s="9">
        <v>2760920.0</v>
      </c>
      <c r="P1088" s="9">
        <v>110436.8</v>
      </c>
      <c r="Q1088" s="9">
        <v>110436.8</v>
      </c>
      <c r="R1088" s="9" t="s">
        <v>94</v>
      </c>
      <c r="S1088" s="9" t="s">
        <v>57</v>
      </c>
      <c r="T1088" s="9" t="s">
        <v>95</v>
      </c>
    </row>
    <row r="1089" ht="15.75" customHeight="1">
      <c r="A1089" s="9">
        <v>2058467.0</v>
      </c>
      <c r="B1089" s="9">
        <v>3.3645352E7</v>
      </c>
      <c r="C1089" s="9">
        <v>30681.0</v>
      </c>
      <c r="D1089" s="9" t="s">
        <v>52</v>
      </c>
      <c r="E1089" s="9" t="s">
        <v>53</v>
      </c>
      <c r="F1089" s="9">
        <v>76102.0</v>
      </c>
      <c r="G1089" s="9">
        <v>3.306426939E7</v>
      </c>
      <c r="H1089" s="9">
        <v>3.3645352E7</v>
      </c>
      <c r="I1089" s="9">
        <v>3.230960714E7</v>
      </c>
      <c r="J1089" s="9">
        <v>0.0</v>
      </c>
      <c r="K1089" s="9">
        <v>0.0</v>
      </c>
      <c r="L1089" s="9" t="s">
        <v>69</v>
      </c>
      <c r="M1089" s="9" t="s">
        <v>55</v>
      </c>
      <c r="N1089" s="9">
        <v>8390555.41</v>
      </c>
      <c r="O1089" s="9">
        <v>9103752.61</v>
      </c>
      <c r="R1089" s="9" t="s">
        <v>60</v>
      </c>
      <c r="S1089" s="9" t="s">
        <v>57</v>
      </c>
      <c r="T1089" s="9" t="s">
        <v>61</v>
      </c>
      <c r="V1089" s="9">
        <v>9437057.7</v>
      </c>
      <c r="W1089" s="9">
        <v>0.0</v>
      </c>
      <c r="X1089" s="9">
        <v>2.232097641E7</v>
      </c>
    </row>
    <row r="1090" ht="15.75" customHeight="1">
      <c r="A1090" s="9">
        <v>2059010.0</v>
      </c>
      <c r="B1090" s="9">
        <v>3875674.0</v>
      </c>
      <c r="C1090" s="9">
        <v>30969.0</v>
      </c>
      <c r="D1090" s="9" t="s">
        <v>52</v>
      </c>
      <c r="E1090" s="9" t="s">
        <v>53</v>
      </c>
      <c r="F1090" s="9">
        <v>73992.0</v>
      </c>
      <c r="G1090" s="9">
        <v>4764261.2</v>
      </c>
      <c r="H1090" s="9">
        <v>4764261.2</v>
      </c>
      <c r="I1090" s="9">
        <v>4651597.56</v>
      </c>
      <c r="J1090" s="9">
        <v>0.0</v>
      </c>
      <c r="K1090" s="9">
        <v>0.0</v>
      </c>
      <c r="L1090" s="9" t="s">
        <v>69</v>
      </c>
      <c r="M1090" s="9" t="s">
        <v>55</v>
      </c>
      <c r="N1090" s="9">
        <v>4455816.73</v>
      </c>
      <c r="O1090" s="9">
        <v>3768837.87</v>
      </c>
      <c r="P1090" s="9">
        <v>0.0</v>
      </c>
      <c r="Q1090" s="9">
        <v>160000.0</v>
      </c>
      <c r="R1090" s="9" t="s">
        <v>60</v>
      </c>
      <c r="S1090" s="9" t="s">
        <v>57</v>
      </c>
      <c r="T1090" s="9" t="s">
        <v>61</v>
      </c>
      <c r="V1090" s="9">
        <v>4446597.56</v>
      </c>
      <c r="W1090" s="9">
        <v>184859.84</v>
      </c>
      <c r="X1090" s="9">
        <v>0.0</v>
      </c>
    </row>
    <row r="1091" ht="15.75" customHeight="1">
      <c r="A1091" s="9">
        <v>2059178.0</v>
      </c>
      <c r="B1091" s="9">
        <v>7677669.0</v>
      </c>
      <c r="C1091" s="9">
        <v>30289.0</v>
      </c>
      <c r="D1091" s="9" t="s">
        <v>52</v>
      </c>
      <c r="E1091" s="9" t="s">
        <v>53</v>
      </c>
      <c r="F1091" s="9">
        <v>53690.0</v>
      </c>
      <c r="G1091" s="9">
        <v>7084778.0</v>
      </c>
      <c r="H1091" s="9">
        <v>1.079640288E7</v>
      </c>
      <c r="I1091" s="9">
        <v>7038037.65</v>
      </c>
      <c r="J1091" s="9">
        <v>0.0</v>
      </c>
      <c r="K1091" s="9">
        <v>0.0</v>
      </c>
      <c r="L1091" s="9" t="s">
        <v>69</v>
      </c>
      <c r="M1091" s="9" t="s">
        <v>55</v>
      </c>
      <c r="N1091" s="9">
        <v>7437669.77</v>
      </c>
      <c r="O1091" s="9">
        <v>7374247.69</v>
      </c>
      <c r="P1091" s="9">
        <v>140000.0</v>
      </c>
      <c r="Q1091" s="9">
        <v>140000.0</v>
      </c>
      <c r="R1091" s="9" t="s">
        <v>56</v>
      </c>
      <c r="S1091" s="9" t="s">
        <v>57</v>
      </c>
      <c r="T1091" s="9" t="s">
        <v>58</v>
      </c>
      <c r="V1091" s="9">
        <v>3468069.94</v>
      </c>
      <c r="W1091" s="9">
        <v>0.0</v>
      </c>
      <c r="X1091" s="9">
        <v>0.0</v>
      </c>
    </row>
    <row r="1092" ht="15.75" customHeight="1">
      <c r="A1092" s="9">
        <v>2059271.0</v>
      </c>
      <c r="B1092" s="9">
        <v>713327.0</v>
      </c>
      <c r="C1092" s="9">
        <v>30502.0</v>
      </c>
      <c r="D1092" s="9" t="s">
        <v>52</v>
      </c>
      <c r="E1092" s="9" t="s">
        <v>53</v>
      </c>
      <c r="F1092" s="9">
        <v>35811.0</v>
      </c>
      <c r="G1092" s="9">
        <v>713327.0</v>
      </c>
      <c r="H1092" s="9">
        <v>713327.0</v>
      </c>
      <c r="I1092" s="9">
        <v>0.0</v>
      </c>
      <c r="J1092" s="9">
        <v>0.0</v>
      </c>
      <c r="K1092" s="9">
        <v>0.0</v>
      </c>
      <c r="L1092" s="9" t="s">
        <v>54</v>
      </c>
      <c r="M1092" s="9" t="s">
        <v>55</v>
      </c>
      <c r="N1092" s="9">
        <v>756227.65</v>
      </c>
      <c r="O1092" s="9">
        <v>680604.89</v>
      </c>
      <c r="R1092" s="9" t="s">
        <v>60</v>
      </c>
      <c r="S1092" s="9" t="s">
        <v>57</v>
      </c>
      <c r="T1092" s="9" t="s">
        <v>61</v>
      </c>
      <c r="V1092" s="9">
        <v>700083.31</v>
      </c>
      <c r="W1092" s="9">
        <v>0.0</v>
      </c>
      <c r="X1092" s="9">
        <v>0.0</v>
      </c>
    </row>
    <row r="1093" ht="15.75" customHeight="1">
      <c r="A1093" s="9">
        <v>2059603.0</v>
      </c>
      <c r="B1093" s="9">
        <v>2336604.0</v>
      </c>
      <c r="C1093" s="9">
        <v>31290.0</v>
      </c>
      <c r="D1093" s="9" t="s">
        <v>52</v>
      </c>
      <c r="E1093" s="9" t="s">
        <v>53</v>
      </c>
      <c r="F1093" s="9">
        <v>14122.0</v>
      </c>
      <c r="G1093" s="9">
        <v>2336604.0</v>
      </c>
      <c r="H1093" s="9">
        <v>2336604.0</v>
      </c>
      <c r="I1093" s="9">
        <v>2497702.3</v>
      </c>
      <c r="J1093" s="9">
        <v>0.0</v>
      </c>
      <c r="K1093" s="9">
        <v>0.0</v>
      </c>
      <c r="L1093" s="9" t="s">
        <v>59</v>
      </c>
      <c r="M1093" s="9" t="s">
        <v>55</v>
      </c>
      <c r="R1093" s="9" t="s">
        <v>60</v>
      </c>
      <c r="S1093" s="9" t="s">
        <v>57</v>
      </c>
      <c r="T1093" s="9" t="s">
        <v>61</v>
      </c>
      <c r="V1093" s="9">
        <v>2584251.3</v>
      </c>
      <c r="W1093" s="9">
        <v>0.0</v>
      </c>
      <c r="X1093" s="9">
        <v>0.0</v>
      </c>
    </row>
    <row r="1094" ht="15.75" customHeight="1">
      <c r="A1094" s="9">
        <v>2063465.0</v>
      </c>
      <c r="B1094" s="9">
        <v>296347.0</v>
      </c>
      <c r="C1094" s="9">
        <v>30985.0</v>
      </c>
      <c r="D1094" s="9" t="s">
        <v>52</v>
      </c>
      <c r="E1094" s="9" t="s">
        <v>53</v>
      </c>
      <c r="F1094" s="9">
        <v>40827.0</v>
      </c>
      <c r="G1094" s="9">
        <v>296347.0</v>
      </c>
      <c r="H1094" s="9">
        <v>296347.0</v>
      </c>
      <c r="I1094" s="9">
        <v>244043.85</v>
      </c>
      <c r="J1094" s="9">
        <v>0.0</v>
      </c>
      <c r="K1094" s="9">
        <v>0.0</v>
      </c>
      <c r="L1094" s="9" t="s">
        <v>69</v>
      </c>
      <c r="M1094" s="9" t="s">
        <v>55</v>
      </c>
      <c r="R1094" s="9" t="s">
        <v>60</v>
      </c>
      <c r="S1094" s="9" t="s">
        <v>57</v>
      </c>
      <c r="T1094" s="9" t="s">
        <v>61</v>
      </c>
      <c r="V1094" s="9">
        <v>275370.82</v>
      </c>
      <c r="W1094" s="9">
        <v>0.0</v>
      </c>
      <c r="X1094" s="9">
        <v>0.0</v>
      </c>
    </row>
    <row r="1095" ht="15.75" customHeight="1">
      <c r="A1095" s="9">
        <v>2063565.0</v>
      </c>
      <c r="B1095" s="9">
        <v>2023090.0</v>
      </c>
      <c r="C1095" s="9">
        <v>30956.0</v>
      </c>
      <c r="D1095" s="9" t="s">
        <v>52</v>
      </c>
      <c r="E1095" s="9" t="s">
        <v>53</v>
      </c>
      <c r="F1095" s="9">
        <v>78032.0</v>
      </c>
      <c r="G1095" s="9">
        <v>2225399.0</v>
      </c>
      <c r="H1095" s="9">
        <v>2225399.0</v>
      </c>
      <c r="I1095" s="9">
        <v>2210873.0</v>
      </c>
      <c r="J1095" s="9">
        <v>0.0</v>
      </c>
      <c r="K1095" s="9">
        <v>0.0</v>
      </c>
      <c r="L1095" s="9" t="s">
        <v>59</v>
      </c>
      <c r="M1095" s="9" t="s">
        <v>55</v>
      </c>
      <c r="N1095" s="9">
        <v>2049407.62</v>
      </c>
      <c r="O1095" s="9">
        <v>2049407.62</v>
      </c>
      <c r="P1095" s="9">
        <v>25860.0</v>
      </c>
      <c r="Q1095" s="9">
        <v>25860.0</v>
      </c>
      <c r="R1095" s="9" t="s">
        <v>60</v>
      </c>
      <c r="S1095" s="9" t="s">
        <v>57</v>
      </c>
      <c r="T1095" s="9" t="s">
        <v>61</v>
      </c>
      <c r="V1095" s="9">
        <v>2052206.67</v>
      </c>
      <c r="W1095" s="9">
        <v>102470.0</v>
      </c>
      <c r="X1095" s="9">
        <v>0.0</v>
      </c>
    </row>
    <row r="1096" ht="15.75" customHeight="1">
      <c r="A1096" s="9">
        <v>2064333.0</v>
      </c>
      <c r="B1096" s="9">
        <v>6796491.0</v>
      </c>
      <c r="C1096" s="9">
        <v>31129.0</v>
      </c>
      <c r="D1096" s="9" t="s">
        <v>52</v>
      </c>
      <c r="E1096" s="9" t="s">
        <v>53</v>
      </c>
      <c r="F1096" s="9">
        <v>70199.0</v>
      </c>
      <c r="G1096" s="9">
        <v>6796491.0</v>
      </c>
      <c r="H1096" s="9">
        <v>6796491.0</v>
      </c>
      <c r="I1096" s="9">
        <v>0.0</v>
      </c>
      <c r="J1096" s="9">
        <v>0.0</v>
      </c>
      <c r="K1096" s="9">
        <v>0.0</v>
      </c>
      <c r="L1096" s="9" t="s">
        <v>54</v>
      </c>
      <c r="M1096" s="9" t="s">
        <v>55</v>
      </c>
      <c r="R1096" s="9" t="s">
        <v>72</v>
      </c>
      <c r="S1096" s="9" t="s">
        <v>57</v>
      </c>
      <c r="T1096" s="9" t="s">
        <v>73</v>
      </c>
      <c r="V1096" s="9">
        <v>4089580.63</v>
      </c>
      <c r="W1096" s="9">
        <v>0.0</v>
      </c>
      <c r="X1096" s="9">
        <v>0.0</v>
      </c>
    </row>
    <row r="1097" ht="15.75" customHeight="1">
      <c r="A1097" s="9">
        <v>2065105.0</v>
      </c>
      <c r="B1097" s="9">
        <v>3492060.0</v>
      </c>
      <c r="C1097" s="9">
        <v>40549.0</v>
      </c>
      <c r="D1097" s="9" t="s">
        <v>52</v>
      </c>
      <c r="E1097" s="9" t="s">
        <v>53</v>
      </c>
      <c r="F1097" s="9">
        <v>51881.0</v>
      </c>
      <c r="G1097" s="9">
        <v>1.010853102E7</v>
      </c>
      <c r="H1097" s="9">
        <v>1.010853102E7</v>
      </c>
      <c r="I1097" s="9">
        <v>8083321.31</v>
      </c>
      <c r="J1097" s="9">
        <v>0.0</v>
      </c>
      <c r="K1097" s="9">
        <v>0.0</v>
      </c>
      <c r="L1097" s="9" t="s">
        <v>59</v>
      </c>
      <c r="M1097" s="9" t="s">
        <v>55</v>
      </c>
      <c r="R1097" s="9" t="s">
        <v>60</v>
      </c>
      <c r="S1097" s="9" t="s">
        <v>57</v>
      </c>
      <c r="T1097" s="9" t="s">
        <v>61</v>
      </c>
      <c r="V1097" s="9">
        <v>5907589.55</v>
      </c>
      <c r="W1097" s="9">
        <v>302166.67</v>
      </c>
      <c r="X1097" s="9">
        <v>0.0</v>
      </c>
    </row>
    <row r="1098" ht="15.75" customHeight="1">
      <c r="A1098" s="9">
        <v>2065119.0</v>
      </c>
      <c r="B1098" s="9">
        <v>3738107.0</v>
      </c>
      <c r="C1098" s="9">
        <v>30934.0</v>
      </c>
      <c r="D1098" s="9" t="s">
        <v>52</v>
      </c>
      <c r="E1098" s="9" t="s">
        <v>53</v>
      </c>
      <c r="F1098" s="9">
        <v>52014.0</v>
      </c>
      <c r="G1098" s="9">
        <v>3738107.0</v>
      </c>
      <c r="H1098" s="9">
        <v>3738107.0</v>
      </c>
      <c r="I1098" s="9">
        <v>3653107.31</v>
      </c>
      <c r="J1098" s="9">
        <v>0.0</v>
      </c>
      <c r="K1098" s="9">
        <v>0.0</v>
      </c>
      <c r="L1098" s="9" t="s">
        <v>69</v>
      </c>
      <c r="M1098" s="9" t="s">
        <v>55</v>
      </c>
      <c r="N1098" s="9">
        <v>3513107.31</v>
      </c>
      <c r="O1098" s="9">
        <v>3513107.31</v>
      </c>
      <c r="P1098" s="9">
        <v>140000.0</v>
      </c>
      <c r="Q1098" s="9">
        <v>140000.0</v>
      </c>
      <c r="R1098" s="9" t="s">
        <v>56</v>
      </c>
      <c r="S1098" s="9" t="s">
        <v>57</v>
      </c>
      <c r="T1098" s="9" t="s">
        <v>58</v>
      </c>
      <c r="V1098" s="9">
        <v>3512472.45</v>
      </c>
      <c r="W1098" s="9">
        <v>0.0</v>
      </c>
      <c r="X1098" s="9">
        <v>0.0</v>
      </c>
    </row>
    <row r="1099" ht="15.75" customHeight="1">
      <c r="A1099" s="9">
        <v>2065180.0</v>
      </c>
      <c r="B1099" s="9">
        <v>1963467.0</v>
      </c>
      <c r="C1099" s="9">
        <v>30414.0</v>
      </c>
      <c r="D1099" s="9" t="s">
        <v>52</v>
      </c>
      <c r="E1099" s="9" t="s">
        <v>53</v>
      </c>
      <c r="F1099" s="9">
        <v>52929.0</v>
      </c>
      <c r="G1099" s="9">
        <v>1963467.0</v>
      </c>
      <c r="H1099" s="9">
        <v>1963467.0</v>
      </c>
      <c r="I1099" s="9">
        <v>1283850.92</v>
      </c>
      <c r="J1099" s="9">
        <v>0.0</v>
      </c>
      <c r="K1099" s="9">
        <v>0.0</v>
      </c>
      <c r="L1099" s="9" t="s">
        <v>59</v>
      </c>
      <c r="M1099" s="9" t="s">
        <v>55</v>
      </c>
      <c r="N1099" s="9">
        <v>1893844.15</v>
      </c>
      <c r="O1099" s="9">
        <v>1893844.15</v>
      </c>
      <c r="P1099" s="9">
        <v>69622.85</v>
      </c>
      <c r="Q1099" s="9">
        <v>69622.85</v>
      </c>
      <c r="R1099" s="9" t="s">
        <v>60</v>
      </c>
      <c r="S1099" s="9" t="s">
        <v>57</v>
      </c>
      <c r="T1099" s="9" t="s">
        <v>61</v>
      </c>
      <c r="V1099" s="9">
        <v>1892959.45</v>
      </c>
      <c r="W1099" s="9">
        <v>69622.85</v>
      </c>
      <c r="X1099" s="9">
        <v>0.0</v>
      </c>
    </row>
    <row r="1100" ht="15.75" customHeight="1">
      <c r="A1100" s="9">
        <v>2065269.0</v>
      </c>
      <c r="B1100" s="9">
        <v>8343957.0</v>
      </c>
      <c r="C1100" s="9">
        <v>29622.0</v>
      </c>
      <c r="D1100" s="9" t="s">
        <v>52</v>
      </c>
      <c r="E1100" s="9" t="s">
        <v>53</v>
      </c>
      <c r="F1100" s="9">
        <v>53844.0</v>
      </c>
      <c r="G1100" s="9">
        <v>8343957.0</v>
      </c>
      <c r="H1100" s="9">
        <v>8343957.0</v>
      </c>
      <c r="I1100" s="9">
        <v>0.0</v>
      </c>
      <c r="J1100" s="9">
        <v>0.0</v>
      </c>
      <c r="K1100" s="9">
        <v>0.0</v>
      </c>
      <c r="L1100" s="9" t="s">
        <v>54</v>
      </c>
      <c r="M1100" s="9" t="s">
        <v>65</v>
      </c>
      <c r="N1100" s="9">
        <v>220800.0</v>
      </c>
      <c r="O1100" s="9">
        <v>220800.0</v>
      </c>
      <c r="R1100" s="9" t="s">
        <v>60</v>
      </c>
      <c r="S1100" s="9" t="s">
        <v>57</v>
      </c>
      <c r="T1100" s="9" t="s">
        <v>61</v>
      </c>
      <c r="V1100" s="9">
        <v>220800.0</v>
      </c>
      <c r="W1100" s="9">
        <v>0.0</v>
      </c>
    </row>
    <row r="1101" ht="15.75" customHeight="1">
      <c r="A1101" s="9">
        <v>2148923.0</v>
      </c>
      <c r="B1101" s="9">
        <v>8949807.0</v>
      </c>
      <c r="C1101" s="9">
        <v>46807.0</v>
      </c>
      <c r="D1101" s="9" t="s">
        <v>52</v>
      </c>
      <c r="E1101" s="9" t="s">
        <v>53</v>
      </c>
      <c r="F1101" s="9">
        <v>118659.0</v>
      </c>
      <c r="G1101" s="9">
        <v>9681206.52</v>
      </c>
      <c r="H1101" s="9">
        <v>1.918818306E7</v>
      </c>
      <c r="I1101" s="9">
        <v>1.914395255E7</v>
      </c>
      <c r="J1101" s="9">
        <v>1019995.03</v>
      </c>
      <c r="K1101" s="9">
        <v>1054606.0</v>
      </c>
      <c r="L1101" s="9" t="s">
        <v>59</v>
      </c>
      <c r="M1101" s="9" t="s">
        <v>62</v>
      </c>
      <c r="N1101" s="9">
        <v>8856107.35</v>
      </c>
      <c r="O1101" s="9">
        <v>7970496.62</v>
      </c>
      <c r="P1101" s="9">
        <v>718878.42</v>
      </c>
      <c r="Q1101" s="9">
        <v>718878.42</v>
      </c>
      <c r="R1101" s="9" t="s">
        <v>72</v>
      </c>
      <c r="S1101" s="9" t="s">
        <v>57</v>
      </c>
      <c r="T1101" s="9" t="s">
        <v>73</v>
      </c>
    </row>
    <row r="1102" ht="15.75" customHeight="1">
      <c r="A1102" s="9">
        <v>2148925.0</v>
      </c>
      <c r="B1102" s="9">
        <v>3117907.0</v>
      </c>
      <c r="C1102" s="9">
        <v>30265.0</v>
      </c>
      <c r="D1102" s="9" t="s">
        <v>52</v>
      </c>
      <c r="E1102" s="9" t="s">
        <v>53</v>
      </c>
      <c r="F1102" s="9">
        <v>191440.0</v>
      </c>
      <c r="G1102" s="9">
        <v>3093930.12</v>
      </c>
      <c r="H1102" s="9">
        <v>3093930.12</v>
      </c>
      <c r="I1102" s="9">
        <v>2953296.88</v>
      </c>
      <c r="J1102" s="9">
        <v>0.0</v>
      </c>
      <c r="K1102" s="9">
        <v>0.0</v>
      </c>
      <c r="L1102" s="9" t="s">
        <v>69</v>
      </c>
      <c r="M1102" s="9" t="s">
        <v>55</v>
      </c>
      <c r="N1102" s="9">
        <v>2812663.74</v>
      </c>
      <c r="O1102" s="9">
        <v>2812663.74</v>
      </c>
      <c r="P1102" s="9">
        <v>0.0</v>
      </c>
      <c r="Q1102" s="9">
        <v>140663.19</v>
      </c>
      <c r="R1102" s="9" t="s">
        <v>60</v>
      </c>
      <c r="S1102" s="9" t="s">
        <v>57</v>
      </c>
      <c r="T1102" s="9" t="s">
        <v>61</v>
      </c>
      <c r="V1102" s="9">
        <v>2953296.96</v>
      </c>
      <c r="W1102" s="9">
        <v>140633.19</v>
      </c>
      <c r="X1102" s="9">
        <v>0.0</v>
      </c>
    </row>
    <row r="1103" ht="15.75" customHeight="1">
      <c r="A1103" s="9">
        <v>2148932.0</v>
      </c>
      <c r="B1103" s="9">
        <v>1258394.0</v>
      </c>
      <c r="C1103" s="9">
        <v>30461.0</v>
      </c>
      <c r="D1103" s="9" t="s">
        <v>52</v>
      </c>
      <c r="E1103" s="9" t="s">
        <v>53</v>
      </c>
      <c r="F1103" s="9">
        <v>187706.0</v>
      </c>
      <c r="G1103" s="9">
        <v>1294741.5</v>
      </c>
      <c r="H1103" s="9">
        <v>1258394.0</v>
      </c>
      <c r="I1103" s="9">
        <v>1294741.76</v>
      </c>
      <c r="J1103" s="9">
        <v>0.0</v>
      </c>
      <c r="K1103" s="9">
        <v>0.0</v>
      </c>
      <c r="L1103" s="9" t="s">
        <v>59</v>
      </c>
      <c r="M1103" s="9" t="s">
        <v>55</v>
      </c>
      <c r="N1103" s="9">
        <v>1225682.5</v>
      </c>
      <c r="O1103" s="9">
        <v>1225682.5</v>
      </c>
      <c r="P1103" s="9">
        <v>58259.0</v>
      </c>
      <c r="Q1103" s="9">
        <v>0.0</v>
      </c>
      <c r="R1103" s="9" t="s">
        <v>56</v>
      </c>
      <c r="S1103" s="9" t="s">
        <v>57</v>
      </c>
      <c r="T1103" s="9" t="s">
        <v>58</v>
      </c>
      <c r="V1103" s="9">
        <v>0.0</v>
      </c>
      <c r="W1103" s="9">
        <v>52704.35</v>
      </c>
      <c r="X1103" s="9">
        <v>0.0</v>
      </c>
    </row>
    <row r="1104" ht="15.75" customHeight="1">
      <c r="A1104" s="9">
        <v>2148934.0</v>
      </c>
      <c r="B1104" s="9">
        <v>535732.43</v>
      </c>
      <c r="C1104" s="9">
        <v>30463.0</v>
      </c>
      <c r="D1104" s="9" t="s">
        <v>52</v>
      </c>
      <c r="E1104" s="9" t="s">
        <v>53</v>
      </c>
      <c r="F1104" s="9">
        <v>187719.0</v>
      </c>
      <c r="G1104" s="9">
        <v>481751.96</v>
      </c>
      <c r="H1104" s="9">
        <v>481751.96</v>
      </c>
      <c r="I1104" s="9">
        <v>481751.99</v>
      </c>
      <c r="J1104" s="9">
        <v>0.0</v>
      </c>
      <c r="K1104" s="9">
        <v>0.0</v>
      </c>
      <c r="L1104" s="9" t="s">
        <v>59</v>
      </c>
      <c r="M1104" s="9" t="s">
        <v>55</v>
      </c>
      <c r="N1104" s="9">
        <v>0.0</v>
      </c>
      <c r="O1104" s="9">
        <v>430951.96</v>
      </c>
      <c r="P1104" s="9">
        <v>0.0</v>
      </c>
      <c r="Q1104" s="9">
        <v>39999.99</v>
      </c>
      <c r="R1104" s="9" t="s">
        <v>56</v>
      </c>
      <c r="S1104" s="9" t="s">
        <v>57</v>
      </c>
      <c r="T1104" s="9" t="s">
        <v>58</v>
      </c>
      <c r="V1104" s="9">
        <v>0.0</v>
      </c>
      <c r="W1104" s="9">
        <v>52548.06</v>
      </c>
      <c r="X1104" s="9">
        <v>0.0</v>
      </c>
    </row>
    <row r="1105" ht="15.75" customHeight="1">
      <c r="A1105" s="9">
        <v>2150527.0</v>
      </c>
      <c r="B1105" s="9">
        <v>7571481.0</v>
      </c>
      <c r="C1105" s="9">
        <v>30014.0</v>
      </c>
      <c r="D1105" s="9" t="s">
        <v>52</v>
      </c>
      <c r="E1105" s="9" t="s">
        <v>53</v>
      </c>
      <c r="F1105" s="9">
        <v>195122.0</v>
      </c>
      <c r="G1105" s="9">
        <v>7993902.5</v>
      </c>
      <c r="H1105" s="9">
        <v>7993902.5</v>
      </c>
      <c r="I1105" s="9">
        <v>7801478.42</v>
      </c>
      <c r="J1105" s="9">
        <v>0.0</v>
      </c>
      <c r="K1105" s="9">
        <v>0.0</v>
      </c>
      <c r="L1105" s="9" t="s">
        <v>59</v>
      </c>
      <c r="M1105" s="9" t="s">
        <v>55</v>
      </c>
      <c r="N1105" s="9">
        <v>7398183.93</v>
      </c>
      <c r="O1105" s="9">
        <v>7398183.93</v>
      </c>
      <c r="R1105" s="9" t="s">
        <v>60</v>
      </c>
      <c r="S1105" s="9" t="s">
        <v>57</v>
      </c>
      <c r="T1105" s="9" t="s">
        <v>61</v>
      </c>
      <c r="V1105" s="9">
        <v>7398183.93</v>
      </c>
      <c r="W1105" s="9">
        <v>0.0</v>
      </c>
      <c r="X1105" s="9">
        <v>0.0</v>
      </c>
    </row>
    <row r="1106" ht="15.75" customHeight="1">
      <c r="A1106" s="9">
        <v>2150529.0</v>
      </c>
      <c r="B1106" s="9">
        <v>4220609.0</v>
      </c>
      <c r="C1106" s="9">
        <v>30091.0</v>
      </c>
      <c r="D1106" s="9" t="s">
        <v>52</v>
      </c>
      <c r="E1106" s="9" t="s">
        <v>53</v>
      </c>
      <c r="F1106" s="9">
        <v>191429.0</v>
      </c>
      <c r="G1106" s="9">
        <v>4165317.95</v>
      </c>
      <c r="H1106" s="9">
        <v>4165317.95</v>
      </c>
      <c r="I1106" s="9">
        <v>4515313.2</v>
      </c>
      <c r="J1106" s="9">
        <v>0.0</v>
      </c>
      <c r="K1106" s="9">
        <v>0.0</v>
      </c>
      <c r="L1106" s="9" t="s">
        <v>59</v>
      </c>
      <c r="M1106" s="9" t="s">
        <v>55</v>
      </c>
      <c r="N1106" s="9">
        <v>3892820.51</v>
      </c>
      <c r="O1106" s="9">
        <v>3892800.0</v>
      </c>
      <c r="P1106" s="9">
        <v>136248.72</v>
      </c>
      <c r="Q1106" s="9">
        <v>136248.72</v>
      </c>
      <c r="R1106" s="9" t="s">
        <v>60</v>
      </c>
      <c r="S1106" s="9" t="s">
        <v>57</v>
      </c>
      <c r="T1106" s="9" t="s">
        <v>61</v>
      </c>
      <c r="V1106" s="9">
        <v>4395877.57</v>
      </c>
      <c r="W1106" s="9">
        <v>136248.72</v>
      </c>
      <c r="X1106" s="9">
        <v>0.0</v>
      </c>
    </row>
    <row r="1107" ht="15.75" customHeight="1">
      <c r="A1107" s="9">
        <v>2153337.0</v>
      </c>
      <c r="B1107" s="9">
        <v>4749989.0</v>
      </c>
      <c r="C1107" s="9">
        <v>26621.0</v>
      </c>
      <c r="D1107" s="9" t="s">
        <v>52</v>
      </c>
      <c r="E1107" s="9" t="s">
        <v>53</v>
      </c>
      <c r="F1107" s="9">
        <v>174733.0</v>
      </c>
      <c r="G1107" s="9">
        <v>5849707.61</v>
      </c>
      <c r="H1107" s="9">
        <v>5849707.61</v>
      </c>
      <c r="I1107" s="9">
        <v>5849707.61</v>
      </c>
      <c r="J1107" s="9">
        <v>0.0</v>
      </c>
      <c r="K1107" s="9">
        <v>0.0</v>
      </c>
      <c r="L1107" s="9" t="s">
        <v>69</v>
      </c>
      <c r="M1107" s="9" t="s">
        <v>55</v>
      </c>
      <c r="N1107" s="9">
        <v>4579917.73</v>
      </c>
      <c r="O1107" s="9">
        <v>4579917.73</v>
      </c>
      <c r="P1107" s="9">
        <v>112482.27</v>
      </c>
      <c r="Q1107" s="9">
        <v>112482.27</v>
      </c>
      <c r="R1107" s="9" t="s">
        <v>60</v>
      </c>
      <c r="S1107" s="9" t="s">
        <v>57</v>
      </c>
      <c r="T1107" s="9" t="s">
        <v>61</v>
      </c>
      <c r="V1107" s="9">
        <v>5496467.61</v>
      </c>
      <c r="W1107" s="9">
        <v>140602.84</v>
      </c>
      <c r="X1107" s="9">
        <v>0.0</v>
      </c>
    </row>
    <row r="1108" ht="15.75" customHeight="1">
      <c r="A1108" s="9">
        <v>2155516.0</v>
      </c>
      <c r="B1108" s="9">
        <v>953641.99</v>
      </c>
      <c r="C1108" s="9">
        <v>31567.0</v>
      </c>
      <c r="D1108" s="9" t="s">
        <v>52</v>
      </c>
      <c r="E1108" s="9" t="s">
        <v>53</v>
      </c>
      <c r="F1108" s="9">
        <v>205369.0</v>
      </c>
      <c r="G1108" s="9">
        <v>1259536.94</v>
      </c>
      <c r="H1108" s="9">
        <v>1259536.94</v>
      </c>
      <c r="I1108" s="9">
        <v>1016567.17</v>
      </c>
      <c r="J1108" s="9">
        <v>0.0</v>
      </c>
      <c r="K1108" s="9">
        <v>0.0</v>
      </c>
      <c r="L1108" s="9" t="s">
        <v>59</v>
      </c>
      <c r="M1108" s="9" t="s">
        <v>55</v>
      </c>
      <c r="R1108" s="9" t="s">
        <v>56</v>
      </c>
      <c r="S1108" s="9" t="s">
        <v>57</v>
      </c>
      <c r="T1108" s="9" t="s">
        <v>58</v>
      </c>
      <c r="V1108" s="9">
        <v>1000684.47</v>
      </c>
      <c r="W1108" s="9">
        <v>0.0</v>
      </c>
      <c r="X1108" s="9">
        <v>0.0</v>
      </c>
    </row>
    <row r="1109" ht="15.75" customHeight="1">
      <c r="A1109" s="9">
        <v>2159794.0</v>
      </c>
      <c r="B1109" s="9">
        <v>4.0273114E7</v>
      </c>
      <c r="C1109" s="9">
        <v>41636.0</v>
      </c>
      <c r="D1109" s="9" t="s">
        <v>52</v>
      </c>
      <c r="E1109" s="9" t="s">
        <v>53</v>
      </c>
      <c r="F1109" s="9">
        <v>74511.0</v>
      </c>
      <c r="G1109" s="9">
        <v>5.701447308E7</v>
      </c>
      <c r="H1109" s="9">
        <v>7.804963828E7</v>
      </c>
      <c r="I1109" s="9">
        <v>6.884419206E7</v>
      </c>
      <c r="J1109" s="9">
        <v>321228.62</v>
      </c>
      <c r="K1109" s="9">
        <v>415828.0</v>
      </c>
      <c r="L1109" s="9" t="s">
        <v>59</v>
      </c>
      <c r="M1109" s="9" t="s">
        <v>62</v>
      </c>
      <c r="R1109" s="9" t="s">
        <v>106</v>
      </c>
      <c r="S1109" s="9" t="s">
        <v>82</v>
      </c>
      <c r="T1109" s="9" t="s">
        <v>107</v>
      </c>
      <c r="U1109" s="9" t="s">
        <v>108</v>
      </c>
    </row>
    <row r="1110" ht="15.75" customHeight="1">
      <c r="A1110" s="9">
        <v>2160998.0</v>
      </c>
      <c r="B1110" s="9">
        <v>3275276.0</v>
      </c>
      <c r="C1110" s="9">
        <v>31275.0</v>
      </c>
      <c r="D1110" s="9" t="s">
        <v>52</v>
      </c>
      <c r="E1110" s="9" t="s">
        <v>53</v>
      </c>
      <c r="F1110" s="9">
        <v>166105.0</v>
      </c>
      <c r="G1110" s="9">
        <v>1872233.38</v>
      </c>
      <c r="H1110" s="9">
        <v>1872233.38</v>
      </c>
      <c r="I1110" s="9">
        <v>0.0</v>
      </c>
      <c r="J1110" s="9">
        <v>0.0</v>
      </c>
      <c r="K1110" s="9">
        <v>0.0</v>
      </c>
      <c r="L1110" s="9" t="s">
        <v>54</v>
      </c>
      <c r="M1110" s="9" t="s">
        <v>55</v>
      </c>
      <c r="R1110" s="9" t="s">
        <v>94</v>
      </c>
      <c r="S1110" s="9" t="s">
        <v>57</v>
      </c>
      <c r="T1110" s="9" t="s">
        <v>95</v>
      </c>
    </row>
    <row r="1111" ht="15.75" customHeight="1">
      <c r="A1111" s="9">
        <v>2165839.0</v>
      </c>
      <c r="B1111" s="9">
        <v>9999876.0</v>
      </c>
      <c r="C1111" s="9">
        <v>37543.0</v>
      </c>
      <c r="D1111" s="9" t="s">
        <v>52</v>
      </c>
      <c r="E1111" s="9" t="s">
        <v>53</v>
      </c>
      <c r="F1111" s="9">
        <v>234107.0</v>
      </c>
      <c r="G1111" s="9">
        <v>1.38239E7</v>
      </c>
      <c r="H1111" s="9">
        <v>1.301800317E7</v>
      </c>
      <c r="I1111" s="9">
        <v>1.293791843E7</v>
      </c>
      <c r="J1111" s="9">
        <v>0.0</v>
      </c>
      <c r="K1111" s="9">
        <v>0.0</v>
      </c>
      <c r="L1111" s="9" t="s">
        <v>59</v>
      </c>
      <c r="M1111" s="9" t="s">
        <v>55</v>
      </c>
      <c r="N1111" s="9">
        <v>1.342128112E7</v>
      </c>
      <c r="O1111" s="9">
        <v>1.2738652E7</v>
      </c>
      <c r="P1111" s="9">
        <v>301963.85</v>
      </c>
      <c r="Q1111" s="9">
        <v>301963.85</v>
      </c>
      <c r="R1111" s="9" t="s">
        <v>60</v>
      </c>
      <c r="S1111" s="9" t="s">
        <v>57</v>
      </c>
      <c r="T1111" s="9" t="s">
        <v>61</v>
      </c>
      <c r="V1111" s="9">
        <v>1.260095471E7</v>
      </c>
      <c r="W1111" s="9">
        <v>301963.8</v>
      </c>
      <c r="X1111" s="9">
        <v>0.0</v>
      </c>
    </row>
    <row r="1112" ht="15.75" customHeight="1">
      <c r="A1112" s="9">
        <v>2166707.0</v>
      </c>
      <c r="B1112" s="9">
        <v>3303151.0</v>
      </c>
      <c r="C1112" s="9">
        <v>37500.0</v>
      </c>
      <c r="D1112" s="9" t="s">
        <v>52</v>
      </c>
      <c r="E1112" s="9" t="s">
        <v>53</v>
      </c>
      <c r="F1112" s="9">
        <v>159040.0</v>
      </c>
      <c r="G1112" s="9">
        <v>3732486.0</v>
      </c>
      <c r="H1112" s="9">
        <v>3732486.0</v>
      </c>
      <c r="I1112" s="9">
        <v>3742688.28</v>
      </c>
      <c r="J1112" s="9">
        <v>0.0</v>
      </c>
      <c r="K1112" s="9">
        <v>0.0</v>
      </c>
      <c r="L1112" s="9" t="s">
        <v>69</v>
      </c>
      <c r="M1112" s="9" t="s">
        <v>55</v>
      </c>
      <c r="N1112" s="9">
        <v>3503176.99</v>
      </c>
      <c r="O1112" s="9">
        <v>3265600.0</v>
      </c>
      <c r="P1112" s="9">
        <v>229309.0</v>
      </c>
      <c r="Q1112" s="9">
        <v>213762.0</v>
      </c>
      <c r="R1112" s="9" t="s">
        <v>72</v>
      </c>
      <c r="S1112" s="9" t="s">
        <v>57</v>
      </c>
      <c r="T1112" s="9" t="s">
        <v>73</v>
      </c>
      <c r="V1112" s="9">
        <v>3482158.28</v>
      </c>
      <c r="W1112" s="9">
        <v>0.0</v>
      </c>
      <c r="X1112" s="9">
        <v>0.0</v>
      </c>
    </row>
    <row r="1113" ht="15.75" customHeight="1">
      <c r="A1113" s="9">
        <v>2167373.0</v>
      </c>
      <c r="B1113" s="9">
        <v>8037262.0</v>
      </c>
      <c r="C1113" s="9">
        <v>32140.0</v>
      </c>
      <c r="D1113" s="9" t="s">
        <v>52</v>
      </c>
      <c r="E1113" s="9" t="s">
        <v>53</v>
      </c>
      <c r="F1113" s="9">
        <v>234096.0</v>
      </c>
      <c r="G1113" s="9">
        <v>7227751.96</v>
      </c>
      <c r="H1113" s="9">
        <v>7227751.96</v>
      </c>
      <c r="I1113" s="9">
        <v>7031125.0</v>
      </c>
      <c r="J1113" s="9">
        <v>0.0</v>
      </c>
      <c r="K1113" s="9">
        <v>0.0</v>
      </c>
      <c r="L1113" s="9" t="s">
        <v>54</v>
      </c>
      <c r="M1113" s="9" t="s">
        <v>55</v>
      </c>
      <c r="N1113" s="9">
        <v>6772811.96</v>
      </c>
      <c r="O1113" s="9">
        <v>6772811.96</v>
      </c>
      <c r="P1113" s="9">
        <v>227470.0</v>
      </c>
      <c r="Q1113" s="9">
        <v>227470.0</v>
      </c>
      <c r="R1113" s="9" t="s">
        <v>60</v>
      </c>
      <c r="S1113" s="9" t="s">
        <v>57</v>
      </c>
      <c r="T1113" s="9" t="s">
        <v>61</v>
      </c>
      <c r="V1113" s="9">
        <v>7113008.13</v>
      </c>
      <c r="W1113" s="9">
        <v>181976.0</v>
      </c>
      <c r="X1113" s="9">
        <v>0.0</v>
      </c>
    </row>
    <row r="1114" ht="15.75" customHeight="1">
      <c r="A1114" s="9">
        <v>2167709.0</v>
      </c>
      <c r="B1114" s="9">
        <v>4.1295638E7</v>
      </c>
      <c r="C1114" s="9">
        <v>39587.0</v>
      </c>
      <c r="D1114" s="9" t="s">
        <v>52</v>
      </c>
      <c r="E1114" s="9" t="s">
        <v>53</v>
      </c>
      <c r="F1114" s="9">
        <v>138815.0</v>
      </c>
      <c r="G1114" s="9">
        <v>3.191932022E7</v>
      </c>
      <c r="H1114" s="9">
        <v>3.687684019E7</v>
      </c>
      <c r="I1114" s="9">
        <v>3.684076486E7</v>
      </c>
      <c r="J1114" s="9">
        <v>0.0</v>
      </c>
      <c r="K1114" s="9">
        <v>0.0</v>
      </c>
      <c r="L1114" s="9" t="s">
        <v>59</v>
      </c>
      <c r="M1114" s="9" t="s">
        <v>55</v>
      </c>
      <c r="N1114" s="9">
        <v>2.928237621E7</v>
      </c>
      <c r="O1114" s="9">
        <v>2.723732216E7</v>
      </c>
      <c r="P1114" s="9">
        <v>1661885.23</v>
      </c>
      <c r="Q1114" s="9">
        <v>1661885.23</v>
      </c>
      <c r="R1114" s="9" t="s">
        <v>70</v>
      </c>
      <c r="S1114" s="9" t="s">
        <v>57</v>
      </c>
      <c r="T1114" s="9" t="s">
        <v>71</v>
      </c>
    </row>
    <row r="1115" ht="15.75" customHeight="1">
      <c r="A1115" s="9">
        <v>2167716.0</v>
      </c>
      <c r="B1115" s="9">
        <v>4636613.0</v>
      </c>
      <c r="C1115" s="9">
        <v>32150.0</v>
      </c>
      <c r="D1115" s="9" t="s">
        <v>52</v>
      </c>
      <c r="E1115" s="9" t="s">
        <v>53</v>
      </c>
      <c r="F1115" s="9">
        <v>249948.0</v>
      </c>
      <c r="G1115" s="9">
        <v>3893702.04</v>
      </c>
      <c r="H1115" s="9">
        <v>3577901.8</v>
      </c>
      <c r="I1115" s="9">
        <v>3518731.47</v>
      </c>
      <c r="J1115" s="9">
        <v>0.0</v>
      </c>
      <c r="K1115" s="9">
        <v>0.0</v>
      </c>
      <c r="L1115" s="9" t="s">
        <v>59</v>
      </c>
      <c r="M1115" s="9" t="s">
        <v>55</v>
      </c>
      <c r="N1115" s="9">
        <v>2739160.12</v>
      </c>
      <c r="O1115" s="9">
        <v>2739160.12</v>
      </c>
      <c r="P1115" s="9">
        <v>100931.55</v>
      </c>
      <c r="Q1115" s="9">
        <v>100931.55</v>
      </c>
      <c r="R1115" s="9" t="s">
        <v>56</v>
      </c>
      <c r="S1115" s="9" t="s">
        <v>57</v>
      </c>
      <c r="T1115" s="9" t="s">
        <v>58</v>
      </c>
      <c r="V1115" s="9">
        <v>2977254.44</v>
      </c>
      <c r="W1115" s="9">
        <v>0.0</v>
      </c>
      <c r="X1115" s="9">
        <v>0.0</v>
      </c>
    </row>
    <row r="1116" ht="15.75" customHeight="1">
      <c r="A1116" s="9">
        <v>2176842.0</v>
      </c>
      <c r="B1116" s="9">
        <v>6.1201902E7</v>
      </c>
      <c r="C1116" s="9">
        <v>40285.0</v>
      </c>
      <c r="D1116" s="9" t="s">
        <v>52</v>
      </c>
      <c r="E1116" s="9" t="s">
        <v>53</v>
      </c>
      <c r="F1116" s="9">
        <v>164006.0</v>
      </c>
      <c r="G1116" s="9">
        <v>9.934544678E7</v>
      </c>
      <c r="H1116" s="9">
        <v>1.0500269536E8</v>
      </c>
      <c r="I1116" s="9">
        <v>2.774272363E7</v>
      </c>
      <c r="J1116" s="9">
        <v>0.0</v>
      </c>
      <c r="K1116" s="9">
        <v>1572878.0</v>
      </c>
      <c r="L1116" s="9" t="s">
        <v>59</v>
      </c>
      <c r="M1116" s="9" t="s">
        <v>55</v>
      </c>
      <c r="N1116" s="9">
        <v>9.5440845E7</v>
      </c>
      <c r="O1116" s="9">
        <v>9.5440845E7</v>
      </c>
      <c r="P1116" s="9">
        <v>3896970.87</v>
      </c>
      <c r="Q1116" s="9">
        <v>3507273.79</v>
      </c>
      <c r="R1116" s="9" t="s">
        <v>77</v>
      </c>
      <c r="S1116" s="9" t="s">
        <v>78</v>
      </c>
      <c r="T1116" s="9" t="s">
        <v>79</v>
      </c>
      <c r="U1116" s="9" t="s">
        <v>80</v>
      </c>
    </row>
    <row r="1117" ht="15.75" customHeight="1">
      <c r="A1117" s="9">
        <v>2178303.0</v>
      </c>
      <c r="B1117" s="9">
        <v>4.7451693E7</v>
      </c>
      <c r="C1117" s="9">
        <v>26785.0</v>
      </c>
      <c r="D1117" s="9" t="s">
        <v>52</v>
      </c>
      <c r="E1117" s="9" t="s">
        <v>53</v>
      </c>
      <c r="F1117" s="9">
        <v>257607.0</v>
      </c>
      <c r="G1117" s="9">
        <v>5.261963524E7</v>
      </c>
      <c r="H1117" s="9">
        <v>5.483033681E7</v>
      </c>
      <c r="I1117" s="9">
        <v>5.277651081E7</v>
      </c>
      <c r="J1117" s="9">
        <v>0.0</v>
      </c>
      <c r="K1117" s="9">
        <v>0.0</v>
      </c>
      <c r="L1117" s="9" t="s">
        <v>59</v>
      </c>
      <c r="M1117" s="9" t="s">
        <v>55</v>
      </c>
      <c r="N1117" s="9">
        <v>4.5761466E7</v>
      </c>
      <c r="O1117" s="9">
        <v>4.5761466E7</v>
      </c>
      <c r="P1117" s="9">
        <v>860151.8</v>
      </c>
      <c r="Q1117" s="9">
        <v>860151.8</v>
      </c>
      <c r="R1117" s="9" t="s">
        <v>77</v>
      </c>
      <c r="S1117" s="9" t="s">
        <v>78</v>
      </c>
      <c r="T1117" s="9" t="s">
        <v>79</v>
      </c>
      <c r="U1117" s="9" t="s">
        <v>80</v>
      </c>
    </row>
    <row r="1118" ht="15.75" customHeight="1">
      <c r="A1118" s="9">
        <v>2178814.0</v>
      </c>
      <c r="B1118" s="9">
        <v>4164624.0</v>
      </c>
      <c r="C1118" s="9">
        <v>26674.0</v>
      </c>
      <c r="D1118" s="9" t="s">
        <v>52</v>
      </c>
      <c r="E1118" s="9" t="s">
        <v>53</v>
      </c>
      <c r="F1118" s="9">
        <v>234909.0</v>
      </c>
      <c r="G1118" s="9">
        <v>3657761.36</v>
      </c>
      <c r="H1118" s="9">
        <v>3657761.36</v>
      </c>
      <c r="I1118" s="9">
        <v>3657761.0</v>
      </c>
      <c r="J1118" s="9">
        <v>0.0</v>
      </c>
      <c r="K1118" s="9">
        <v>0.0</v>
      </c>
      <c r="L1118" s="9" t="s">
        <v>69</v>
      </c>
      <c r="M1118" s="9" t="s">
        <v>55</v>
      </c>
      <c r="N1118" s="9">
        <v>3211112.28</v>
      </c>
      <c r="O1118" s="9">
        <v>3211112.88</v>
      </c>
      <c r="P1118" s="9">
        <v>320611.29</v>
      </c>
      <c r="Q1118" s="9">
        <v>320611.29</v>
      </c>
      <c r="R1118" s="9" t="s">
        <v>60</v>
      </c>
      <c r="S1118" s="9" t="s">
        <v>57</v>
      </c>
      <c r="T1118" s="9" t="s">
        <v>61</v>
      </c>
      <c r="V1118" s="9">
        <v>3337150.07</v>
      </c>
      <c r="W1118" s="9">
        <v>320611.29</v>
      </c>
      <c r="X1118" s="9">
        <v>0.0</v>
      </c>
    </row>
    <row r="1119" ht="15.75" customHeight="1">
      <c r="A1119" s="9">
        <v>2178816.0</v>
      </c>
      <c r="B1119" s="9">
        <v>2.1531106E7</v>
      </c>
      <c r="C1119" s="9">
        <v>26682.0</v>
      </c>
      <c r="D1119" s="9" t="s">
        <v>52</v>
      </c>
      <c r="E1119" s="9" t="s">
        <v>53</v>
      </c>
      <c r="F1119" s="9">
        <v>263676.0</v>
      </c>
      <c r="G1119" s="9">
        <v>2.116635136E7</v>
      </c>
      <c r="H1119" s="9">
        <v>2.116635136E7</v>
      </c>
      <c r="I1119" s="9">
        <v>999999.0</v>
      </c>
      <c r="J1119" s="9">
        <v>0.0</v>
      </c>
      <c r="K1119" s="9">
        <v>0.0</v>
      </c>
      <c r="L1119" s="9" t="s">
        <v>59</v>
      </c>
      <c r="M1119" s="9" t="s">
        <v>55</v>
      </c>
      <c r="N1119" s="9">
        <v>1.986230218E7</v>
      </c>
      <c r="O1119" s="9">
        <v>1.986230217E7</v>
      </c>
      <c r="P1119" s="9">
        <v>403750.0</v>
      </c>
      <c r="Q1119" s="9">
        <v>403750.0</v>
      </c>
      <c r="R1119" s="9" t="s">
        <v>60</v>
      </c>
      <c r="S1119" s="9" t="s">
        <v>57</v>
      </c>
      <c r="T1119" s="9" t="s">
        <v>61</v>
      </c>
      <c r="V1119" s="9">
        <v>2.193697676E7</v>
      </c>
      <c r="W1119" s="9">
        <v>403750.0</v>
      </c>
      <c r="X1119" s="9">
        <v>0.0</v>
      </c>
    </row>
    <row r="1120" ht="15.75" customHeight="1">
      <c r="A1120" s="9">
        <v>2182824.0</v>
      </c>
      <c r="B1120" s="9">
        <v>7380152.0</v>
      </c>
      <c r="C1120" s="9">
        <v>40594.0</v>
      </c>
      <c r="D1120" s="9" t="s">
        <v>52</v>
      </c>
      <c r="E1120" s="9" t="s">
        <v>53</v>
      </c>
      <c r="F1120" s="9">
        <v>255668.0</v>
      </c>
      <c r="G1120" s="9">
        <v>1.0192495E7</v>
      </c>
      <c r="H1120" s="9">
        <v>1.019249455E7</v>
      </c>
      <c r="I1120" s="9">
        <v>1.013249201E7</v>
      </c>
      <c r="J1120" s="9">
        <v>0.0</v>
      </c>
      <c r="K1120" s="9">
        <v>0.0</v>
      </c>
      <c r="L1120" s="9" t="s">
        <v>59</v>
      </c>
      <c r="M1120" s="9" t="s">
        <v>55</v>
      </c>
      <c r="N1120" s="9">
        <v>9649994.81</v>
      </c>
      <c r="O1120" s="9">
        <v>9550977.48</v>
      </c>
      <c r="P1120" s="9">
        <v>482499.74</v>
      </c>
      <c r="Q1120" s="9">
        <v>482499.74</v>
      </c>
      <c r="R1120" s="9" t="s">
        <v>60</v>
      </c>
      <c r="S1120" s="9" t="s">
        <v>57</v>
      </c>
      <c r="T1120" s="9" t="s">
        <v>61</v>
      </c>
      <c r="V1120" s="9">
        <v>9649995.26</v>
      </c>
      <c r="W1120" s="9">
        <v>482499.74</v>
      </c>
      <c r="X1120" s="9">
        <v>0.0</v>
      </c>
    </row>
    <row r="1121" ht="15.75" customHeight="1">
      <c r="A1121" s="9">
        <v>2187665.0</v>
      </c>
      <c r="B1121" s="9">
        <v>1.4063041E7</v>
      </c>
      <c r="C1121" s="9">
        <v>32063.0</v>
      </c>
      <c r="D1121" s="9" t="s">
        <v>52</v>
      </c>
      <c r="E1121" s="9" t="s">
        <v>53</v>
      </c>
      <c r="F1121" s="9">
        <v>272795.0</v>
      </c>
      <c r="G1121" s="9">
        <v>8785104.29</v>
      </c>
      <c r="H1121" s="9">
        <v>8785104.29</v>
      </c>
      <c r="I1121" s="9">
        <v>8392615.67</v>
      </c>
      <c r="J1121" s="9">
        <v>0.0</v>
      </c>
      <c r="K1121" s="9">
        <v>0.0</v>
      </c>
      <c r="L1121" s="9" t="s">
        <v>59</v>
      </c>
      <c r="M1121" s="9" t="s">
        <v>55</v>
      </c>
      <c r="N1121" s="9">
        <v>7956838.19</v>
      </c>
      <c r="O1121" s="9">
        <v>7956838.19</v>
      </c>
      <c r="P1121" s="9">
        <v>437626.1</v>
      </c>
      <c r="Q1121" s="9">
        <v>437626.1</v>
      </c>
      <c r="R1121" s="9" t="s">
        <v>119</v>
      </c>
      <c r="S1121" s="9" t="s">
        <v>120</v>
      </c>
      <c r="T1121" s="9" t="s">
        <v>121</v>
      </c>
      <c r="V1121" s="9">
        <v>7960962.94</v>
      </c>
      <c r="W1121" s="9">
        <v>503270.02</v>
      </c>
      <c r="X1121" s="9">
        <v>0.0</v>
      </c>
    </row>
    <row r="1122" ht="15.75" customHeight="1">
      <c r="A1122" s="9">
        <v>2193247.0</v>
      </c>
      <c r="B1122" s="9">
        <v>1.09756009E8</v>
      </c>
      <c r="C1122" s="9">
        <v>42384.0</v>
      </c>
      <c r="D1122" s="9" t="s">
        <v>52</v>
      </c>
      <c r="E1122" s="9" t="s">
        <v>87</v>
      </c>
      <c r="F1122" s="9">
        <v>280513.0</v>
      </c>
      <c r="H1122" s="9">
        <v>2.2384193667E8</v>
      </c>
      <c r="I1122" s="9">
        <v>5.072269839E7</v>
      </c>
      <c r="J1122" s="9">
        <v>5557867.98</v>
      </c>
      <c r="K1122" s="9">
        <v>7531190.0</v>
      </c>
      <c r="L1122" s="9" t="s">
        <v>59</v>
      </c>
      <c r="M1122" s="9" t="s">
        <v>55</v>
      </c>
      <c r="R1122" s="9" t="s">
        <v>115</v>
      </c>
      <c r="S1122" s="9" t="s">
        <v>115</v>
      </c>
      <c r="V1122" s="9">
        <v>1516696.81</v>
      </c>
    </row>
    <row r="1123" ht="15.75" customHeight="1">
      <c r="A1123" s="9">
        <v>2037384.0</v>
      </c>
      <c r="B1123" s="9">
        <v>3.0255103E7</v>
      </c>
      <c r="C1123" s="9">
        <v>30159.0</v>
      </c>
      <c r="D1123" s="9" t="s">
        <v>52</v>
      </c>
      <c r="E1123" s="9" t="s">
        <v>53</v>
      </c>
      <c r="F1123" s="9">
        <v>35798.0</v>
      </c>
      <c r="G1123" s="9">
        <v>4.2278059E7</v>
      </c>
      <c r="H1123" s="9">
        <v>3.621299123E7</v>
      </c>
      <c r="I1123" s="9">
        <v>3.433472991E7</v>
      </c>
      <c r="J1123" s="9">
        <v>0.0</v>
      </c>
      <c r="K1123" s="9">
        <v>0.0</v>
      </c>
      <c r="L1123" s="9" t="s">
        <v>69</v>
      </c>
      <c r="M1123" s="9" t="s">
        <v>55</v>
      </c>
      <c r="N1123" s="9">
        <v>8825466.37</v>
      </c>
      <c r="O1123" s="9">
        <v>7942919.74</v>
      </c>
      <c r="P1123" s="9">
        <v>251401.98</v>
      </c>
      <c r="Q1123" s="9">
        <v>226261.79</v>
      </c>
      <c r="R1123" s="9" t="s">
        <v>60</v>
      </c>
      <c r="S1123" s="9" t="s">
        <v>57</v>
      </c>
      <c r="T1123" s="9" t="s">
        <v>61</v>
      </c>
      <c r="V1123" s="9">
        <v>3.349678574E7</v>
      </c>
      <c r="W1123" s="9">
        <v>0.0</v>
      </c>
      <c r="X1123" s="9">
        <v>0.0</v>
      </c>
    </row>
    <row r="1124" ht="15.75" customHeight="1">
      <c r="A1124" s="9">
        <v>2037563.0</v>
      </c>
      <c r="B1124" s="9">
        <v>440894.0</v>
      </c>
      <c r="C1124" s="9">
        <v>30996.0</v>
      </c>
      <c r="D1124" s="9" t="s">
        <v>52</v>
      </c>
      <c r="E1124" s="9" t="s">
        <v>53</v>
      </c>
      <c r="F1124" s="9">
        <v>37335.0</v>
      </c>
      <c r="G1124" s="9">
        <v>440894.0</v>
      </c>
      <c r="H1124" s="9">
        <v>440894.0</v>
      </c>
      <c r="I1124" s="9">
        <v>359430.16</v>
      </c>
      <c r="J1124" s="9">
        <v>0.0</v>
      </c>
      <c r="K1124" s="9">
        <v>0.0</v>
      </c>
      <c r="L1124" s="9" t="s">
        <v>69</v>
      </c>
      <c r="M1124" s="9" t="s">
        <v>55</v>
      </c>
      <c r="R1124" s="9" t="s">
        <v>60</v>
      </c>
      <c r="S1124" s="9" t="s">
        <v>57</v>
      </c>
      <c r="T1124" s="9" t="s">
        <v>61</v>
      </c>
      <c r="V1124" s="9">
        <v>353165.0</v>
      </c>
      <c r="W1124" s="9">
        <v>0.0</v>
      </c>
      <c r="X1124" s="9">
        <v>0.0</v>
      </c>
    </row>
    <row r="1125" ht="15.75" customHeight="1">
      <c r="A1125" s="9">
        <v>2041014.0</v>
      </c>
      <c r="B1125" s="9">
        <v>1999891.0</v>
      </c>
      <c r="C1125" s="9">
        <v>31004.0</v>
      </c>
      <c r="D1125" s="9" t="s">
        <v>52</v>
      </c>
      <c r="E1125" s="9" t="s">
        <v>53</v>
      </c>
      <c r="F1125" s="9">
        <v>45354.0</v>
      </c>
      <c r="G1125" s="9">
        <v>1999891.0</v>
      </c>
      <c r="H1125" s="9">
        <v>1882426.39</v>
      </c>
      <c r="I1125" s="9">
        <v>1882426.39</v>
      </c>
      <c r="J1125" s="9">
        <v>0.0</v>
      </c>
      <c r="K1125" s="9">
        <v>0.0</v>
      </c>
      <c r="L1125" s="9" t="s">
        <v>69</v>
      </c>
      <c r="M1125" s="9" t="s">
        <v>55</v>
      </c>
      <c r="R1125" s="9" t="s">
        <v>60</v>
      </c>
      <c r="S1125" s="9" t="s">
        <v>57</v>
      </c>
      <c r="T1125" s="9" t="s">
        <v>61</v>
      </c>
      <c r="V1125" s="9">
        <v>1882426.39</v>
      </c>
      <c r="W1125" s="9">
        <v>0.0</v>
      </c>
      <c r="X1125" s="9">
        <v>0.0</v>
      </c>
    </row>
    <row r="1126" ht="15.75" customHeight="1">
      <c r="A1126" s="9">
        <v>2041403.0</v>
      </c>
      <c r="B1126" s="9">
        <v>422258.0</v>
      </c>
      <c r="C1126" s="9">
        <v>30999.0</v>
      </c>
      <c r="D1126" s="9" t="s">
        <v>52</v>
      </c>
      <c r="E1126" s="9" t="s">
        <v>53</v>
      </c>
      <c r="F1126" s="9">
        <v>38403.0</v>
      </c>
      <c r="G1126" s="9">
        <v>422258.0</v>
      </c>
      <c r="H1126" s="9">
        <v>429383.61</v>
      </c>
      <c r="I1126" s="9">
        <v>406792.43</v>
      </c>
      <c r="J1126" s="9">
        <v>0.0</v>
      </c>
      <c r="K1126" s="9">
        <v>0.0</v>
      </c>
      <c r="L1126" s="9" t="s">
        <v>69</v>
      </c>
      <c r="M1126" s="9" t="s">
        <v>55</v>
      </c>
      <c r="R1126" s="9" t="s">
        <v>60</v>
      </c>
      <c r="S1126" s="9" t="s">
        <v>57</v>
      </c>
      <c r="T1126" s="9" t="s">
        <v>61</v>
      </c>
      <c r="V1126" s="9">
        <v>406792.43</v>
      </c>
      <c r="W1126" s="9">
        <v>0.0</v>
      </c>
      <c r="X1126" s="9">
        <v>0.0</v>
      </c>
    </row>
    <row r="1127" ht="15.75" customHeight="1">
      <c r="A1127" s="9">
        <v>2042975.0</v>
      </c>
      <c r="B1127" s="9">
        <v>503024.0</v>
      </c>
      <c r="C1127" s="9">
        <v>30287.0</v>
      </c>
      <c r="D1127" s="9" t="s">
        <v>52</v>
      </c>
      <c r="E1127" s="9" t="s">
        <v>53</v>
      </c>
      <c r="F1127" s="9">
        <v>31422.0</v>
      </c>
      <c r="G1127" s="9">
        <v>503024.0</v>
      </c>
      <c r="H1127" s="9">
        <v>503024.0</v>
      </c>
      <c r="I1127" s="9">
        <v>0.0</v>
      </c>
      <c r="J1127" s="9">
        <v>0.0</v>
      </c>
      <c r="K1127" s="9">
        <v>0.0</v>
      </c>
      <c r="L1127" s="9" t="s">
        <v>54</v>
      </c>
      <c r="M1127" s="9" t="s">
        <v>55</v>
      </c>
      <c r="N1127" s="9">
        <v>524414.61</v>
      </c>
      <c r="O1127" s="9">
        <v>503024.0</v>
      </c>
      <c r="R1127" s="9" t="s">
        <v>60</v>
      </c>
      <c r="S1127" s="9" t="s">
        <v>57</v>
      </c>
      <c r="T1127" s="9" t="s">
        <v>61</v>
      </c>
      <c r="V1127" s="9">
        <v>534164.61</v>
      </c>
      <c r="W1127" s="9">
        <v>0.0</v>
      </c>
      <c r="X1127" s="9">
        <v>0.0</v>
      </c>
    </row>
    <row r="1128" ht="15.75" customHeight="1">
      <c r="A1128" s="9">
        <v>2043261.0</v>
      </c>
      <c r="B1128" s="9">
        <v>6452917.0</v>
      </c>
      <c r="C1128" s="9">
        <v>31257.0</v>
      </c>
      <c r="D1128" s="9" t="s">
        <v>52</v>
      </c>
      <c r="E1128" s="9" t="s">
        <v>53</v>
      </c>
      <c r="F1128" s="9">
        <v>45220.0</v>
      </c>
      <c r="G1128" s="9">
        <v>7071315.31</v>
      </c>
      <c r="H1128" s="9">
        <v>7071315.31</v>
      </c>
      <c r="I1128" s="9">
        <v>6648046.77</v>
      </c>
      <c r="J1128" s="9">
        <v>0.0</v>
      </c>
      <c r="K1128" s="9">
        <v>0.0</v>
      </c>
      <c r="L1128" s="9" t="s">
        <v>69</v>
      </c>
      <c r="M1128" s="9" t="s">
        <v>55</v>
      </c>
      <c r="R1128" s="9" t="s">
        <v>60</v>
      </c>
      <c r="S1128" s="9" t="s">
        <v>57</v>
      </c>
      <c r="T1128" s="9" t="s">
        <v>61</v>
      </c>
      <c r="V1128" s="9">
        <v>4487968.33</v>
      </c>
      <c r="W1128" s="9">
        <v>0.0</v>
      </c>
      <c r="X1128" s="9">
        <v>0.0</v>
      </c>
    </row>
    <row r="1129" ht="15.75" customHeight="1">
      <c r="A1129" s="9">
        <v>2043936.0</v>
      </c>
      <c r="B1129" s="9">
        <v>1066560.0</v>
      </c>
      <c r="C1129" s="9">
        <v>29994.0</v>
      </c>
      <c r="D1129" s="9" t="s">
        <v>52</v>
      </c>
      <c r="E1129" s="9" t="s">
        <v>53</v>
      </c>
      <c r="F1129" s="9">
        <v>42165.0</v>
      </c>
      <c r="G1129" s="9">
        <v>1066560.0</v>
      </c>
      <c r="H1129" s="9">
        <v>1066560.0</v>
      </c>
      <c r="I1129" s="9">
        <v>640026.05</v>
      </c>
      <c r="J1129" s="9">
        <v>0.0</v>
      </c>
      <c r="K1129" s="9">
        <v>0.0</v>
      </c>
      <c r="L1129" s="9" t="s">
        <v>59</v>
      </c>
      <c r="M1129" s="9" t="s">
        <v>55</v>
      </c>
      <c r="N1129" s="9">
        <v>518626.0</v>
      </c>
      <c r="O1129" s="9">
        <v>506281.97</v>
      </c>
      <c r="P1129" s="9">
        <v>14000.0</v>
      </c>
      <c r="Q1129" s="9">
        <v>14000.0</v>
      </c>
      <c r="R1129" s="9" t="s">
        <v>60</v>
      </c>
      <c r="S1129" s="9" t="s">
        <v>57</v>
      </c>
      <c r="T1129" s="9" t="s">
        <v>61</v>
      </c>
      <c r="V1129" s="9">
        <v>572451.07</v>
      </c>
      <c r="W1129" s="9">
        <v>0.0</v>
      </c>
      <c r="X1129" s="9">
        <v>0.0</v>
      </c>
    </row>
    <row r="1130" ht="15.75" customHeight="1">
      <c r="A1130" s="9">
        <v>2044615.0</v>
      </c>
      <c r="B1130" s="9">
        <v>1328931.0</v>
      </c>
      <c r="C1130" s="9">
        <v>30654.0</v>
      </c>
      <c r="D1130" s="9" t="s">
        <v>52</v>
      </c>
      <c r="E1130" s="9" t="s">
        <v>53</v>
      </c>
      <c r="F1130" s="9">
        <v>44967.0</v>
      </c>
      <c r="G1130" s="9">
        <v>1522633.0</v>
      </c>
      <c r="H1130" s="9">
        <v>1786807.65</v>
      </c>
      <c r="I1130" s="9">
        <v>1793320.28</v>
      </c>
      <c r="J1130" s="9">
        <v>0.0</v>
      </c>
      <c r="K1130" s="9">
        <v>0.0</v>
      </c>
      <c r="L1130" s="9" t="s">
        <v>59</v>
      </c>
      <c r="M1130" s="9" t="s">
        <v>55</v>
      </c>
      <c r="N1130" s="9">
        <v>1277019.0</v>
      </c>
      <c r="O1130" s="9">
        <v>1149300.0</v>
      </c>
      <c r="P1130" s="9">
        <v>61774.61</v>
      </c>
      <c r="Q1130" s="9">
        <v>0.0</v>
      </c>
      <c r="R1130" s="9" t="s">
        <v>56</v>
      </c>
      <c r="S1130" s="9" t="s">
        <v>57</v>
      </c>
      <c r="T1130" s="9" t="s">
        <v>58</v>
      </c>
    </row>
    <row r="1131" ht="15.75" customHeight="1">
      <c r="A1131" s="9">
        <v>2044654.0</v>
      </c>
      <c r="B1131" s="9">
        <v>770124.0</v>
      </c>
      <c r="C1131" s="9">
        <v>30602.0</v>
      </c>
      <c r="D1131" s="9" t="s">
        <v>52</v>
      </c>
      <c r="E1131" s="9" t="s">
        <v>53</v>
      </c>
      <c r="F1131" s="9">
        <v>42305.0</v>
      </c>
      <c r="G1131" s="9">
        <v>2790670.0</v>
      </c>
      <c r="H1131" s="9">
        <v>2790670.0</v>
      </c>
      <c r="I1131" s="9">
        <v>2525979.26</v>
      </c>
      <c r="J1131" s="9">
        <v>0.0</v>
      </c>
      <c r="K1131" s="9">
        <v>0.0</v>
      </c>
      <c r="L1131" s="9" t="s">
        <v>59</v>
      </c>
      <c r="M1131" s="9" t="s">
        <v>55</v>
      </c>
      <c r="N1131" s="9">
        <v>1.0</v>
      </c>
      <c r="O1131" s="9">
        <v>1.0</v>
      </c>
      <c r="R1131" s="9" t="s">
        <v>60</v>
      </c>
      <c r="S1131" s="9" t="s">
        <v>57</v>
      </c>
      <c r="T1131" s="9" t="s">
        <v>61</v>
      </c>
    </row>
    <row r="1132" ht="15.75" customHeight="1">
      <c r="A1132" s="9">
        <v>2045122.0</v>
      </c>
      <c r="B1132" s="9">
        <v>3.4204567E7</v>
      </c>
      <c r="C1132" s="9">
        <v>30909.0</v>
      </c>
      <c r="D1132" s="9" t="s">
        <v>52</v>
      </c>
      <c r="E1132" s="9" t="s">
        <v>53</v>
      </c>
      <c r="F1132" s="9">
        <v>16605.0</v>
      </c>
      <c r="G1132" s="9">
        <v>4.3899941E7</v>
      </c>
      <c r="H1132" s="9">
        <v>4.3899941E7</v>
      </c>
      <c r="I1132" s="9">
        <v>0.0</v>
      </c>
      <c r="J1132" s="9">
        <v>0.0</v>
      </c>
      <c r="K1132" s="9">
        <v>0.0</v>
      </c>
      <c r="L1132" s="9" t="s">
        <v>54</v>
      </c>
      <c r="M1132" s="9" t="s">
        <v>55</v>
      </c>
      <c r="N1132" s="9">
        <v>3.961327047E7</v>
      </c>
      <c r="O1132" s="9">
        <v>3.96131551E7</v>
      </c>
      <c r="P1132" s="9">
        <v>1157533.33</v>
      </c>
      <c r="Q1132" s="9">
        <v>1041780.0</v>
      </c>
      <c r="R1132" s="9" t="s">
        <v>60</v>
      </c>
      <c r="S1132" s="9" t="s">
        <v>57</v>
      </c>
      <c r="T1132" s="9" t="s">
        <v>61</v>
      </c>
      <c r="V1132" s="9">
        <v>4.674783481E7</v>
      </c>
      <c r="W1132" s="9">
        <v>0.0</v>
      </c>
      <c r="X1132" s="9">
        <v>0.0</v>
      </c>
    </row>
    <row r="1133" ht="15.75" customHeight="1">
      <c r="A1133" s="9">
        <v>2045133.0</v>
      </c>
      <c r="B1133" s="9">
        <v>1042034.0</v>
      </c>
      <c r="C1133" s="9">
        <v>30170.0</v>
      </c>
      <c r="D1133" s="9" t="s">
        <v>52</v>
      </c>
      <c r="E1133" s="9" t="s">
        <v>53</v>
      </c>
      <c r="F1133" s="9">
        <v>7963.0</v>
      </c>
      <c r="G1133" s="9">
        <v>1042034.0</v>
      </c>
      <c r="H1133" s="9">
        <v>1042034.0</v>
      </c>
      <c r="I1133" s="9">
        <v>142997.98</v>
      </c>
      <c r="J1133" s="9">
        <v>0.0</v>
      </c>
      <c r="K1133" s="9">
        <v>0.0</v>
      </c>
      <c r="L1133" s="9" t="s">
        <v>59</v>
      </c>
      <c r="M1133" s="9" t="s">
        <v>55</v>
      </c>
      <c r="N1133" s="9">
        <v>1042034.0</v>
      </c>
      <c r="O1133" s="9">
        <v>989930.12</v>
      </c>
      <c r="P1133" s="9">
        <v>20000.0</v>
      </c>
      <c r="Q1133" s="9">
        <v>20000.0</v>
      </c>
      <c r="R1133" s="9" t="s">
        <v>94</v>
      </c>
      <c r="S1133" s="9" t="s">
        <v>57</v>
      </c>
      <c r="T1133" s="9" t="s">
        <v>95</v>
      </c>
      <c r="V1133" s="9">
        <v>0.0</v>
      </c>
      <c r="W1133" s="9">
        <v>0.0</v>
      </c>
      <c r="X1133" s="9">
        <v>0.0</v>
      </c>
    </row>
    <row r="1134" ht="15.75" customHeight="1">
      <c r="A1134" s="9">
        <v>2045147.0</v>
      </c>
      <c r="B1134" s="9">
        <v>2959019.0</v>
      </c>
      <c r="C1134" s="9">
        <v>30653.0</v>
      </c>
      <c r="D1134" s="9" t="s">
        <v>52</v>
      </c>
      <c r="E1134" s="9" t="s">
        <v>53</v>
      </c>
      <c r="F1134" s="9">
        <v>43248.0</v>
      </c>
      <c r="G1134" s="9">
        <v>2959019.0</v>
      </c>
      <c r="H1134" s="9">
        <v>2959019.0</v>
      </c>
      <c r="I1134" s="9">
        <v>2729048.04</v>
      </c>
      <c r="J1134" s="9">
        <v>0.0</v>
      </c>
      <c r="K1134" s="9">
        <v>0.0</v>
      </c>
      <c r="L1134" s="9" t="s">
        <v>59</v>
      </c>
      <c r="M1134" s="9" t="s">
        <v>55</v>
      </c>
      <c r="N1134" s="9">
        <v>2841560.0</v>
      </c>
      <c r="O1134" s="9">
        <v>2149079.0</v>
      </c>
      <c r="P1134" s="9">
        <v>117460.63</v>
      </c>
      <c r="Q1134" s="9">
        <v>88835.78</v>
      </c>
      <c r="R1134" s="9" t="s">
        <v>60</v>
      </c>
      <c r="S1134" s="9" t="s">
        <v>57</v>
      </c>
      <c r="T1134" s="9" t="s">
        <v>61</v>
      </c>
      <c r="V1134" s="9">
        <v>3596168.95</v>
      </c>
      <c r="W1134" s="9">
        <v>0.0</v>
      </c>
      <c r="X1134" s="9">
        <v>0.0</v>
      </c>
    </row>
    <row r="1135" ht="15.75" customHeight="1">
      <c r="A1135" s="9">
        <v>2045322.0</v>
      </c>
      <c r="B1135" s="9">
        <v>1973386.0</v>
      </c>
      <c r="C1135" s="9">
        <v>30747.0</v>
      </c>
      <c r="D1135" s="9" t="s">
        <v>52</v>
      </c>
      <c r="E1135" s="9" t="s">
        <v>53</v>
      </c>
      <c r="F1135" s="9">
        <v>37702.0</v>
      </c>
      <c r="G1135" s="9">
        <v>1973386.0</v>
      </c>
      <c r="H1135" s="9">
        <v>1973386.0</v>
      </c>
      <c r="I1135" s="9">
        <v>0.0</v>
      </c>
      <c r="J1135" s="9">
        <v>0.0</v>
      </c>
      <c r="K1135" s="9">
        <v>0.0</v>
      </c>
      <c r="L1135" s="9" t="s">
        <v>54</v>
      </c>
      <c r="M1135" s="9" t="s">
        <v>55</v>
      </c>
      <c r="N1135" s="9">
        <v>2007554.0</v>
      </c>
      <c r="O1135" s="9">
        <v>2168158.0</v>
      </c>
      <c r="R1135" s="9" t="s">
        <v>60</v>
      </c>
      <c r="S1135" s="9" t="s">
        <v>57</v>
      </c>
      <c r="T1135" s="9" t="s">
        <v>61</v>
      </c>
      <c r="V1135" s="9">
        <v>2225265.13</v>
      </c>
      <c r="W1135" s="9">
        <v>0.0</v>
      </c>
      <c r="X1135" s="9">
        <v>0.0</v>
      </c>
    </row>
    <row r="1136" ht="15.75" customHeight="1">
      <c r="A1136" s="9">
        <v>2046101.0</v>
      </c>
      <c r="B1136" s="9">
        <v>6.465844014E7</v>
      </c>
      <c r="C1136" s="9">
        <v>45837.0</v>
      </c>
      <c r="D1136" s="9" t="s">
        <v>52</v>
      </c>
      <c r="E1136" s="9" t="s">
        <v>103</v>
      </c>
      <c r="F1136" s="9">
        <v>12161.0</v>
      </c>
      <c r="H1136" s="9">
        <v>1.0640225341E8</v>
      </c>
      <c r="I1136" s="9">
        <v>7.3838006E7</v>
      </c>
      <c r="J1136" s="9">
        <v>9406388.0</v>
      </c>
      <c r="K1136" s="9">
        <v>1.0948431E7</v>
      </c>
      <c r="L1136" s="9" t="s">
        <v>59</v>
      </c>
      <c r="M1136" s="9" t="s">
        <v>55</v>
      </c>
      <c r="N1136" s="9">
        <v>0.0</v>
      </c>
      <c r="O1136" s="9">
        <v>7.175872516E7</v>
      </c>
      <c r="R1136" s="9" t="s">
        <v>104</v>
      </c>
      <c r="S1136" s="9" t="s">
        <v>82</v>
      </c>
      <c r="T1136" s="9" t="s">
        <v>83</v>
      </c>
      <c r="U1136" s="9" t="s">
        <v>105</v>
      </c>
    </row>
    <row r="1137" ht="15.75" customHeight="1">
      <c r="A1137" s="9">
        <v>2046487.0</v>
      </c>
      <c r="B1137" s="9">
        <v>1.7676646E7</v>
      </c>
      <c r="C1137" s="9">
        <v>47364.0</v>
      </c>
      <c r="D1137" s="9" t="s">
        <v>52</v>
      </c>
      <c r="E1137" s="9" t="s">
        <v>64</v>
      </c>
      <c r="F1137" s="9">
        <v>54561.0</v>
      </c>
      <c r="G1137" s="9">
        <v>4.534024437E7</v>
      </c>
      <c r="H1137" s="9">
        <v>6.424626444E7</v>
      </c>
      <c r="I1137" s="9">
        <v>5.053545967E7</v>
      </c>
      <c r="J1137" s="9">
        <v>569366.93</v>
      </c>
      <c r="K1137" s="9">
        <v>969490.0</v>
      </c>
      <c r="L1137" s="9" t="s">
        <v>59</v>
      </c>
      <c r="M1137" s="9" t="s">
        <v>74</v>
      </c>
      <c r="N1137" s="9">
        <v>1887664.01</v>
      </c>
      <c r="O1137" s="9">
        <v>1698897.61</v>
      </c>
      <c r="P1137" s="9">
        <v>637198.63</v>
      </c>
      <c r="Q1137" s="9">
        <v>573478.77</v>
      </c>
      <c r="R1137" s="9" t="s">
        <v>66</v>
      </c>
      <c r="S1137" s="9" t="s">
        <v>67</v>
      </c>
      <c r="T1137" s="9" t="s">
        <v>68</v>
      </c>
    </row>
    <row r="1138" ht="15.75" customHeight="1">
      <c r="A1138" s="9">
        <v>2046787.0</v>
      </c>
      <c r="B1138" s="9">
        <v>1139898.0</v>
      </c>
      <c r="C1138" s="9">
        <v>31006.0</v>
      </c>
      <c r="D1138" s="9" t="s">
        <v>52</v>
      </c>
      <c r="E1138" s="9" t="s">
        <v>53</v>
      </c>
      <c r="F1138" s="9">
        <v>45349.0</v>
      </c>
      <c r="G1138" s="9">
        <v>1367505.93</v>
      </c>
      <c r="H1138" s="9">
        <v>1367505.93</v>
      </c>
      <c r="I1138" s="9">
        <v>1350927.02</v>
      </c>
      <c r="J1138" s="9">
        <v>0.0</v>
      </c>
      <c r="K1138" s="9">
        <v>0.0</v>
      </c>
      <c r="L1138" s="9" t="s">
        <v>69</v>
      </c>
      <c r="M1138" s="9" t="s">
        <v>55</v>
      </c>
      <c r="R1138" s="9" t="s">
        <v>60</v>
      </c>
      <c r="S1138" s="9" t="s">
        <v>57</v>
      </c>
      <c r="T1138" s="9" t="s">
        <v>61</v>
      </c>
      <c r="V1138" s="9">
        <v>1350927.0</v>
      </c>
      <c r="W1138" s="9">
        <v>0.0</v>
      </c>
      <c r="X1138" s="9">
        <v>0.0</v>
      </c>
    </row>
    <row r="1139" ht="15.75" customHeight="1">
      <c r="A1139" s="9">
        <v>2047180.0</v>
      </c>
      <c r="B1139" s="9">
        <v>1177660.0</v>
      </c>
      <c r="C1139" s="9">
        <v>30927.0</v>
      </c>
      <c r="D1139" s="9" t="s">
        <v>52</v>
      </c>
      <c r="E1139" s="9" t="s">
        <v>53</v>
      </c>
      <c r="F1139" s="9">
        <v>48497.0</v>
      </c>
      <c r="G1139" s="9">
        <v>1177660.0</v>
      </c>
      <c r="H1139" s="9">
        <v>1299960.46</v>
      </c>
      <c r="I1139" s="9">
        <v>1299960.46</v>
      </c>
      <c r="J1139" s="9">
        <v>0.0</v>
      </c>
      <c r="K1139" s="9">
        <v>0.0</v>
      </c>
      <c r="L1139" s="9" t="s">
        <v>59</v>
      </c>
      <c r="M1139" s="9" t="s">
        <v>55</v>
      </c>
      <c r="N1139" s="9">
        <v>1133333.0</v>
      </c>
      <c r="O1139" s="9">
        <v>1245000.0</v>
      </c>
      <c r="P1139" s="9">
        <v>13000.0</v>
      </c>
      <c r="Q1139" s="9">
        <v>13000.0</v>
      </c>
      <c r="R1139" s="9" t="s">
        <v>60</v>
      </c>
      <c r="S1139" s="9" t="s">
        <v>57</v>
      </c>
      <c r="T1139" s="9" t="s">
        <v>61</v>
      </c>
      <c r="V1139" s="9">
        <v>1236357.47</v>
      </c>
      <c r="W1139" s="9">
        <v>0.0</v>
      </c>
      <c r="X1139" s="9">
        <v>0.0</v>
      </c>
    </row>
    <row r="1140" ht="15.75" customHeight="1">
      <c r="A1140" s="9">
        <v>2047323.0</v>
      </c>
      <c r="B1140" s="9">
        <v>757407.0</v>
      </c>
      <c r="C1140" s="9">
        <v>30026.0</v>
      </c>
      <c r="D1140" s="9" t="s">
        <v>52</v>
      </c>
      <c r="E1140" s="9" t="s">
        <v>53</v>
      </c>
      <c r="F1140" s="9">
        <v>52675.0</v>
      </c>
      <c r="G1140" s="9">
        <v>793741.68</v>
      </c>
      <c r="H1140" s="9">
        <v>793741.68</v>
      </c>
      <c r="I1140" s="9">
        <v>714367.52</v>
      </c>
      <c r="J1140" s="9">
        <v>0.0</v>
      </c>
      <c r="K1140" s="9">
        <v>0.0</v>
      </c>
      <c r="L1140" s="9" t="s">
        <v>69</v>
      </c>
      <c r="M1140" s="9" t="s">
        <v>55</v>
      </c>
      <c r="N1140" s="9">
        <v>741814.65</v>
      </c>
      <c r="O1140" s="9">
        <v>667633.19</v>
      </c>
      <c r="P1140" s="9">
        <v>51927.03</v>
      </c>
      <c r="Q1140" s="9">
        <v>46734.33</v>
      </c>
      <c r="R1140" s="9" t="s">
        <v>60</v>
      </c>
      <c r="S1140" s="9" t="s">
        <v>57</v>
      </c>
      <c r="T1140" s="9" t="s">
        <v>61</v>
      </c>
      <c r="V1140" s="9">
        <v>714367.52</v>
      </c>
      <c r="W1140" s="9">
        <v>0.0</v>
      </c>
      <c r="X1140" s="9">
        <v>0.0</v>
      </c>
    </row>
    <row r="1141" ht="15.75" customHeight="1">
      <c r="A1141" s="9">
        <v>2047955.0</v>
      </c>
      <c r="B1141" s="9">
        <v>472618.0</v>
      </c>
      <c r="C1141" s="9">
        <v>31226.0</v>
      </c>
      <c r="D1141" s="9" t="s">
        <v>52</v>
      </c>
      <c r="E1141" s="9" t="s">
        <v>53</v>
      </c>
      <c r="F1141" s="9">
        <v>39877.0</v>
      </c>
      <c r="G1141" s="9">
        <v>472618.0</v>
      </c>
      <c r="H1141" s="9">
        <v>472618.0</v>
      </c>
      <c r="I1141" s="9">
        <v>574575.36</v>
      </c>
      <c r="J1141" s="9">
        <v>0.0</v>
      </c>
      <c r="K1141" s="9">
        <v>0.0</v>
      </c>
      <c r="L1141" s="9" t="s">
        <v>59</v>
      </c>
      <c r="M1141" s="9" t="s">
        <v>55</v>
      </c>
      <c r="R1141" s="9" t="s">
        <v>94</v>
      </c>
      <c r="S1141" s="9" t="s">
        <v>57</v>
      </c>
      <c r="T1141" s="9" t="s">
        <v>95</v>
      </c>
    </row>
    <row r="1142" ht="15.75" customHeight="1">
      <c r="A1142" s="9">
        <v>2050270.0</v>
      </c>
      <c r="B1142" s="9">
        <v>2343238.0</v>
      </c>
      <c r="C1142" s="9">
        <v>31021.0</v>
      </c>
      <c r="D1142" s="9" t="s">
        <v>52</v>
      </c>
      <c r="E1142" s="9" t="s">
        <v>53</v>
      </c>
      <c r="F1142" s="9">
        <v>45352.0</v>
      </c>
      <c r="G1142" s="9">
        <v>2343238.0</v>
      </c>
      <c r="H1142" s="9">
        <v>2778894.83</v>
      </c>
      <c r="I1142" s="9">
        <v>2778894.83</v>
      </c>
      <c r="J1142" s="9">
        <v>0.0</v>
      </c>
      <c r="K1142" s="9">
        <v>0.0</v>
      </c>
      <c r="L1142" s="9" t="s">
        <v>69</v>
      </c>
      <c r="M1142" s="9" t="s">
        <v>55</v>
      </c>
      <c r="R1142" s="9" t="s">
        <v>60</v>
      </c>
      <c r="S1142" s="9" t="s">
        <v>57</v>
      </c>
      <c r="T1142" s="9" t="s">
        <v>61</v>
      </c>
      <c r="V1142" s="9">
        <v>1776727.84</v>
      </c>
      <c r="W1142" s="9">
        <v>0.0</v>
      </c>
      <c r="X1142" s="9">
        <v>0.0</v>
      </c>
    </row>
    <row r="1143" ht="15.75" customHeight="1">
      <c r="A1143" s="9">
        <v>2050281.0</v>
      </c>
      <c r="B1143" s="9">
        <v>391072.0</v>
      </c>
      <c r="C1143" s="9">
        <v>30483.0</v>
      </c>
      <c r="D1143" s="9" t="s">
        <v>52</v>
      </c>
      <c r="E1143" s="9" t="s">
        <v>53</v>
      </c>
      <c r="F1143" s="9">
        <v>52149.0</v>
      </c>
      <c r="G1143" s="9">
        <v>391072.0</v>
      </c>
      <c r="H1143" s="9">
        <v>391072.0</v>
      </c>
      <c r="I1143" s="9">
        <v>406812.22</v>
      </c>
      <c r="J1143" s="9">
        <v>0.0</v>
      </c>
      <c r="K1143" s="9">
        <v>0.0</v>
      </c>
      <c r="L1143" s="9" t="s">
        <v>59</v>
      </c>
      <c r="M1143" s="9" t="s">
        <v>55</v>
      </c>
      <c r="N1143" s="9">
        <v>372449.06</v>
      </c>
      <c r="O1143" s="9">
        <v>372449.06</v>
      </c>
      <c r="P1143" s="9">
        <v>26049.85</v>
      </c>
      <c r="Q1143" s="9">
        <v>27352.34</v>
      </c>
      <c r="R1143" s="9" t="s">
        <v>56</v>
      </c>
      <c r="S1143" s="9" t="s">
        <v>57</v>
      </c>
      <c r="T1143" s="9" t="s">
        <v>58</v>
      </c>
      <c r="V1143" s="9">
        <v>372449.06</v>
      </c>
      <c r="W1143" s="9">
        <v>0.0</v>
      </c>
      <c r="X1143" s="9">
        <v>0.0</v>
      </c>
    </row>
    <row r="1144" ht="15.75" customHeight="1">
      <c r="A1144" s="9">
        <v>2050306.0</v>
      </c>
      <c r="B1144" s="9">
        <v>1207000.0</v>
      </c>
      <c r="C1144" s="9">
        <v>30820.0</v>
      </c>
      <c r="D1144" s="9" t="s">
        <v>52</v>
      </c>
      <c r="E1144" s="9" t="s">
        <v>53</v>
      </c>
      <c r="F1144" s="9">
        <v>52099.0</v>
      </c>
      <c r="G1144" s="9">
        <v>1207000.0</v>
      </c>
      <c r="H1144" s="9">
        <v>1207000.0</v>
      </c>
      <c r="I1144" s="9">
        <v>46187.26</v>
      </c>
      <c r="J1144" s="9">
        <v>0.0</v>
      </c>
      <c r="K1144" s="9">
        <v>0.0</v>
      </c>
      <c r="L1144" s="9" t="s">
        <v>59</v>
      </c>
      <c r="M1144" s="9" t="s">
        <v>55</v>
      </c>
      <c r="N1144" s="9">
        <v>1207000.0</v>
      </c>
      <c r="O1144" s="9">
        <v>1207000.0</v>
      </c>
      <c r="R1144" s="9" t="s">
        <v>75</v>
      </c>
      <c r="S1144" s="9" t="s">
        <v>57</v>
      </c>
      <c r="T1144" s="9" t="s">
        <v>76</v>
      </c>
    </row>
    <row r="1145" ht="15.75" customHeight="1">
      <c r="A1145" s="9">
        <v>2148920.0</v>
      </c>
      <c r="B1145" s="9">
        <v>4022850.0</v>
      </c>
      <c r="C1145" s="9">
        <v>29978.0</v>
      </c>
      <c r="D1145" s="9" t="s">
        <v>52</v>
      </c>
      <c r="E1145" s="9" t="s">
        <v>53</v>
      </c>
      <c r="F1145" s="9">
        <v>182515.0</v>
      </c>
      <c r="G1145" s="9">
        <v>4067985.98</v>
      </c>
      <c r="H1145" s="9">
        <v>4067985.98</v>
      </c>
      <c r="I1145" s="9">
        <v>3988219.86</v>
      </c>
      <c r="J1145" s="9">
        <v>0.0</v>
      </c>
      <c r="K1145" s="9">
        <v>0.0</v>
      </c>
      <c r="L1145" s="9" t="s">
        <v>59</v>
      </c>
      <c r="M1145" s="9" t="s">
        <v>55</v>
      </c>
      <c r="N1145" s="9">
        <v>3828692.69</v>
      </c>
      <c r="O1145" s="9">
        <v>3828692.69</v>
      </c>
      <c r="P1145" s="9">
        <v>3828692.69</v>
      </c>
      <c r="Q1145" s="9">
        <v>159528.86</v>
      </c>
      <c r="R1145" s="9" t="s">
        <v>60</v>
      </c>
      <c r="S1145" s="9" t="s">
        <v>57</v>
      </c>
      <c r="T1145" s="9" t="s">
        <v>61</v>
      </c>
      <c r="V1145" s="9">
        <v>3828692.71</v>
      </c>
      <c r="W1145" s="9">
        <v>159528.99</v>
      </c>
      <c r="X1145" s="9">
        <v>0.0</v>
      </c>
    </row>
    <row r="1146" ht="15.75" customHeight="1">
      <c r="A1146" s="9">
        <v>2148935.0</v>
      </c>
      <c r="B1146" s="9">
        <v>3452223.0</v>
      </c>
      <c r="C1146" s="9">
        <v>30797.0</v>
      </c>
      <c r="D1146" s="9" t="s">
        <v>52</v>
      </c>
      <c r="E1146" s="9" t="s">
        <v>53</v>
      </c>
      <c r="F1146" s="9">
        <v>111862.0</v>
      </c>
      <c r="G1146" s="9">
        <v>4487879.9</v>
      </c>
      <c r="H1146" s="9">
        <v>4487879.9</v>
      </c>
      <c r="I1146" s="9">
        <v>5165342.26</v>
      </c>
      <c r="J1146" s="9">
        <v>0.0</v>
      </c>
      <c r="K1146" s="9">
        <v>0.0</v>
      </c>
      <c r="L1146" s="9" t="s">
        <v>59</v>
      </c>
      <c r="M1146" s="9" t="s">
        <v>55</v>
      </c>
      <c r="N1146" s="9">
        <v>4260375.86</v>
      </c>
      <c r="O1146" s="9">
        <v>4160375.86</v>
      </c>
      <c r="P1146" s="9">
        <v>124455.97</v>
      </c>
      <c r="Q1146" s="9">
        <v>120000.0</v>
      </c>
      <c r="R1146" s="9" t="s">
        <v>60</v>
      </c>
      <c r="S1146" s="9" t="s">
        <v>57</v>
      </c>
      <c r="T1146" s="9" t="s">
        <v>61</v>
      </c>
      <c r="V1146" s="9">
        <v>4782784.29</v>
      </c>
      <c r="W1146" s="9">
        <v>120000.0</v>
      </c>
      <c r="X1146" s="9">
        <v>0.0</v>
      </c>
    </row>
    <row r="1147" ht="15.75" customHeight="1">
      <c r="A1147" s="9">
        <v>2149371.0</v>
      </c>
      <c r="B1147" s="9">
        <v>1930611.0</v>
      </c>
      <c r="C1147" s="9">
        <v>29852.0</v>
      </c>
      <c r="D1147" s="9" t="s">
        <v>52</v>
      </c>
      <c r="E1147" s="9" t="s">
        <v>53</v>
      </c>
      <c r="F1147" s="9">
        <v>28626.0</v>
      </c>
      <c r="G1147" s="9">
        <v>1930611.0</v>
      </c>
      <c r="H1147" s="9">
        <v>1930611.0</v>
      </c>
      <c r="I1147" s="9">
        <v>0.0</v>
      </c>
      <c r="J1147" s="9">
        <v>0.0</v>
      </c>
      <c r="K1147" s="9">
        <v>0.0</v>
      </c>
      <c r="L1147" s="9" t="s">
        <v>69</v>
      </c>
      <c r="M1147" s="9" t="s">
        <v>55</v>
      </c>
      <c r="N1147" s="9">
        <v>951640.4</v>
      </c>
      <c r="O1147" s="9">
        <v>850000.0</v>
      </c>
      <c r="P1147" s="9">
        <v>37716.86</v>
      </c>
      <c r="Q1147" s="9">
        <v>34864.32</v>
      </c>
      <c r="R1147" s="9" t="s">
        <v>60</v>
      </c>
      <c r="S1147" s="9" t="s">
        <v>57</v>
      </c>
      <c r="T1147" s="9" t="s">
        <v>61</v>
      </c>
      <c r="V1147" s="9">
        <v>871395.03</v>
      </c>
      <c r="W1147" s="9">
        <v>397545.32</v>
      </c>
      <c r="X1147" s="9">
        <v>0.0</v>
      </c>
    </row>
    <row r="1148" ht="15.75" customHeight="1">
      <c r="A1148" s="9">
        <v>2151160.0</v>
      </c>
      <c r="B1148" s="9">
        <v>3083270.0</v>
      </c>
      <c r="C1148" s="9">
        <v>47160.0</v>
      </c>
      <c r="D1148" s="9" t="s">
        <v>52</v>
      </c>
      <c r="E1148" s="9" t="s">
        <v>53</v>
      </c>
      <c r="F1148" s="9">
        <v>200195.0</v>
      </c>
      <c r="G1148" s="9">
        <v>3331601.18</v>
      </c>
      <c r="H1148" s="9">
        <v>3528837.52</v>
      </c>
      <c r="I1148" s="9">
        <v>3402270.37</v>
      </c>
      <c r="J1148" s="9">
        <v>102491.0</v>
      </c>
      <c r="K1148" s="9">
        <v>117433.0</v>
      </c>
      <c r="L1148" s="9" t="s">
        <v>59</v>
      </c>
      <c r="M1148" s="9" t="s">
        <v>55</v>
      </c>
      <c r="R1148" s="9" t="s">
        <v>100</v>
      </c>
      <c r="S1148" s="9" t="s">
        <v>101</v>
      </c>
      <c r="T1148" s="9" t="s">
        <v>102</v>
      </c>
    </row>
    <row r="1149" ht="15.75" customHeight="1">
      <c r="A1149" s="9">
        <v>2152549.0</v>
      </c>
      <c r="B1149" s="9">
        <v>1889540.0</v>
      </c>
      <c r="C1149" s="9">
        <v>41115.0</v>
      </c>
      <c r="D1149" s="9" t="s">
        <v>52</v>
      </c>
      <c r="E1149" s="9" t="s">
        <v>53</v>
      </c>
      <c r="F1149" s="9">
        <v>195590.0</v>
      </c>
      <c r="G1149" s="9">
        <v>3886189.09</v>
      </c>
      <c r="H1149" s="9">
        <v>3427566.76</v>
      </c>
      <c r="I1149" s="9">
        <v>3217499.67</v>
      </c>
      <c r="J1149" s="9">
        <v>0.0</v>
      </c>
      <c r="K1149" s="9">
        <v>0.0</v>
      </c>
      <c r="L1149" s="9" t="s">
        <v>69</v>
      </c>
      <c r="M1149" s="9" t="s">
        <v>55</v>
      </c>
      <c r="N1149" s="9">
        <v>3133368.7</v>
      </c>
      <c r="O1149" s="9">
        <v>3133368.7</v>
      </c>
      <c r="R1149" s="9" t="s">
        <v>72</v>
      </c>
      <c r="S1149" s="9" t="s">
        <v>57</v>
      </c>
      <c r="T1149" s="9" t="s">
        <v>73</v>
      </c>
      <c r="V1149" s="9">
        <v>3189615.56</v>
      </c>
      <c r="W1149" s="9">
        <v>0.0</v>
      </c>
      <c r="X1149" s="9">
        <v>0.0</v>
      </c>
    </row>
    <row r="1150" ht="15.75" customHeight="1">
      <c r="A1150" s="9">
        <v>2153932.0</v>
      </c>
      <c r="B1150" s="9">
        <v>1567582.0</v>
      </c>
      <c r="C1150" s="9">
        <v>31553.0</v>
      </c>
      <c r="D1150" s="9" t="s">
        <v>52</v>
      </c>
      <c r="E1150" s="9" t="s">
        <v>53</v>
      </c>
      <c r="F1150" s="9">
        <v>133021.0</v>
      </c>
      <c r="G1150" s="9">
        <v>2059469.66</v>
      </c>
      <c r="H1150" s="9">
        <v>2059469.66</v>
      </c>
      <c r="I1150" s="9">
        <v>1527345.82</v>
      </c>
      <c r="J1150" s="9">
        <v>0.0</v>
      </c>
      <c r="K1150" s="9">
        <v>0.0</v>
      </c>
      <c r="L1150" s="9" t="s">
        <v>59</v>
      </c>
      <c r="M1150" s="9" t="s">
        <v>55</v>
      </c>
      <c r="R1150" s="9" t="s">
        <v>56</v>
      </c>
      <c r="S1150" s="9" t="s">
        <v>57</v>
      </c>
      <c r="T1150" s="9" t="s">
        <v>58</v>
      </c>
      <c r="V1150" s="9">
        <v>1735708.62</v>
      </c>
      <c r="W1150" s="9">
        <v>0.0</v>
      </c>
      <c r="X1150" s="9">
        <v>0.0</v>
      </c>
    </row>
    <row r="1151" ht="15.75" customHeight="1">
      <c r="A1151" s="9">
        <v>2155170.0</v>
      </c>
      <c r="B1151" s="9">
        <v>2069909.0</v>
      </c>
      <c r="C1151" s="9">
        <v>32119.0</v>
      </c>
      <c r="D1151" s="9" t="s">
        <v>52</v>
      </c>
      <c r="E1151" s="9" t="s">
        <v>53</v>
      </c>
      <c r="F1151" s="9">
        <v>201631.0</v>
      </c>
      <c r="G1151" s="9">
        <v>2839538.38</v>
      </c>
      <c r="H1151" s="9">
        <v>2839538.38</v>
      </c>
      <c r="I1151" s="9">
        <v>2669219.18</v>
      </c>
      <c r="J1151" s="9">
        <v>0.0</v>
      </c>
      <c r="K1151" s="9">
        <v>0.0</v>
      </c>
      <c r="L1151" s="9" t="s">
        <v>69</v>
      </c>
      <c r="M1151" s="9" t="s">
        <v>55</v>
      </c>
      <c r="N1151" s="9">
        <v>2430190.29</v>
      </c>
      <c r="O1151" s="9">
        <v>2430190.29</v>
      </c>
      <c r="P1151" s="9">
        <v>72902.86</v>
      </c>
      <c r="Q1151" s="9">
        <v>0.0</v>
      </c>
      <c r="R1151" s="9" t="s">
        <v>56</v>
      </c>
      <c r="S1151" s="9" t="s">
        <v>57</v>
      </c>
      <c r="T1151" s="9" t="s">
        <v>58</v>
      </c>
      <c r="V1151" s="9">
        <v>2669219.18</v>
      </c>
      <c r="W1151" s="9">
        <v>0.0</v>
      </c>
      <c r="X1151" s="9">
        <v>0.0</v>
      </c>
    </row>
    <row r="1152" ht="15.75" customHeight="1">
      <c r="A1152" s="9">
        <v>2156740.0</v>
      </c>
      <c r="B1152" s="9">
        <v>4341990.0</v>
      </c>
      <c r="C1152" s="9">
        <v>30032.0</v>
      </c>
      <c r="D1152" s="9" t="s">
        <v>52</v>
      </c>
      <c r="E1152" s="9" t="s">
        <v>53</v>
      </c>
      <c r="F1152" s="9">
        <v>192583.0</v>
      </c>
      <c r="G1152" s="9">
        <v>4354078.08</v>
      </c>
      <c r="H1152" s="9">
        <v>4354078.08</v>
      </c>
      <c r="I1152" s="9">
        <v>4309412.0</v>
      </c>
      <c r="J1152" s="9">
        <v>0.0</v>
      </c>
      <c r="K1152" s="9">
        <v>0.0</v>
      </c>
      <c r="L1152" s="9" t="s">
        <v>69</v>
      </c>
      <c r="M1152" s="9" t="s">
        <v>55</v>
      </c>
      <c r="N1152" s="9">
        <v>4098401.08</v>
      </c>
      <c r="O1152" s="9">
        <v>4098401.08</v>
      </c>
      <c r="P1152" s="9">
        <v>206877.0</v>
      </c>
      <c r="Q1152" s="9">
        <v>0.0</v>
      </c>
      <c r="R1152" s="9" t="s">
        <v>60</v>
      </c>
      <c r="S1152" s="9" t="s">
        <v>57</v>
      </c>
      <c r="T1152" s="9" t="s">
        <v>61</v>
      </c>
      <c r="V1152" s="9">
        <v>4094012.0</v>
      </c>
      <c r="W1152" s="9">
        <v>185400.0</v>
      </c>
      <c r="X1152" s="9">
        <v>0.0</v>
      </c>
    </row>
    <row r="1153" ht="15.75" customHeight="1">
      <c r="A1153" s="9">
        <v>2156742.0</v>
      </c>
      <c r="B1153" s="9">
        <v>6052511.0</v>
      </c>
      <c r="C1153" s="9">
        <v>29897.0</v>
      </c>
      <c r="D1153" s="9" t="s">
        <v>52</v>
      </c>
      <c r="E1153" s="9" t="s">
        <v>53</v>
      </c>
      <c r="F1153" s="9">
        <v>188368.0</v>
      </c>
      <c r="G1153" s="9">
        <v>7358705.0</v>
      </c>
      <c r="H1153" s="9">
        <v>7358705.0</v>
      </c>
      <c r="I1153" s="9">
        <v>7358705.0</v>
      </c>
      <c r="J1153" s="9">
        <v>0.0</v>
      </c>
      <c r="K1153" s="9">
        <v>0.0</v>
      </c>
      <c r="L1153" s="9" t="s">
        <v>59</v>
      </c>
      <c r="M1153" s="9" t="s">
        <v>55</v>
      </c>
      <c r="N1153" s="9">
        <v>6960856.82</v>
      </c>
      <c r="O1153" s="9">
        <v>6960856.82</v>
      </c>
      <c r="R1153" s="9" t="s">
        <v>60</v>
      </c>
      <c r="S1153" s="9" t="s">
        <v>57</v>
      </c>
      <c r="T1153" s="9" t="s">
        <v>61</v>
      </c>
      <c r="V1153" s="9">
        <v>7358705.98</v>
      </c>
      <c r="W1153" s="9">
        <v>0.0</v>
      </c>
      <c r="X1153" s="9">
        <v>0.0</v>
      </c>
    </row>
    <row r="1154" ht="15.75" customHeight="1">
      <c r="A1154" s="9">
        <v>2164060.0</v>
      </c>
      <c r="B1154" s="9">
        <v>4093146.0</v>
      </c>
      <c r="C1154" s="9">
        <v>27021.0</v>
      </c>
      <c r="D1154" s="9" t="s">
        <v>52</v>
      </c>
      <c r="E1154" s="9" t="s">
        <v>53</v>
      </c>
      <c r="F1154" s="9">
        <v>225831.0</v>
      </c>
      <c r="G1154" s="9">
        <v>4820042.02</v>
      </c>
      <c r="H1154" s="9">
        <v>4820042.02</v>
      </c>
      <c r="I1154" s="9">
        <v>4820042.02</v>
      </c>
      <c r="J1154" s="9">
        <v>0.0</v>
      </c>
      <c r="K1154" s="9">
        <v>0.0</v>
      </c>
      <c r="L1154" s="9" t="s">
        <v>59</v>
      </c>
      <c r="M1154" s="9" t="s">
        <v>55</v>
      </c>
      <c r="N1154" s="9">
        <v>4378540.39</v>
      </c>
      <c r="O1154" s="9">
        <v>4378540.38</v>
      </c>
      <c r="P1154" s="9">
        <v>72000.0</v>
      </c>
      <c r="Q1154" s="9">
        <v>72000.0</v>
      </c>
      <c r="R1154" s="9" t="s">
        <v>60</v>
      </c>
      <c r="S1154" s="9" t="s">
        <v>57</v>
      </c>
      <c r="T1154" s="9" t="s">
        <v>61</v>
      </c>
      <c r="V1154" s="9">
        <v>4578039.94</v>
      </c>
      <c r="W1154" s="9">
        <v>72000.0</v>
      </c>
      <c r="X1154" s="9">
        <v>0.0</v>
      </c>
    </row>
    <row r="1155" ht="15.75" customHeight="1">
      <c r="A1155" s="9">
        <v>2167372.0</v>
      </c>
      <c r="B1155" s="9">
        <v>9939947.0</v>
      </c>
      <c r="C1155" s="9">
        <v>26673.0</v>
      </c>
      <c r="D1155" s="9" t="s">
        <v>52</v>
      </c>
      <c r="E1155" s="9" t="s">
        <v>53</v>
      </c>
      <c r="F1155" s="9">
        <v>234097.0</v>
      </c>
      <c r="G1155" s="9">
        <v>1.1292756E7</v>
      </c>
      <c r="H1155" s="9">
        <v>1.1292756E7</v>
      </c>
      <c r="I1155" s="9">
        <v>1370726.0</v>
      </c>
      <c r="J1155" s="9">
        <v>0.0</v>
      </c>
      <c r="K1155" s="9">
        <v>0.0</v>
      </c>
      <c r="L1155" s="9" t="s">
        <v>54</v>
      </c>
      <c r="M1155" s="9" t="s">
        <v>55</v>
      </c>
      <c r="N1155" s="9">
        <v>9230942.6</v>
      </c>
      <c r="O1155" s="9">
        <v>1.015403686E7</v>
      </c>
      <c r="P1155" s="9">
        <v>235999.97</v>
      </c>
      <c r="Q1155" s="9">
        <v>235999.97</v>
      </c>
      <c r="R1155" s="9" t="s">
        <v>56</v>
      </c>
      <c r="S1155" s="9" t="s">
        <v>57</v>
      </c>
      <c r="T1155" s="9" t="s">
        <v>58</v>
      </c>
      <c r="V1155" s="9">
        <v>1.056959838E7</v>
      </c>
      <c r="W1155" s="9">
        <v>235999.97</v>
      </c>
      <c r="X1155" s="9">
        <v>0.0</v>
      </c>
    </row>
    <row r="1156" ht="15.75" customHeight="1">
      <c r="A1156" s="9">
        <v>2167587.0</v>
      </c>
      <c r="B1156" s="9">
        <v>6592657.0</v>
      </c>
      <c r="C1156" s="9">
        <v>32016.0</v>
      </c>
      <c r="D1156" s="9" t="s">
        <v>52</v>
      </c>
      <c r="E1156" s="9" t="s">
        <v>53</v>
      </c>
      <c r="F1156" s="9">
        <v>233365.0</v>
      </c>
      <c r="G1156" s="9">
        <v>8679300.32</v>
      </c>
      <c r="H1156" s="9">
        <v>9046071.96</v>
      </c>
      <c r="I1156" s="9">
        <v>8995591.48</v>
      </c>
      <c r="J1156" s="9">
        <v>0.0</v>
      </c>
      <c r="K1156" s="9">
        <v>0.0</v>
      </c>
      <c r="L1156" s="9" t="s">
        <v>59</v>
      </c>
      <c r="M1156" s="9" t="s">
        <v>55</v>
      </c>
      <c r="R1156" s="9" t="s">
        <v>56</v>
      </c>
      <c r="S1156" s="9" t="s">
        <v>57</v>
      </c>
      <c r="T1156" s="9" t="s">
        <v>58</v>
      </c>
    </row>
    <row r="1157" ht="15.75" customHeight="1">
      <c r="A1157" s="9">
        <v>2167755.0</v>
      </c>
      <c r="B1157" s="9">
        <v>2.3856148E7</v>
      </c>
      <c r="C1157" s="9">
        <v>40289.0</v>
      </c>
      <c r="D1157" s="9" t="s">
        <v>52</v>
      </c>
      <c r="E1157" s="9" t="s">
        <v>53</v>
      </c>
      <c r="F1157" s="9">
        <v>213764.0</v>
      </c>
      <c r="G1157" s="9">
        <v>4.267204864E7</v>
      </c>
      <c r="H1157" s="9">
        <v>9.832338373E7</v>
      </c>
      <c r="I1157" s="9">
        <v>7.483391694E7</v>
      </c>
      <c r="J1157" s="9">
        <v>1.56825375E7</v>
      </c>
      <c r="K1157" s="9">
        <v>2.0334425E7</v>
      </c>
      <c r="L1157" s="9" t="s">
        <v>59</v>
      </c>
      <c r="M1157" s="9" t="s">
        <v>55</v>
      </c>
      <c r="N1157" s="9">
        <v>3.98690359E7</v>
      </c>
      <c r="O1157" s="9">
        <v>3.98690359E7</v>
      </c>
      <c r="P1157" s="9">
        <v>2053656.62</v>
      </c>
      <c r="Q1157" s="9">
        <v>1740386.96</v>
      </c>
      <c r="R1157" s="9" t="s">
        <v>104</v>
      </c>
      <c r="S1157" s="9" t="s">
        <v>82</v>
      </c>
      <c r="T1157" s="9" t="s">
        <v>83</v>
      </c>
      <c r="U1157" s="9" t="s">
        <v>105</v>
      </c>
    </row>
    <row r="1158" ht="15.75" customHeight="1">
      <c r="A1158" s="9">
        <v>2176496.0</v>
      </c>
      <c r="B1158" s="9">
        <v>1.7614752E7</v>
      </c>
      <c r="C1158" s="9">
        <v>37499.0</v>
      </c>
      <c r="D1158" s="9" t="s">
        <v>52</v>
      </c>
      <c r="E1158" s="9" t="s">
        <v>53</v>
      </c>
      <c r="F1158" s="9">
        <v>146601.0</v>
      </c>
      <c r="G1158" s="9">
        <v>1.92865602E7</v>
      </c>
      <c r="H1158" s="9">
        <v>1.92865602E7</v>
      </c>
      <c r="I1158" s="9">
        <v>1.866122031E7</v>
      </c>
      <c r="J1158" s="9">
        <v>0.0</v>
      </c>
      <c r="K1158" s="9">
        <v>0.0</v>
      </c>
      <c r="L1158" s="9" t="s">
        <v>59</v>
      </c>
      <c r="M1158" s="9" t="s">
        <v>55</v>
      </c>
      <c r="N1158" s="9">
        <v>1.84359972E7</v>
      </c>
      <c r="O1158" s="9">
        <v>1.84359972E7</v>
      </c>
      <c r="R1158" s="9" t="s">
        <v>72</v>
      </c>
      <c r="S1158" s="9" t="s">
        <v>57</v>
      </c>
      <c r="T1158" s="9" t="s">
        <v>73</v>
      </c>
      <c r="V1158" s="9">
        <v>1.914361156E7</v>
      </c>
      <c r="W1158" s="9">
        <v>186403.5</v>
      </c>
      <c r="X1158" s="9">
        <v>0.0</v>
      </c>
    </row>
    <row r="1159" ht="15.75" customHeight="1">
      <c r="A1159" s="9">
        <v>2177032.0</v>
      </c>
      <c r="B1159" s="9">
        <v>9977012.0</v>
      </c>
      <c r="C1159" s="9">
        <v>39816.0</v>
      </c>
      <c r="D1159" s="9" t="s">
        <v>52</v>
      </c>
      <c r="E1159" s="9" t="s">
        <v>53</v>
      </c>
      <c r="F1159" s="9">
        <v>222629.0</v>
      </c>
      <c r="G1159" s="9">
        <v>1.316549981E7</v>
      </c>
      <c r="H1159" s="9">
        <v>1.335850008E7</v>
      </c>
      <c r="I1159" s="9">
        <v>1.291266708E7</v>
      </c>
      <c r="J1159" s="9">
        <v>20000.0</v>
      </c>
      <c r="K1159" s="9">
        <v>136000.0</v>
      </c>
      <c r="L1159" s="9" t="s">
        <v>59</v>
      </c>
      <c r="M1159" s="9" t="s">
        <v>55</v>
      </c>
      <c r="R1159" s="9" t="s">
        <v>106</v>
      </c>
      <c r="S1159" s="9" t="s">
        <v>82</v>
      </c>
      <c r="T1159" s="9" t="s">
        <v>107</v>
      </c>
      <c r="U1159" s="9" t="s">
        <v>108</v>
      </c>
    </row>
    <row r="1160" ht="15.75" customHeight="1">
      <c r="A1160" s="9">
        <v>2181444.0</v>
      </c>
      <c r="B1160" s="9">
        <v>2543646.0</v>
      </c>
      <c r="C1160" s="9">
        <v>26986.0</v>
      </c>
      <c r="D1160" s="9" t="s">
        <v>52</v>
      </c>
      <c r="E1160" s="9" t="s">
        <v>53</v>
      </c>
      <c r="F1160" s="9">
        <v>265168.0</v>
      </c>
      <c r="G1160" s="9">
        <v>120000.0</v>
      </c>
      <c r="H1160" s="9">
        <v>120000.0</v>
      </c>
      <c r="I1160" s="9">
        <v>2391262.65</v>
      </c>
      <c r="J1160" s="9">
        <v>0.0</v>
      </c>
      <c r="K1160" s="9">
        <v>0.0</v>
      </c>
      <c r="L1160" s="9" t="s">
        <v>59</v>
      </c>
      <c r="M1160" s="9" t="s">
        <v>55</v>
      </c>
      <c r="N1160" s="9">
        <v>2151392.79</v>
      </c>
      <c r="O1160" s="9">
        <v>2151392.79</v>
      </c>
      <c r="P1160" s="9">
        <v>75640.0</v>
      </c>
      <c r="Q1160" s="9">
        <v>75640.0</v>
      </c>
      <c r="R1160" s="9" t="s">
        <v>60</v>
      </c>
      <c r="S1160" s="9" t="s">
        <v>57</v>
      </c>
      <c r="T1160" s="9" t="s">
        <v>61</v>
      </c>
      <c r="V1160" s="9">
        <v>2315622.65</v>
      </c>
      <c r="W1160" s="9">
        <v>75307.17</v>
      </c>
      <c r="X1160" s="9">
        <v>0.0</v>
      </c>
    </row>
    <row r="1161" ht="15.75" customHeight="1">
      <c r="A1161" s="9">
        <v>2186824.0</v>
      </c>
      <c r="B1161" s="9">
        <v>1.1459664E7</v>
      </c>
      <c r="C1161" s="9">
        <v>39336.0</v>
      </c>
      <c r="D1161" s="9" t="s">
        <v>52</v>
      </c>
      <c r="E1161" s="9" t="s">
        <v>53</v>
      </c>
      <c r="F1161" s="9">
        <v>270941.0</v>
      </c>
      <c r="G1161" s="9">
        <v>1.5109438E7</v>
      </c>
      <c r="H1161" s="9">
        <v>1.5109437E7</v>
      </c>
      <c r="I1161" s="9">
        <v>1.462159783E7</v>
      </c>
      <c r="J1161" s="9">
        <v>0.0</v>
      </c>
      <c r="K1161" s="9">
        <v>0.0</v>
      </c>
      <c r="L1161" s="9" t="s">
        <v>59</v>
      </c>
      <c r="M1161" s="9" t="s">
        <v>55</v>
      </c>
      <c r="N1161" s="9">
        <v>1.4258246E7</v>
      </c>
      <c r="O1161" s="9">
        <v>1.418695454E7</v>
      </c>
      <c r="P1161" s="9">
        <v>436872.0</v>
      </c>
      <c r="Q1161" s="9">
        <v>393452.17</v>
      </c>
      <c r="R1161" s="9" t="s">
        <v>72</v>
      </c>
      <c r="S1161" s="9" t="s">
        <v>57</v>
      </c>
      <c r="T1161" s="9" t="s">
        <v>73</v>
      </c>
      <c r="V1161" s="9">
        <v>1.418695454E7</v>
      </c>
      <c r="W1161" s="9">
        <v>347276.5</v>
      </c>
      <c r="X1161" s="9">
        <v>0.0</v>
      </c>
    </row>
    <row r="1162" ht="15.75" customHeight="1">
      <c r="A1162" s="9">
        <v>2189196.0</v>
      </c>
      <c r="B1162" s="9">
        <v>4961107.0</v>
      </c>
      <c r="C1162" s="9">
        <v>46852.0</v>
      </c>
      <c r="D1162" s="9" t="s">
        <v>52</v>
      </c>
      <c r="E1162" s="9" t="s">
        <v>53</v>
      </c>
      <c r="F1162" s="9">
        <v>157249.0</v>
      </c>
      <c r="G1162" s="9">
        <v>1.635585103E7</v>
      </c>
      <c r="H1162" s="9">
        <v>1.501692906E7</v>
      </c>
      <c r="I1162" s="9">
        <v>1.435328858E7</v>
      </c>
      <c r="J1162" s="9">
        <v>0.0</v>
      </c>
      <c r="K1162" s="9">
        <v>0.0</v>
      </c>
      <c r="L1162" s="9" t="s">
        <v>59</v>
      </c>
      <c r="M1162" s="9" t="s">
        <v>55</v>
      </c>
      <c r="R1162" s="9" t="s">
        <v>106</v>
      </c>
      <c r="S1162" s="9" t="s">
        <v>82</v>
      </c>
      <c r="T1162" s="9" t="s">
        <v>107</v>
      </c>
      <c r="U1162" s="9" t="s">
        <v>108</v>
      </c>
    </row>
    <row r="1163" ht="15.75" customHeight="1">
      <c r="A1163" s="9">
        <v>2190051.0</v>
      </c>
      <c r="B1163" s="9">
        <v>3269175.0</v>
      </c>
      <c r="C1163" s="9">
        <v>40293.0</v>
      </c>
      <c r="D1163" s="9" t="s">
        <v>52</v>
      </c>
      <c r="E1163" s="9" t="s">
        <v>53</v>
      </c>
      <c r="F1163" s="9">
        <v>264747.0</v>
      </c>
      <c r="G1163" s="9">
        <v>1159787.37</v>
      </c>
      <c r="H1163" s="9">
        <v>2173985.25</v>
      </c>
      <c r="I1163" s="9">
        <v>1527551.59</v>
      </c>
      <c r="J1163" s="9">
        <v>0.0</v>
      </c>
      <c r="K1163" s="9">
        <v>0.0</v>
      </c>
      <c r="L1163" s="9" t="s">
        <v>59</v>
      </c>
      <c r="M1163" s="9" t="s">
        <v>55</v>
      </c>
      <c r="N1163" s="9">
        <v>1989274.0</v>
      </c>
      <c r="O1163" s="9">
        <v>1854407.9</v>
      </c>
      <c r="P1163" s="9">
        <v>99464.0</v>
      </c>
      <c r="Q1163" s="9">
        <v>75862.38</v>
      </c>
      <c r="R1163" s="9" t="s">
        <v>70</v>
      </c>
      <c r="S1163" s="9" t="s">
        <v>57</v>
      </c>
      <c r="T1163" s="9" t="s">
        <v>71</v>
      </c>
    </row>
    <row r="1164" ht="15.75" customHeight="1">
      <c r="A1164" s="9">
        <v>2190770.0</v>
      </c>
      <c r="B1164" s="9">
        <v>4075076.0</v>
      </c>
      <c r="C1164" s="9">
        <v>33218.0</v>
      </c>
      <c r="D1164" s="9" t="s">
        <v>52</v>
      </c>
      <c r="E1164" s="9" t="s">
        <v>53</v>
      </c>
      <c r="F1164" s="9">
        <v>243629.0</v>
      </c>
      <c r="G1164" s="9">
        <v>4169459.65</v>
      </c>
      <c r="H1164" s="9">
        <v>4449624.39</v>
      </c>
      <c r="I1164" s="9">
        <v>4909504.11</v>
      </c>
      <c r="J1164" s="9">
        <v>0.0</v>
      </c>
      <c r="K1164" s="9">
        <v>0.0</v>
      </c>
      <c r="L1164" s="9" t="s">
        <v>59</v>
      </c>
      <c r="M1164" s="9" t="s">
        <v>55</v>
      </c>
      <c r="N1164" s="9">
        <v>3588500.14</v>
      </c>
      <c r="O1164" s="9">
        <v>3588500.14</v>
      </c>
      <c r="R1164" s="9" t="s">
        <v>77</v>
      </c>
      <c r="S1164" s="9" t="s">
        <v>78</v>
      </c>
      <c r="T1164" s="9" t="s">
        <v>79</v>
      </c>
      <c r="U1164" s="9" t="s">
        <v>80</v>
      </c>
    </row>
    <row r="1165" ht="15.75" customHeight="1">
      <c r="A1165" s="9">
        <v>2190968.0</v>
      </c>
      <c r="B1165" s="9">
        <v>6371731.0</v>
      </c>
      <c r="C1165" s="9">
        <v>39337.0</v>
      </c>
      <c r="D1165" s="9" t="s">
        <v>52</v>
      </c>
      <c r="E1165" s="9" t="s">
        <v>53</v>
      </c>
      <c r="F1165" s="9">
        <v>283565.0</v>
      </c>
      <c r="G1165" s="9">
        <v>8619967.6</v>
      </c>
      <c r="H1165" s="9">
        <v>9939788.31</v>
      </c>
      <c r="I1165" s="9">
        <v>9516676.37</v>
      </c>
      <c r="J1165" s="9">
        <v>0.0</v>
      </c>
      <c r="K1165" s="9">
        <v>0.0</v>
      </c>
      <c r="L1165" s="9" t="s">
        <v>59</v>
      </c>
      <c r="M1165" s="9" t="s">
        <v>55</v>
      </c>
      <c r="N1165" s="9">
        <v>8019016.76</v>
      </c>
      <c r="O1165" s="9">
        <v>8019016.76</v>
      </c>
      <c r="P1165" s="9">
        <v>400951.0</v>
      </c>
      <c r="Q1165" s="9">
        <v>400951.0</v>
      </c>
      <c r="R1165" s="9" t="s">
        <v>60</v>
      </c>
      <c r="S1165" s="9" t="s">
        <v>57</v>
      </c>
      <c r="T1165" s="9" t="s">
        <v>61</v>
      </c>
      <c r="V1165" s="9">
        <v>8932599.36</v>
      </c>
      <c r="W1165" s="9">
        <v>400951.0</v>
      </c>
      <c r="X1165" s="9">
        <v>0.0</v>
      </c>
    </row>
    <row r="1166" ht="15.75" customHeight="1">
      <c r="A1166" s="9">
        <v>2194529.0</v>
      </c>
      <c r="B1166" s="9">
        <v>3720739.0</v>
      </c>
      <c r="C1166" s="9">
        <v>40292.0</v>
      </c>
      <c r="D1166" s="9" t="s">
        <v>52</v>
      </c>
      <c r="E1166" s="9" t="s">
        <v>53</v>
      </c>
      <c r="F1166" s="9">
        <v>260852.0</v>
      </c>
      <c r="G1166" s="9">
        <v>5787433.75</v>
      </c>
      <c r="H1166" s="9">
        <v>5953626.44</v>
      </c>
      <c r="I1166" s="9">
        <v>5953625.9</v>
      </c>
      <c r="J1166" s="9">
        <v>0.0</v>
      </c>
      <c r="K1166" s="9">
        <v>0.0</v>
      </c>
      <c r="L1166" s="9" t="s">
        <v>69</v>
      </c>
      <c r="M1166" s="9" t="s">
        <v>55</v>
      </c>
      <c r="N1166" s="9">
        <v>5388596.21</v>
      </c>
      <c r="O1166" s="9">
        <v>5361653.23</v>
      </c>
      <c r="P1166" s="9">
        <v>267382.1</v>
      </c>
      <c r="Q1166" s="9">
        <v>267382.1</v>
      </c>
      <c r="R1166" s="9" t="s">
        <v>60</v>
      </c>
      <c r="S1166" s="9" t="s">
        <v>57</v>
      </c>
      <c r="T1166" s="9" t="s">
        <v>61</v>
      </c>
      <c r="V1166" s="9">
        <v>5617815.62</v>
      </c>
      <c r="W1166" s="9">
        <v>239752.51</v>
      </c>
      <c r="X1166" s="9">
        <v>0.0</v>
      </c>
    </row>
    <row r="1167" ht="15.75" customHeight="1">
      <c r="A1167" s="9">
        <v>2161848.0</v>
      </c>
      <c r="B1167" s="9">
        <v>3682848.0</v>
      </c>
      <c r="C1167" s="9">
        <v>30019.0</v>
      </c>
      <c r="D1167" s="9" t="s">
        <v>52</v>
      </c>
      <c r="E1167" s="9" t="s">
        <v>53</v>
      </c>
      <c r="F1167" s="9">
        <v>18419.0</v>
      </c>
      <c r="G1167" s="9">
        <v>3682848.0</v>
      </c>
      <c r="H1167" s="9">
        <v>3682848.0</v>
      </c>
      <c r="I1167" s="9">
        <v>348827.1</v>
      </c>
      <c r="J1167" s="9">
        <v>0.0</v>
      </c>
      <c r="K1167" s="9">
        <v>0.0</v>
      </c>
      <c r="L1167" s="9" t="s">
        <v>59</v>
      </c>
      <c r="M1167" s="9" t="s">
        <v>55</v>
      </c>
      <c r="N1167" s="9">
        <v>3682847.0</v>
      </c>
      <c r="O1167" s="9">
        <v>3314562.0</v>
      </c>
      <c r="P1167" s="9">
        <v>3682847.0</v>
      </c>
      <c r="Q1167" s="9">
        <v>49000.0</v>
      </c>
      <c r="R1167" s="9" t="s">
        <v>60</v>
      </c>
      <c r="S1167" s="9" t="s">
        <v>57</v>
      </c>
      <c r="T1167" s="9" t="s">
        <v>61</v>
      </c>
      <c r="V1167" s="9">
        <v>3620320.0</v>
      </c>
      <c r="W1167" s="9">
        <v>23500.0</v>
      </c>
      <c r="X1167" s="9">
        <v>0.0</v>
      </c>
    </row>
    <row r="1168" ht="15.75" customHeight="1">
      <c r="A1168" s="9">
        <v>2162801.0</v>
      </c>
      <c r="B1168" s="9">
        <v>4229291.0</v>
      </c>
      <c r="C1168" s="9">
        <v>32135.0</v>
      </c>
      <c r="D1168" s="9" t="s">
        <v>52</v>
      </c>
      <c r="E1168" s="9" t="s">
        <v>53</v>
      </c>
      <c r="F1168" s="9">
        <v>224934.0</v>
      </c>
      <c r="G1168" s="9">
        <v>3752499.75</v>
      </c>
      <c r="H1168" s="9">
        <v>3752499.75</v>
      </c>
      <c r="I1168" s="9">
        <v>3097245.27</v>
      </c>
      <c r="J1168" s="9">
        <v>0.0</v>
      </c>
      <c r="K1168" s="9">
        <v>0.0</v>
      </c>
      <c r="L1168" s="9" t="s">
        <v>59</v>
      </c>
      <c r="M1168" s="9" t="s">
        <v>55</v>
      </c>
      <c r="N1168" s="9">
        <v>2758684.12</v>
      </c>
      <c r="O1168" s="9">
        <v>2758684.12</v>
      </c>
      <c r="P1168" s="9">
        <v>137934.2</v>
      </c>
      <c r="Q1168" s="9">
        <v>137933.0</v>
      </c>
      <c r="R1168" s="9" t="s">
        <v>60</v>
      </c>
      <c r="S1168" s="9" t="s">
        <v>57</v>
      </c>
      <c r="T1168" s="9" t="s">
        <v>61</v>
      </c>
      <c r="V1168" s="9">
        <v>3243232.55</v>
      </c>
      <c r="W1168" s="9">
        <v>137933.0</v>
      </c>
      <c r="X1168" s="9">
        <v>0.0</v>
      </c>
    </row>
    <row r="1169" ht="15.75" customHeight="1">
      <c r="A1169" s="9">
        <v>2162802.0</v>
      </c>
      <c r="B1169" s="9">
        <v>4101362.0</v>
      </c>
      <c r="C1169" s="9">
        <v>26778.0</v>
      </c>
      <c r="D1169" s="9" t="s">
        <v>52</v>
      </c>
      <c r="E1169" s="9" t="s">
        <v>53</v>
      </c>
      <c r="F1169" s="9">
        <v>219367.0</v>
      </c>
      <c r="G1169" s="9">
        <v>2032055.73</v>
      </c>
      <c r="H1169" s="9">
        <v>2032055.73</v>
      </c>
      <c r="I1169" s="9">
        <v>2004911.5</v>
      </c>
      <c r="J1169" s="9">
        <v>0.0</v>
      </c>
      <c r="K1169" s="9">
        <v>0.0</v>
      </c>
      <c r="L1169" s="9" t="s">
        <v>69</v>
      </c>
      <c r="M1169" s="9" t="s">
        <v>55</v>
      </c>
      <c r="N1169" s="9">
        <v>1619692.77</v>
      </c>
      <c r="O1169" s="9">
        <v>1619692.77</v>
      </c>
      <c r="P1169" s="9">
        <v>61615.0</v>
      </c>
      <c r="Q1169" s="9">
        <v>61615.0</v>
      </c>
      <c r="R1169" s="9" t="s">
        <v>60</v>
      </c>
      <c r="S1169" s="9" t="s">
        <v>57</v>
      </c>
      <c r="T1169" s="9" t="s">
        <v>61</v>
      </c>
      <c r="V1169" s="9">
        <v>1857765.57</v>
      </c>
      <c r="W1169" s="9">
        <v>61615.0</v>
      </c>
      <c r="X1169" s="9">
        <v>0.0</v>
      </c>
    </row>
    <row r="1170" ht="15.75" customHeight="1">
      <c r="A1170" s="9">
        <v>2166795.0</v>
      </c>
      <c r="B1170" s="9">
        <v>5703972.0</v>
      </c>
      <c r="C1170" s="9">
        <v>40453.0</v>
      </c>
      <c r="D1170" s="9" t="s">
        <v>52</v>
      </c>
      <c r="E1170" s="9" t="s">
        <v>53</v>
      </c>
      <c r="F1170" s="9">
        <v>179861.0</v>
      </c>
      <c r="G1170" s="9">
        <v>2.116588653E7</v>
      </c>
      <c r="H1170" s="9">
        <v>2.551778861E7</v>
      </c>
      <c r="I1170" s="9">
        <v>1.86551087E7</v>
      </c>
      <c r="J1170" s="9">
        <v>0.0</v>
      </c>
      <c r="K1170" s="9">
        <v>38500.0</v>
      </c>
      <c r="L1170" s="9" t="s">
        <v>59</v>
      </c>
      <c r="M1170" s="9" t="s">
        <v>62</v>
      </c>
      <c r="N1170" s="9">
        <v>1.284978056E7</v>
      </c>
      <c r="O1170" s="9">
        <v>1.284978056E7</v>
      </c>
      <c r="P1170" s="9">
        <v>399092.68</v>
      </c>
      <c r="Q1170" s="9">
        <v>399092.68</v>
      </c>
      <c r="R1170" s="9" t="s">
        <v>109</v>
      </c>
      <c r="S1170" s="9" t="s">
        <v>78</v>
      </c>
      <c r="T1170" s="9" t="s">
        <v>79</v>
      </c>
      <c r="U1170" s="9" t="s">
        <v>110</v>
      </c>
    </row>
    <row r="1171" ht="15.75" customHeight="1">
      <c r="A1171" s="9">
        <v>2166996.0</v>
      </c>
      <c r="B1171" s="9">
        <v>1.8037503E7</v>
      </c>
      <c r="C1171" s="9">
        <v>40091.0</v>
      </c>
      <c r="D1171" s="9" t="s">
        <v>52</v>
      </c>
      <c r="E1171" s="9" t="s">
        <v>53</v>
      </c>
      <c r="F1171" s="9">
        <v>49905.0</v>
      </c>
      <c r="G1171" s="9">
        <v>3.617621363E7</v>
      </c>
      <c r="H1171" s="9">
        <v>4.00151777E7</v>
      </c>
      <c r="I1171" s="9">
        <v>2.068754961E7</v>
      </c>
      <c r="J1171" s="9">
        <v>175590.0</v>
      </c>
      <c r="K1171" s="9">
        <v>1048315.0</v>
      </c>
      <c r="L1171" s="9" t="s">
        <v>59</v>
      </c>
      <c r="M1171" s="9" t="s">
        <v>55</v>
      </c>
      <c r="N1171" s="9">
        <v>3.48880545E7</v>
      </c>
      <c r="O1171" s="9">
        <v>3.48880545E7</v>
      </c>
      <c r="P1171" s="9">
        <v>755220.38</v>
      </c>
      <c r="Q1171" s="9">
        <v>755220.38</v>
      </c>
      <c r="R1171" s="9" t="s">
        <v>96</v>
      </c>
      <c r="S1171" s="9" t="s">
        <v>78</v>
      </c>
      <c r="T1171" s="9" t="s">
        <v>79</v>
      </c>
      <c r="U1171" s="9" t="s">
        <v>97</v>
      </c>
    </row>
    <row r="1172" ht="15.75" customHeight="1">
      <c r="A1172" s="9">
        <v>2167713.0</v>
      </c>
      <c r="B1172" s="9">
        <v>2612892.0</v>
      </c>
      <c r="C1172" s="9">
        <v>39588.0</v>
      </c>
      <c r="D1172" s="9" t="s">
        <v>52</v>
      </c>
      <c r="E1172" s="9" t="s">
        <v>53</v>
      </c>
      <c r="F1172" s="9">
        <v>249600.0</v>
      </c>
      <c r="G1172" s="9">
        <v>3142499.29</v>
      </c>
      <c r="H1172" s="9">
        <v>3142499.29</v>
      </c>
      <c r="I1172" s="9">
        <v>2976784.43</v>
      </c>
      <c r="J1172" s="9">
        <v>0.0</v>
      </c>
      <c r="K1172" s="9">
        <v>0.0</v>
      </c>
      <c r="L1172" s="9" t="s">
        <v>59</v>
      </c>
      <c r="M1172" s="9" t="s">
        <v>55</v>
      </c>
      <c r="N1172" s="9">
        <v>2914251.22</v>
      </c>
      <c r="O1172" s="9">
        <v>2913210.41</v>
      </c>
      <c r="P1172" s="9">
        <v>66152.8</v>
      </c>
      <c r="Q1172" s="9">
        <v>66000.0</v>
      </c>
      <c r="R1172" s="9" t="s">
        <v>56</v>
      </c>
      <c r="S1172" s="9" t="s">
        <v>57</v>
      </c>
      <c r="T1172" s="9" t="s">
        <v>58</v>
      </c>
    </row>
    <row r="1173" ht="15.75" customHeight="1">
      <c r="A1173" s="9">
        <v>2172712.0</v>
      </c>
      <c r="B1173" s="9">
        <v>726320.0</v>
      </c>
      <c r="C1173" s="9">
        <v>31146.0</v>
      </c>
      <c r="D1173" s="9" t="s">
        <v>52</v>
      </c>
      <c r="E1173" s="9" t="s">
        <v>53</v>
      </c>
      <c r="F1173" s="9">
        <v>36313.0</v>
      </c>
      <c r="G1173" s="9">
        <v>726320.0</v>
      </c>
      <c r="H1173" s="9">
        <v>726320.0</v>
      </c>
      <c r="I1173" s="9">
        <v>0.0</v>
      </c>
      <c r="J1173" s="9">
        <v>0.0</v>
      </c>
      <c r="K1173" s="9">
        <v>0.0</v>
      </c>
      <c r="L1173" s="9" t="s">
        <v>69</v>
      </c>
      <c r="M1173" s="9" t="s">
        <v>55</v>
      </c>
      <c r="R1173" s="9" t="s">
        <v>60</v>
      </c>
      <c r="S1173" s="9" t="s">
        <v>57</v>
      </c>
      <c r="T1173" s="9" t="s">
        <v>61</v>
      </c>
      <c r="V1173" s="9">
        <v>855909.6</v>
      </c>
      <c r="W1173" s="9">
        <v>0.0</v>
      </c>
      <c r="X1173" s="9">
        <v>0.0</v>
      </c>
    </row>
    <row r="1174" ht="15.75" customHeight="1">
      <c r="A1174" s="9">
        <v>2173712.0</v>
      </c>
      <c r="B1174" s="9">
        <v>7554580.0</v>
      </c>
      <c r="C1174" s="9">
        <v>39351.0</v>
      </c>
      <c r="D1174" s="9" t="s">
        <v>52</v>
      </c>
      <c r="E1174" s="9" t="s">
        <v>53</v>
      </c>
      <c r="F1174" s="9">
        <v>247079.0</v>
      </c>
      <c r="G1174" s="9">
        <v>9047357.0</v>
      </c>
      <c r="H1174" s="9">
        <v>9047357.0</v>
      </c>
      <c r="I1174" s="9">
        <v>3612453.14</v>
      </c>
      <c r="J1174" s="9">
        <v>17752.0</v>
      </c>
      <c r="K1174" s="9">
        <v>49990.0</v>
      </c>
      <c r="L1174" s="9" t="s">
        <v>59</v>
      </c>
      <c r="M1174" s="9" t="s">
        <v>55</v>
      </c>
      <c r="N1174" s="9">
        <v>8567464.96</v>
      </c>
      <c r="O1174" s="9">
        <v>8567464.96</v>
      </c>
      <c r="P1174" s="9">
        <v>299892.04</v>
      </c>
      <c r="Q1174" s="9">
        <v>299892.04</v>
      </c>
      <c r="R1174" s="9" t="s">
        <v>96</v>
      </c>
      <c r="S1174" s="9" t="s">
        <v>78</v>
      </c>
      <c r="T1174" s="9" t="s">
        <v>79</v>
      </c>
      <c r="U1174" s="9" t="s">
        <v>97</v>
      </c>
    </row>
    <row r="1175" ht="15.75" customHeight="1">
      <c r="A1175" s="9">
        <v>2178595.0</v>
      </c>
      <c r="B1175" s="9">
        <v>3249518.0</v>
      </c>
      <c r="C1175" s="9">
        <v>40595.0</v>
      </c>
      <c r="D1175" s="9" t="s">
        <v>52</v>
      </c>
      <c r="E1175" s="9" t="s">
        <v>53</v>
      </c>
      <c r="F1175" s="9">
        <v>263817.0</v>
      </c>
      <c r="G1175" s="9">
        <v>5593041.28</v>
      </c>
      <c r="H1175" s="9">
        <v>5622548.09</v>
      </c>
      <c r="I1175" s="9">
        <v>5591436.97</v>
      </c>
      <c r="J1175" s="9">
        <v>0.0</v>
      </c>
      <c r="K1175" s="9">
        <v>0.0</v>
      </c>
      <c r="L1175" s="9" t="s">
        <v>69</v>
      </c>
      <c r="M1175" s="9" t="s">
        <v>55</v>
      </c>
      <c r="N1175" s="9">
        <v>5276236.45</v>
      </c>
      <c r="O1175" s="9">
        <v>5276236.45</v>
      </c>
      <c r="P1175" s="9">
        <v>285692.16</v>
      </c>
      <c r="Q1175" s="9">
        <v>266323.19</v>
      </c>
      <c r="R1175" s="9" t="s">
        <v>72</v>
      </c>
      <c r="S1175" s="9" t="s">
        <v>57</v>
      </c>
      <c r="T1175" s="9" t="s">
        <v>73</v>
      </c>
      <c r="V1175" s="9">
        <v>5258132.91</v>
      </c>
      <c r="W1175" s="9">
        <v>357515.25</v>
      </c>
      <c r="X1175" s="9">
        <v>0.0</v>
      </c>
    </row>
    <row r="1176" ht="15.75" customHeight="1">
      <c r="A1176" s="9">
        <v>2182521.0</v>
      </c>
      <c r="B1176" s="9">
        <v>2308481.0</v>
      </c>
      <c r="C1176" s="9">
        <v>41940.0</v>
      </c>
      <c r="D1176" s="9" t="s">
        <v>52</v>
      </c>
      <c r="E1176" s="9" t="s">
        <v>53</v>
      </c>
      <c r="F1176" s="9">
        <v>264118.0</v>
      </c>
      <c r="G1176" s="9">
        <v>4586524.64</v>
      </c>
      <c r="H1176" s="9">
        <v>4586524.64</v>
      </c>
      <c r="I1176" s="9">
        <v>4262554.61</v>
      </c>
      <c r="J1176" s="9">
        <v>0.0</v>
      </c>
      <c r="K1176" s="9">
        <v>0.0</v>
      </c>
      <c r="L1176" s="9" t="s">
        <v>69</v>
      </c>
      <c r="M1176" s="9" t="s">
        <v>55</v>
      </c>
      <c r="N1176" s="9">
        <v>4339547.28</v>
      </c>
      <c r="O1176" s="9">
        <v>4045240.68</v>
      </c>
      <c r="P1176" s="9">
        <v>216976.72</v>
      </c>
      <c r="Q1176" s="9">
        <v>183879.11</v>
      </c>
      <c r="R1176" s="9" t="s">
        <v>94</v>
      </c>
      <c r="S1176" s="9" t="s">
        <v>57</v>
      </c>
      <c r="T1176" s="9" t="s">
        <v>95</v>
      </c>
    </row>
    <row r="1177" ht="15.75" customHeight="1">
      <c r="A1177" s="9">
        <v>2182572.0</v>
      </c>
      <c r="B1177" s="9">
        <v>3571368.0</v>
      </c>
      <c r="C1177" s="9">
        <v>33158.0</v>
      </c>
      <c r="D1177" s="9" t="s">
        <v>52</v>
      </c>
      <c r="E1177" s="9" t="s">
        <v>53</v>
      </c>
      <c r="F1177" s="9">
        <v>251530.0</v>
      </c>
      <c r="G1177" s="9">
        <v>2662983.25</v>
      </c>
      <c r="H1177" s="9">
        <v>2662983.25</v>
      </c>
      <c r="I1177" s="9">
        <v>2731350.54</v>
      </c>
      <c r="J1177" s="9">
        <v>0.0</v>
      </c>
      <c r="K1177" s="9">
        <v>0.0</v>
      </c>
      <c r="L1177" s="9" t="s">
        <v>59</v>
      </c>
      <c r="M1177" s="9" t="s">
        <v>55</v>
      </c>
      <c r="N1177" s="9">
        <v>2596645.98</v>
      </c>
      <c r="O1177" s="9">
        <v>2420000.0</v>
      </c>
      <c r="R1177" s="9" t="s">
        <v>72</v>
      </c>
      <c r="S1177" s="9" t="s">
        <v>57</v>
      </c>
      <c r="T1177" s="9" t="s">
        <v>73</v>
      </c>
      <c r="V1177" s="9">
        <v>2571043.62</v>
      </c>
      <c r="W1177" s="9">
        <v>0.0</v>
      </c>
      <c r="X1177" s="9">
        <v>0.0</v>
      </c>
    </row>
    <row r="1178" ht="15.75" customHeight="1">
      <c r="A1178" s="9">
        <v>2183240.0</v>
      </c>
      <c r="B1178" s="9">
        <v>8.428484E7</v>
      </c>
      <c r="C1178" s="9">
        <v>39801.0</v>
      </c>
      <c r="D1178" s="9" t="s">
        <v>52</v>
      </c>
      <c r="E1178" s="9" t="s">
        <v>52</v>
      </c>
      <c r="F1178" s="9">
        <v>239255.0</v>
      </c>
      <c r="G1178" s="9">
        <v>1.18260124E8</v>
      </c>
      <c r="H1178" s="9">
        <v>1.18260124E8</v>
      </c>
      <c r="I1178" s="9">
        <v>522334.0</v>
      </c>
      <c r="J1178" s="9">
        <v>0.0</v>
      </c>
      <c r="K1178" s="9">
        <v>0.0</v>
      </c>
      <c r="L1178" s="9" t="s">
        <v>69</v>
      </c>
      <c r="M1178" s="9" t="s">
        <v>65</v>
      </c>
      <c r="R1178" s="9" t="s">
        <v>127</v>
      </c>
      <c r="S1178" s="9" t="s">
        <v>57</v>
      </c>
      <c r="T1178" s="9" t="s">
        <v>128</v>
      </c>
    </row>
    <row r="1179" ht="15.75" customHeight="1">
      <c r="A1179" s="9">
        <v>2188705.0</v>
      </c>
      <c r="B1179" s="9">
        <v>4731116.0</v>
      </c>
      <c r="C1179" s="9">
        <v>39554.0</v>
      </c>
      <c r="D1179" s="9" t="s">
        <v>52</v>
      </c>
      <c r="E1179" s="9" t="s">
        <v>53</v>
      </c>
      <c r="F1179" s="9">
        <v>219172.0</v>
      </c>
      <c r="G1179" s="9">
        <v>5093522.46</v>
      </c>
      <c r="H1179" s="9">
        <v>5093522.46</v>
      </c>
      <c r="I1179" s="9">
        <v>4975331.85</v>
      </c>
      <c r="J1179" s="9">
        <v>0.0</v>
      </c>
      <c r="K1179" s="9">
        <v>0.0</v>
      </c>
      <c r="L1179" s="9" t="s">
        <v>59</v>
      </c>
      <c r="M1179" s="9" t="s">
        <v>55</v>
      </c>
      <c r="N1179" s="9">
        <v>4167884.05</v>
      </c>
      <c r="O1179" s="9">
        <v>4167884.05</v>
      </c>
      <c r="P1179" s="9">
        <v>208383.0</v>
      </c>
      <c r="Q1179" s="9">
        <v>208383.0</v>
      </c>
      <c r="R1179" s="9" t="s">
        <v>60</v>
      </c>
      <c r="S1179" s="9" t="s">
        <v>57</v>
      </c>
      <c r="T1179" s="9" t="s">
        <v>61</v>
      </c>
      <c r="V1179" s="9">
        <v>4053139.38</v>
      </c>
      <c r="W1179" s="9">
        <v>205951.88</v>
      </c>
      <c r="X1179" s="9">
        <v>0.0</v>
      </c>
    </row>
    <row r="1180" ht="15.75" customHeight="1">
      <c r="A1180" s="9">
        <v>2191845.0</v>
      </c>
      <c r="B1180" s="9">
        <v>3.436145E7</v>
      </c>
      <c r="C1180" s="9">
        <v>31592.0</v>
      </c>
      <c r="D1180" s="9" t="s">
        <v>52</v>
      </c>
      <c r="E1180" s="9" t="s">
        <v>53</v>
      </c>
      <c r="F1180" s="9">
        <v>253928.0</v>
      </c>
      <c r="G1180" s="9">
        <v>5.559172851E7</v>
      </c>
      <c r="H1180" s="9">
        <v>5.571765488E7</v>
      </c>
      <c r="I1180" s="9">
        <v>5.564017331E7</v>
      </c>
      <c r="J1180" s="9">
        <v>0.0</v>
      </c>
      <c r="K1180" s="9">
        <v>0.0</v>
      </c>
      <c r="L1180" s="9" t="s">
        <v>69</v>
      </c>
      <c r="M1180" s="9" t="s">
        <v>55</v>
      </c>
      <c r="O1180" s="9">
        <v>3.57153859E7</v>
      </c>
      <c r="P1180" s="9">
        <v>1560762.43</v>
      </c>
      <c r="Q1180" s="9">
        <v>761652.04</v>
      </c>
      <c r="R1180" s="9" t="s">
        <v>72</v>
      </c>
      <c r="S1180" s="9" t="s">
        <v>57</v>
      </c>
      <c r="T1180" s="9" t="s">
        <v>73</v>
      </c>
      <c r="V1180" s="9">
        <v>5.47655662E7</v>
      </c>
      <c r="W1180" s="9">
        <v>0.0</v>
      </c>
      <c r="X1180" s="9">
        <v>0.0</v>
      </c>
    </row>
    <row r="1181" ht="15.75" customHeight="1">
      <c r="A1181" s="9">
        <v>2192164.0</v>
      </c>
      <c r="B1181" s="9">
        <v>8172338.0</v>
      </c>
      <c r="C1181" s="9">
        <v>47332.0</v>
      </c>
      <c r="D1181" s="9" t="s">
        <v>52</v>
      </c>
      <c r="E1181" s="9" t="s">
        <v>53</v>
      </c>
      <c r="F1181" s="9">
        <v>265702.0</v>
      </c>
      <c r="G1181" s="9">
        <v>9344826.9</v>
      </c>
      <c r="H1181" s="9">
        <v>9569335.41</v>
      </c>
      <c r="I1181" s="9">
        <v>8762576.16</v>
      </c>
      <c r="J1181" s="9">
        <v>1802454.67</v>
      </c>
      <c r="K1181" s="9">
        <v>2609439.0</v>
      </c>
      <c r="L1181" s="9" t="s">
        <v>59</v>
      </c>
      <c r="M1181" s="9" t="s">
        <v>55</v>
      </c>
      <c r="N1181" s="9">
        <v>8740291.9</v>
      </c>
      <c r="O1181" s="9">
        <v>8740291.9</v>
      </c>
      <c r="P1181" s="9">
        <v>419809.56</v>
      </c>
      <c r="Q1181" s="9">
        <v>419790.0</v>
      </c>
      <c r="R1181" s="9" t="s">
        <v>106</v>
      </c>
      <c r="S1181" s="9" t="s">
        <v>82</v>
      </c>
      <c r="T1181" s="9" t="s">
        <v>107</v>
      </c>
      <c r="U1181" s="9" t="s">
        <v>108</v>
      </c>
    </row>
    <row r="1182" ht="15.75" customHeight="1">
      <c r="A1182" s="9">
        <v>2193050.0</v>
      </c>
      <c r="B1182" s="9">
        <v>5820794.0</v>
      </c>
      <c r="C1182" s="9">
        <v>37609.0</v>
      </c>
      <c r="D1182" s="9" t="s">
        <v>52</v>
      </c>
      <c r="E1182" s="9" t="s">
        <v>53</v>
      </c>
      <c r="F1182" s="9">
        <v>278058.0</v>
      </c>
      <c r="G1182" s="9">
        <v>1.4708899E7</v>
      </c>
      <c r="H1182" s="9">
        <v>1.610242799E7</v>
      </c>
      <c r="I1182" s="9">
        <v>1.473377126E7</v>
      </c>
      <c r="J1182" s="9">
        <v>0.0</v>
      </c>
      <c r="K1182" s="9">
        <v>0.0</v>
      </c>
      <c r="L1182" s="9" t="s">
        <v>59</v>
      </c>
      <c r="M1182" s="9" t="s">
        <v>55</v>
      </c>
      <c r="N1182" s="9">
        <v>1.423194041E7</v>
      </c>
      <c r="O1182" s="9">
        <v>1.423194041E7</v>
      </c>
      <c r="P1182" s="9">
        <v>426958.21</v>
      </c>
      <c r="Q1182" s="9">
        <v>426958.21</v>
      </c>
      <c r="R1182" s="9" t="s">
        <v>77</v>
      </c>
      <c r="S1182" s="9" t="s">
        <v>78</v>
      </c>
      <c r="T1182" s="9" t="s">
        <v>79</v>
      </c>
      <c r="U1182" s="9" t="s">
        <v>80</v>
      </c>
    </row>
    <row r="1183" ht="15.75" customHeight="1">
      <c r="A1183" s="9">
        <v>2195590.0</v>
      </c>
      <c r="B1183" s="9">
        <v>1.4258279E7</v>
      </c>
      <c r="C1183" s="9">
        <v>31459.0</v>
      </c>
      <c r="D1183" s="9" t="s">
        <v>52</v>
      </c>
      <c r="E1183" s="9" t="s">
        <v>53</v>
      </c>
      <c r="F1183" s="9">
        <v>119009.0</v>
      </c>
      <c r="G1183" s="9">
        <v>1.4258279E7</v>
      </c>
      <c r="H1183" s="9">
        <v>1.4258279E7</v>
      </c>
      <c r="I1183" s="9">
        <v>1.033899521E7</v>
      </c>
      <c r="J1183" s="9">
        <v>0.0</v>
      </c>
      <c r="K1183" s="9">
        <v>0.0</v>
      </c>
      <c r="L1183" s="9" t="s">
        <v>54</v>
      </c>
      <c r="M1183" s="9" t="s">
        <v>55</v>
      </c>
      <c r="R1183" s="9" t="s">
        <v>60</v>
      </c>
      <c r="S1183" s="9" t="s">
        <v>57</v>
      </c>
      <c r="T1183" s="9" t="s">
        <v>61</v>
      </c>
      <c r="V1183" s="9">
        <v>1.250046843E7</v>
      </c>
      <c r="W1183" s="9">
        <v>0.0</v>
      </c>
      <c r="X1183" s="9">
        <v>0.0</v>
      </c>
    </row>
    <row r="1184" ht="15.75" customHeight="1">
      <c r="A1184" s="9">
        <v>2197343.0</v>
      </c>
      <c r="B1184" s="9">
        <v>1310361.0</v>
      </c>
      <c r="C1184" s="9">
        <v>32147.0</v>
      </c>
      <c r="D1184" s="9" t="s">
        <v>52</v>
      </c>
      <c r="E1184" s="9" t="s">
        <v>53</v>
      </c>
      <c r="F1184" s="9">
        <v>245710.0</v>
      </c>
      <c r="G1184" s="9">
        <v>1411634.54</v>
      </c>
      <c r="H1184" s="9">
        <v>1411634.54</v>
      </c>
      <c r="I1184" s="9">
        <v>1350643.0</v>
      </c>
      <c r="J1184" s="9">
        <v>0.0</v>
      </c>
      <c r="K1184" s="9">
        <v>0.0</v>
      </c>
      <c r="L1184" s="9" t="s">
        <v>54</v>
      </c>
      <c r="M1184" s="9" t="s">
        <v>55</v>
      </c>
      <c r="N1184" s="9">
        <v>1325479.86</v>
      </c>
      <c r="O1184" s="9">
        <v>1325479.86</v>
      </c>
      <c r="P1184" s="9">
        <v>0.0</v>
      </c>
      <c r="Q1184" s="9">
        <v>0.0</v>
      </c>
      <c r="R1184" s="9" t="s">
        <v>60</v>
      </c>
      <c r="S1184" s="9" t="s">
        <v>57</v>
      </c>
      <c r="T1184" s="9" t="s">
        <v>61</v>
      </c>
      <c r="V1184" s="9">
        <v>1403366.99</v>
      </c>
      <c r="W1184" s="9">
        <v>0.0</v>
      </c>
      <c r="X1184" s="9">
        <v>0.0</v>
      </c>
    </row>
    <row r="1185" ht="15.75" customHeight="1">
      <c r="A1185" s="9">
        <v>2201842.0</v>
      </c>
      <c r="B1185" s="9">
        <v>6051148.0</v>
      </c>
      <c r="C1185" s="9">
        <v>32146.0</v>
      </c>
      <c r="D1185" s="9" t="s">
        <v>52</v>
      </c>
      <c r="E1185" s="9" t="s">
        <v>53</v>
      </c>
      <c r="F1185" s="9">
        <v>242924.0</v>
      </c>
      <c r="G1185" s="9">
        <v>6480330.16</v>
      </c>
      <c r="H1185" s="9">
        <v>5965035.79</v>
      </c>
      <c r="I1185" s="9">
        <v>5563532.0</v>
      </c>
      <c r="J1185" s="9">
        <v>0.0</v>
      </c>
      <c r="K1185" s="9">
        <v>0.0</v>
      </c>
      <c r="L1185" s="9" t="s">
        <v>69</v>
      </c>
      <c r="M1185" s="9" t="s">
        <v>55</v>
      </c>
      <c r="N1185" s="9">
        <v>6030515.91</v>
      </c>
      <c r="O1185" s="9">
        <v>5427464.32</v>
      </c>
      <c r="P1185" s="9">
        <v>299889.5</v>
      </c>
      <c r="Q1185" s="9">
        <v>0.0</v>
      </c>
      <c r="R1185" s="9" t="s">
        <v>60</v>
      </c>
      <c r="S1185" s="9" t="s">
        <v>57</v>
      </c>
      <c r="T1185" s="9" t="s">
        <v>61</v>
      </c>
      <c r="V1185" s="9">
        <v>5622435.46</v>
      </c>
      <c r="W1185" s="9">
        <v>35150.0</v>
      </c>
      <c r="X1185" s="9">
        <v>0.0</v>
      </c>
    </row>
    <row r="1186" ht="15.75" customHeight="1">
      <c r="A1186" s="9">
        <v>2202592.0</v>
      </c>
      <c r="B1186" s="9">
        <v>2550497.84</v>
      </c>
      <c r="C1186" s="9">
        <v>44002.0</v>
      </c>
      <c r="D1186" s="9" t="s">
        <v>52</v>
      </c>
      <c r="E1186" s="9" t="s">
        <v>53</v>
      </c>
      <c r="F1186" s="9">
        <v>308717.0</v>
      </c>
      <c r="G1186" s="9">
        <v>2550497.84</v>
      </c>
      <c r="H1186" s="9">
        <v>2646967.05</v>
      </c>
      <c r="I1186" s="9">
        <v>2532188.66</v>
      </c>
      <c r="J1186" s="9">
        <v>0.0</v>
      </c>
      <c r="K1186" s="9">
        <v>0.0</v>
      </c>
      <c r="L1186" s="9" t="s">
        <v>59</v>
      </c>
      <c r="M1186" s="9" t="s">
        <v>55</v>
      </c>
      <c r="N1186" s="9">
        <v>2346820.0</v>
      </c>
      <c r="O1186" s="9">
        <v>2112138.0</v>
      </c>
      <c r="P1186" s="9">
        <v>179170.0</v>
      </c>
      <c r="Q1186" s="9">
        <v>161253.0</v>
      </c>
      <c r="R1186" s="9" t="s">
        <v>60</v>
      </c>
      <c r="S1186" s="9" t="s">
        <v>57</v>
      </c>
      <c r="T1186" s="9" t="s">
        <v>61</v>
      </c>
      <c r="V1186" s="9">
        <v>2112138.2</v>
      </c>
      <c r="W1186" s="9">
        <v>179797.21</v>
      </c>
      <c r="X1186" s="9">
        <v>0.0</v>
      </c>
    </row>
    <row r="1187" ht="15.75" customHeight="1">
      <c r="A1187" s="9">
        <v>2212320.0</v>
      </c>
      <c r="B1187" s="9">
        <v>9950087.0</v>
      </c>
      <c r="C1187" s="9">
        <v>26734.0</v>
      </c>
      <c r="D1187" s="9" t="s">
        <v>52</v>
      </c>
      <c r="E1187" s="9" t="s">
        <v>53</v>
      </c>
      <c r="F1187" s="9">
        <v>220695.0</v>
      </c>
      <c r="G1187" s="9">
        <v>9651430.68</v>
      </c>
      <c r="H1187" s="9">
        <v>9562426.0</v>
      </c>
      <c r="I1187" s="9">
        <v>9562425.99</v>
      </c>
      <c r="J1187" s="9">
        <v>0.0</v>
      </c>
      <c r="K1187" s="9">
        <v>0.0</v>
      </c>
      <c r="L1187" s="9" t="s">
        <v>69</v>
      </c>
      <c r="M1187" s="9" t="s">
        <v>55</v>
      </c>
      <c r="N1187" s="9">
        <v>9036144.41</v>
      </c>
      <c r="O1187" s="9">
        <v>9036144.41</v>
      </c>
      <c r="P1187" s="9">
        <v>286333.24</v>
      </c>
      <c r="Q1187" s="9">
        <v>286333.24</v>
      </c>
      <c r="R1187" s="9" t="s">
        <v>60</v>
      </c>
      <c r="S1187" s="9" t="s">
        <v>57</v>
      </c>
      <c r="T1187" s="9" t="s">
        <v>61</v>
      </c>
      <c r="V1187" s="9">
        <v>9036144.25</v>
      </c>
      <c r="W1187" s="9">
        <v>250921.24</v>
      </c>
      <c r="X1187" s="9">
        <v>0.0</v>
      </c>
    </row>
    <row r="1188" ht="15.75" customHeight="1">
      <c r="A1188" s="9">
        <v>2215627.0</v>
      </c>
      <c r="B1188" s="9">
        <v>1.2514031E7</v>
      </c>
      <c r="C1188" s="9">
        <v>46854.0</v>
      </c>
      <c r="D1188" s="9" t="s">
        <v>52</v>
      </c>
      <c r="E1188" s="9" t="s">
        <v>53</v>
      </c>
      <c r="F1188" s="9">
        <v>186677.0</v>
      </c>
      <c r="G1188" s="9">
        <v>1.07659106E7</v>
      </c>
      <c r="H1188" s="9">
        <v>3.491028437E7</v>
      </c>
      <c r="I1188" s="9">
        <v>3.092670467E7</v>
      </c>
      <c r="J1188" s="9">
        <v>4032621.64</v>
      </c>
      <c r="K1188" s="9">
        <v>7024663.0</v>
      </c>
      <c r="L1188" s="9" t="s">
        <v>59</v>
      </c>
      <c r="M1188" s="9" t="s">
        <v>55</v>
      </c>
      <c r="N1188" s="9">
        <v>1.179531433E7</v>
      </c>
      <c r="O1188" s="9">
        <v>1.179531433E7</v>
      </c>
      <c r="P1188" s="9">
        <v>0.0</v>
      </c>
      <c r="Q1188" s="9">
        <v>0.0</v>
      </c>
      <c r="R1188" s="9" t="s">
        <v>104</v>
      </c>
      <c r="S1188" s="9" t="s">
        <v>82</v>
      </c>
      <c r="T1188" s="9" t="s">
        <v>83</v>
      </c>
      <c r="U1188" s="9" t="s">
        <v>105</v>
      </c>
    </row>
    <row r="1189" ht="15.75" customHeight="1">
      <c r="A1189" s="9">
        <v>2150531.0</v>
      </c>
      <c r="B1189" s="9">
        <v>9085628.0</v>
      </c>
      <c r="C1189" s="9">
        <v>30093.0</v>
      </c>
      <c r="D1189" s="9" t="s">
        <v>52</v>
      </c>
      <c r="E1189" s="9" t="s">
        <v>53</v>
      </c>
      <c r="F1189" s="9">
        <v>193001.0</v>
      </c>
      <c r="G1189" s="9">
        <v>9045390.58</v>
      </c>
      <c r="H1189" s="9">
        <v>9045390.58</v>
      </c>
      <c r="I1189" s="9">
        <v>8857812.57</v>
      </c>
      <c r="J1189" s="9">
        <v>0.0</v>
      </c>
      <c r="K1189" s="9">
        <v>0.0</v>
      </c>
      <c r="L1189" s="9" t="s">
        <v>69</v>
      </c>
      <c r="M1189" s="9" t="s">
        <v>55</v>
      </c>
      <c r="N1189" s="9">
        <v>8762492.03</v>
      </c>
      <c r="O1189" s="9">
        <v>8762492.03</v>
      </c>
      <c r="P1189" s="9">
        <v>107330.86</v>
      </c>
      <c r="Q1189" s="9">
        <v>107330.86</v>
      </c>
      <c r="R1189" s="9" t="s">
        <v>60</v>
      </c>
      <c r="S1189" s="9" t="s">
        <v>57</v>
      </c>
      <c r="T1189" s="9" t="s">
        <v>61</v>
      </c>
      <c r="V1189" s="9">
        <v>8869822.89</v>
      </c>
      <c r="W1189" s="9">
        <v>0.0</v>
      </c>
      <c r="X1189" s="9">
        <v>0.0</v>
      </c>
    </row>
    <row r="1190" ht="15.75" customHeight="1">
      <c r="A1190" s="9">
        <v>2150532.0</v>
      </c>
      <c r="B1190" s="9">
        <v>3669472.0</v>
      </c>
      <c r="C1190" s="9">
        <v>40452.0</v>
      </c>
      <c r="D1190" s="9" t="s">
        <v>52</v>
      </c>
      <c r="E1190" s="9" t="s">
        <v>53</v>
      </c>
      <c r="F1190" s="9">
        <v>183886.0</v>
      </c>
      <c r="G1190" s="9">
        <v>6597737.61</v>
      </c>
      <c r="H1190" s="9">
        <v>7105970.99</v>
      </c>
      <c r="I1190" s="9">
        <v>7071207.19</v>
      </c>
      <c r="J1190" s="9">
        <v>0.0</v>
      </c>
      <c r="K1190" s="9">
        <v>0.0</v>
      </c>
      <c r="L1190" s="9" t="s">
        <v>69</v>
      </c>
      <c r="M1190" s="9" t="s">
        <v>62</v>
      </c>
      <c r="N1190" s="9">
        <v>1547265.87</v>
      </c>
      <c r="O1190" s="9">
        <v>1547265.87</v>
      </c>
      <c r="P1190" s="9">
        <v>69626.96</v>
      </c>
      <c r="Q1190" s="9">
        <v>69626.96</v>
      </c>
      <c r="R1190" s="9" t="s">
        <v>94</v>
      </c>
      <c r="S1190" s="9" t="s">
        <v>57</v>
      </c>
      <c r="T1190" s="9" t="s">
        <v>95</v>
      </c>
    </row>
    <row r="1191" ht="15.75" customHeight="1">
      <c r="A1191" s="9">
        <v>2150535.0</v>
      </c>
      <c r="B1191" s="9">
        <v>2363565.0</v>
      </c>
      <c r="C1191" s="9">
        <v>31049.0</v>
      </c>
      <c r="D1191" s="9" t="s">
        <v>52</v>
      </c>
      <c r="E1191" s="9" t="s">
        <v>53</v>
      </c>
      <c r="F1191" s="9">
        <v>186654.0</v>
      </c>
      <c r="G1191" s="9">
        <v>2988368.29</v>
      </c>
      <c r="H1191" s="9">
        <v>2988368.29</v>
      </c>
      <c r="I1191" s="9">
        <v>2965248.13</v>
      </c>
      <c r="J1191" s="9">
        <v>0.0</v>
      </c>
      <c r="K1191" s="9">
        <v>0.0</v>
      </c>
      <c r="L1191" s="9" t="s">
        <v>69</v>
      </c>
      <c r="M1191" s="9" t="s">
        <v>55</v>
      </c>
      <c r="R1191" s="9" t="s">
        <v>75</v>
      </c>
      <c r="S1191" s="9" t="s">
        <v>57</v>
      </c>
      <c r="T1191" s="9" t="s">
        <v>76</v>
      </c>
    </row>
    <row r="1192" ht="15.75" customHeight="1">
      <c r="A1192" s="9">
        <v>2150700.0</v>
      </c>
      <c r="B1192" s="9">
        <v>6798699.0</v>
      </c>
      <c r="C1192" s="9">
        <v>48613.0</v>
      </c>
      <c r="D1192" s="9" t="s">
        <v>52</v>
      </c>
      <c r="E1192" s="9" t="s">
        <v>53</v>
      </c>
      <c r="F1192" s="9">
        <v>191190.0</v>
      </c>
      <c r="G1192" s="9">
        <v>7518558.81</v>
      </c>
      <c r="H1192" s="9">
        <v>1.283972821E7</v>
      </c>
      <c r="I1192" s="9">
        <v>5992421.63</v>
      </c>
      <c r="J1192" s="9">
        <v>48850.0</v>
      </c>
      <c r="K1192" s="9">
        <v>1297540.0</v>
      </c>
      <c r="L1192" s="9" t="s">
        <v>59</v>
      </c>
      <c r="M1192" s="9" t="s">
        <v>62</v>
      </c>
      <c r="N1192" s="9">
        <v>6293449.58</v>
      </c>
      <c r="O1192" s="9">
        <v>0.0</v>
      </c>
      <c r="R1192" s="9" t="s">
        <v>122</v>
      </c>
      <c r="S1192" s="9" t="s">
        <v>101</v>
      </c>
      <c r="T1192" s="9" t="s">
        <v>123</v>
      </c>
    </row>
    <row r="1193" ht="15.75" customHeight="1">
      <c r="A1193" s="9">
        <v>2156901.0</v>
      </c>
      <c r="B1193" s="9">
        <v>1143175.91</v>
      </c>
      <c r="C1193" s="9">
        <v>32069.0</v>
      </c>
      <c r="D1193" s="9" t="s">
        <v>52</v>
      </c>
      <c r="E1193" s="9" t="s">
        <v>53</v>
      </c>
      <c r="F1193" s="9">
        <v>162946.0</v>
      </c>
      <c r="G1193" s="9">
        <v>1306234.71</v>
      </c>
      <c r="H1193" s="9">
        <v>1306234.71</v>
      </c>
      <c r="I1193" s="9">
        <v>1285970.07</v>
      </c>
      <c r="J1193" s="9">
        <v>0.0</v>
      </c>
      <c r="K1193" s="9">
        <v>0.0</v>
      </c>
      <c r="L1193" s="9" t="s">
        <v>59</v>
      </c>
      <c r="M1193" s="9" t="s">
        <v>55</v>
      </c>
      <c r="N1193" s="9">
        <v>1149061.71</v>
      </c>
      <c r="O1193" s="9">
        <v>1149061.71</v>
      </c>
      <c r="P1193" s="9">
        <v>0.0</v>
      </c>
      <c r="Q1193" s="9">
        <v>0.0</v>
      </c>
      <c r="R1193" s="9" t="s">
        <v>60</v>
      </c>
      <c r="S1193" s="9" t="s">
        <v>57</v>
      </c>
      <c r="T1193" s="9" t="s">
        <v>61</v>
      </c>
      <c r="V1193" s="9">
        <v>1216541.03</v>
      </c>
      <c r="W1193" s="9">
        <v>37091.29</v>
      </c>
      <c r="X1193" s="9">
        <v>0.0</v>
      </c>
    </row>
    <row r="1194" ht="15.75" customHeight="1">
      <c r="A1194" s="9">
        <v>2158205.0</v>
      </c>
      <c r="B1194" s="9">
        <v>2.1842526E7</v>
      </c>
      <c r="C1194" s="9">
        <v>26626.0</v>
      </c>
      <c r="D1194" s="9" t="s">
        <v>52</v>
      </c>
      <c r="E1194" s="9" t="s">
        <v>53</v>
      </c>
      <c r="F1194" s="9">
        <v>197809.0</v>
      </c>
      <c r="G1194" s="9">
        <v>2.685550697E7</v>
      </c>
      <c r="H1194" s="9">
        <v>2.685550697E7</v>
      </c>
      <c r="I1194" s="9">
        <v>2.449526318E7</v>
      </c>
      <c r="J1194" s="9">
        <v>0.0</v>
      </c>
      <c r="K1194" s="9">
        <v>0.0</v>
      </c>
      <c r="L1194" s="9" t="s">
        <v>59</v>
      </c>
      <c r="M1194" s="9" t="s">
        <v>55</v>
      </c>
      <c r="N1194" s="9">
        <v>2.296001516E7</v>
      </c>
      <c r="O1194" s="9">
        <v>2.296001516E7</v>
      </c>
      <c r="P1194" s="9">
        <v>0.0</v>
      </c>
      <c r="Q1194" s="9">
        <v>0.0</v>
      </c>
      <c r="R1194" s="9" t="s">
        <v>60</v>
      </c>
      <c r="S1194" s="9" t="s">
        <v>57</v>
      </c>
      <c r="T1194" s="9" t="s">
        <v>61</v>
      </c>
      <c r="V1194" s="9">
        <v>2.369746716E7</v>
      </c>
      <c r="W1194" s="9">
        <v>0.0</v>
      </c>
      <c r="X1194" s="9">
        <v>0.0</v>
      </c>
    </row>
    <row r="1195" ht="15.75" customHeight="1">
      <c r="A1195" s="9">
        <v>2158874.0</v>
      </c>
      <c r="B1195" s="9">
        <v>6.4242525E7</v>
      </c>
      <c r="C1195" s="9">
        <v>30973.0</v>
      </c>
      <c r="D1195" s="9" t="s">
        <v>52</v>
      </c>
      <c r="E1195" s="9" t="s">
        <v>53</v>
      </c>
      <c r="F1195" s="9">
        <v>152254.0</v>
      </c>
      <c r="G1195" s="9">
        <v>6.771069213E7</v>
      </c>
      <c r="H1195" s="9">
        <v>6.55886321E7</v>
      </c>
      <c r="I1195" s="9">
        <v>6.558063193E7</v>
      </c>
      <c r="J1195" s="9">
        <v>0.0</v>
      </c>
      <c r="K1195" s="9">
        <v>0.0</v>
      </c>
      <c r="L1195" s="9" t="s">
        <v>59</v>
      </c>
      <c r="M1195" s="9" t="s">
        <v>55</v>
      </c>
      <c r="N1195" s="9">
        <v>6.205246421E7</v>
      </c>
      <c r="O1195" s="9">
        <v>6.074936247E7</v>
      </c>
      <c r="P1195" s="9">
        <v>1314224.75</v>
      </c>
      <c r="Q1195" s="9">
        <v>1113749.79</v>
      </c>
      <c r="R1195" s="9" t="s">
        <v>60</v>
      </c>
      <c r="S1195" s="9" t="s">
        <v>57</v>
      </c>
      <c r="T1195" s="9" t="s">
        <v>61</v>
      </c>
      <c r="V1195" s="9">
        <v>6.316810416E7</v>
      </c>
      <c r="W1195" s="9">
        <v>1318117.98</v>
      </c>
      <c r="X1195" s="9">
        <v>0.0</v>
      </c>
    </row>
    <row r="1196" ht="15.75" customHeight="1">
      <c r="A1196" s="9">
        <v>2159241.0</v>
      </c>
      <c r="B1196" s="9">
        <v>9546882.0</v>
      </c>
      <c r="C1196" s="9">
        <v>40290.0</v>
      </c>
      <c r="D1196" s="9" t="s">
        <v>52</v>
      </c>
      <c r="E1196" s="9" t="s">
        <v>53</v>
      </c>
      <c r="F1196" s="9">
        <v>218355.0</v>
      </c>
      <c r="G1196" s="9">
        <v>1.187420809E7</v>
      </c>
      <c r="H1196" s="9">
        <v>1.378933469E7</v>
      </c>
      <c r="I1196" s="9">
        <v>1.315513383E7</v>
      </c>
      <c r="J1196" s="9">
        <v>0.0</v>
      </c>
      <c r="K1196" s="9">
        <v>0.0</v>
      </c>
      <c r="L1196" s="9" t="s">
        <v>69</v>
      </c>
      <c r="M1196" s="9" t="s">
        <v>55</v>
      </c>
      <c r="N1196" s="9">
        <v>1.207000303E7</v>
      </c>
      <c r="O1196" s="9">
        <v>1.1611844E7</v>
      </c>
      <c r="P1196" s="9">
        <v>398364.52</v>
      </c>
      <c r="Q1196" s="9">
        <v>396000.0</v>
      </c>
      <c r="R1196" s="9" t="s">
        <v>56</v>
      </c>
      <c r="S1196" s="9" t="s">
        <v>57</v>
      </c>
      <c r="T1196" s="9" t="s">
        <v>58</v>
      </c>
      <c r="V1196" s="9">
        <v>1.276182479E7</v>
      </c>
      <c r="W1196" s="9">
        <v>0.0</v>
      </c>
      <c r="X1196" s="9">
        <v>0.0</v>
      </c>
    </row>
    <row r="1197" ht="15.75" customHeight="1">
      <c r="A1197" s="9">
        <v>2160027.0</v>
      </c>
      <c r="B1197" s="9">
        <v>8946528.0</v>
      </c>
      <c r="C1197" s="9">
        <v>37534.0</v>
      </c>
      <c r="D1197" s="9" t="s">
        <v>52</v>
      </c>
      <c r="E1197" s="9" t="s">
        <v>53</v>
      </c>
      <c r="F1197" s="9">
        <v>226922.0</v>
      </c>
      <c r="G1197" s="9">
        <v>1.4604317E7</v>
      </c>
      <c r="H1197" s="9">
        <v>1.620406231E7</v>
      </c>
      <c r="I1197" s="9">
        <v>1.523352512E7</v>
      </c>
      <c r="J1197" s="9">
        <v>0.0</v>
      </c>
      <c r="K1197" s="9">
        <v>0.0</v>
      </c>
      <c r="L1197" s="9" t="s">
        <v>69</v>
      </c>
      <c r="M1197" s="9" t="s">
        <v>55</v>
      </c>
      <c r="N1197" s="9">
        <v>1.39759712E7</v>
      </c>
      <c r="O1197" s="9">
        <v>1.302745764E7</v>
      </c>
      <c r="P1197" s="9">
        <v>489158.8</v>
      </c>
      <c r="Q1197" s="9">
        <v>455994.74</v>
      </c>
      <c r="R1197" s="9" t="s">
        <v>60</v>
      </c>
      <c r="S1197" s="9" t="s">
        <v>57</v>
      </c>
      <c r="T1197" s="9" t="s">
        <v>61</v>
      </c>
      <c r="V1197" s="9">
        <v>1.465153038E7</v>
      </c>
      <c r="W1197" s="9">
        <v>455994.74</v>
      </c>
      <c r="X1197" s="9">
        <v>0.0</v>
      </c>
    </row>
    <row r="1198" ht="15.75" customHeight="1">
      <c r="A1198" s="9">
        <v>2160477.0</v>
      </c>
      <c r="B1198" s="9">
        <v>2663348.0</v>
      </c>
      <c r="C1198" s="9">
        <v>37527.0</v>
      </c>
      <c r="D1198" s="9" t="s">
        <v>52</v>
      </c>
      <c r="E1198" s="9" t="s">
        <v>53</v>
      </c>
      <c r="F1198" s="9">
        <v>218650.0</v>
      </c>
      <c r="G1198" s="9">
        <v>3205301.18</v>
      </c>
      <c r="H1198" s="9">
        <v>3266301.18</v>
      </c>
      <c r="I1198" s="9">
        <v>3134325.93</v>
      </c>
      <c r="J1198" s="9">
        <v>0.0</v>
      </c>
      <c r="K1198" s="9">
        <v>0.0</v>
      </c>
      <c r="L1198" s="9" t="s">
        <v>59</v>
      </c>
      <c r="M1198" s="9" t="s">
        <v>55</v>
      </c>
      <c r="N1198" s="9">
        <v>3057395.19</v>
      </c>
      <c r="O1198" s="9">
        <v>3039695.19</v>
      </c>
      <c r="P1198" s="9">
        <v>93560.99</v>
      </c>
      <c r="Q1198" s="9">
        <v>93560.99</v>
      </c>
      <c r="R1198" s="9" t="s">
        <v>56</v>
      </c>
      <c r="S1198" s="9" t="s">
        <v>57</v>
      </c>
      <c r="T1198" s="9" t="s">
        <v>58</v>
      </c>
      <c r="V1198" s="9">
        <v>2980585.01</v>
      </c>
      <c r="W1198" s="9">
        <v>0.0</v>
      </c>
      <c r="X1198" s="9">
        <v>0.0</v>
      </c>
    </row>
    <row r="1199" ht="15.75" customHeight="1">
      <c r="A1199" s="9">
        <v>2160996.0</v>
      </c>
      <c r="B1199" s="9">
        <v>5978168.0</v>
      </c>
      <c r="C1199" s="9">
        <v>31274.0</v>
      </c>
      <c r="D1199" s="9" t="s">
        <v>52</v>
      </c>
      <c r="E1199" s="9" t="s">
        <v>53</v>
      </c>
      <c r="F1199" s="9">
        <v>165344.0</v>
      </c>
      <c r="G1199" s="9">
        <v>5241867.17</v>
      </c>
      <c r="H1199" s="9">
        <v>5241867.17</v>
      </c>
      <c r="I1199" s="9">
        <v>51572.71</v>
      </c>
      <c r="J1199" s="9">
        <v>0.0</v>
      </c>
      <c r="K1199" s="9">
        <v>0.0</v>
      </c>
      <c r="L1199" s="9" t="s">
        <v>54</v>
      </c>
      <c r="M1199" s="9" t="s">
        <v>55</v>
      </c>
      <c r="R1199" s="9" t="s">
        <v>75</v>
      </c>
      <c r="S1199" s="9" t="s">
        <v>57</v>
      </c>
      <c r="T1199" s="9" t="s">
        <v>76</v>
      </c>
    </row>
    <row r="1200" ht="15.75" customHeight="1">
      <c r="A1200" s="9">
        <v>2161781.0</v>
      </c>
      <c r="B1200" s="9">
        <v>1613701.0</v>
      </c>
      <c r="C1200" s="9">
        <v>26707.0</v>
      </c>
      <c r="D1200" s="9" t="s">
        <v>52</v>
      </c>
      <c r="E1200" s="9" t="s">
        <v>53</v>
      </c>
      <c r="F1200" s="9">
        <v>193130.0</v>
      </c>
      <c r="G1200" s="9">
        <v>250000.0</v>
      </c>
      <c r="H1200" s="9">
        <v>250000.0</v>
      </c>
      <c r="I1200" s="9">
        <v>1913381.6</v>
      </c>
      <c r="J1200" s="9">
        <v>0.0</v>
      </c>
      <c r="K1200" s="9">
        <v>0.0</v>
      </c>
      <c r="L1200" s="9" t="s">
        <v>59</v>
      </c>
      <c r="M1200" s="9" t="s">
        <v>55</v>
      </c>
      <c r="N1200" s="9">
        <v>1537785.27</v>
      </c>
      <c r="O1200" s="9">
        <v>1537785.27</v>
      </c>
      <c r="P1200" s="9">
        <v>75000.0</v>
      </c>
      <c r="Q1200" s="9">
        <v>75000.0</v>
      </c>
      <c r="R1200" s="9" t="s">
        <v>60</v>
      </c>
      <c r="S1200" s="9" t="s">
        <v>57</v>
      </c>
      <c r="T1200" s="9" t="s">
        <v>61</v>
      </c>
      <c r="V1200" s="9">
        <v>1798408.27</v>
      </c>
      <c r="W1200" s="9">
        <v>75000.0</v>
      </c>
      <c r="X1200" s="9">
        <v>0.0</v>
      </c>
    </row>
    <row r="1201" ht="15.75" customHeight="1">
      <c r="A1201" s="9">
        <v>2162514.0</v>
      </c>
      <c r="B1201" s="9">
        <v>9245322.0</v>
      </c>
      <c r="C1201" s="9">
        <v>37538.0</v>
      </c>
      <c r="D1201" s="9" t="s">
        <v>52</v>
      </c>
      <c r="E1201" s="9" t="s">
        <v>53</v>
      </c>
      <c r="F1201" s="9">
        <v>229820.0</v>
      </c>
      <c r="G1201" s="9">
        <v>9368037.9</v>
      </c>
      <c r="H1201" s="9">
        <v>9368037.9</v>
      </c>
      <c r="I1201" s="9">
        <v>9083750.15</v>
      </c>
      <c r="J1201" s="9">
        <v>0.0</v>
      </c>
      <c r="K1201" s="9">
        <v>73930.0</v>
      </c>
      <c r="L1201" s="9" t="s">
        <v>59</v>
      </c>
      <c r="M1201" s="9" t="s">
        <v>55</v>
      </c>
      <c r="N1201" s="9">
        <v>8909749.42</v>
      </c>
      <c r="O1201" s="9">
        <v>8909749.42</v>
      </c>
      <c r="P1201" s="9">
        <v>328288.48</v>
      </c>
      <c r="Q1201" s="9">
        <v>328288.48</v>
      </c>
      <c r="R1201" s="9" t="s">
        <v>72</v>
      </c>
      <c r="S1201" s="9" t="s">
        <v>57</v>
      </c>
      <c r="T1201" s="9" t="s">
        <v>73</v>
      </c>
      <c r="V1201" s="9">
        <v>8655563.12</v>
      </c>
      <c r="W1201" s="9">
        <v>328289.0</v>
      </c>
      <c r="X1201" s="9">
        <v>0.0</v>
      </c>
    </row>
    <row r="1202" ht="15.75" customHeight="1">
      <c r="A1202" s="9">
        <v>2167197.0</v>
      </c>
      <c r="B1202" s="9">
        <v>3748069.0</v>
      </c>
      <c r="C1202" s="9">
        <v>39547.0</v>
      </c>
      <c r="D1202" s="9" t="s">
        <v>52</v>
      </c>
      <c r="E1202" s="9" t="s">
        <v>53</v>
      </c>
      <c r="F1202" s="9">
        <v>248511.0</v>
      </c>
      <c r="G1202" s="9">
        <v>4690216.83</v>
      </c>
      <c r="H1202" s="9">
        <v>4647939.72</v>
      </c>
      <c r="I1202" s="9">
        <v>4647939.72</v>
      </c>
      <c r="J1202" s="9">
        <v>0.0</v>
      </c>
      <c r="K1202" s="9">
        <v>0.0</v>
      </c>
      <c r="L1202" s="9" t="s">
        <v>59</v>
      </c>
      <c r="M1202" s="9" t="s">
        <v>55</v>
      </c>
      <c r="N1202" s="9">
        <v>4089198.7</v>
      </c>
      <c r="O1202" s="9">
        <v>4089198.7</v>
      </c>
      <c r="P1202" s="9">
        <v>118586.76</v>
      </c>
      <c r="Q1202" s="9">
        <v>118500.0</v>
      </c>
      <c r="R1202" s="9" t="s">
        <v>60</v>
      </c>
      <c r="S1202" s="9" t="s">
        <v>57</v>
      </c>
      <c r="T1202" s="9" t="s">
        <v>61</v>
      </c>
      <c r="V1202" s="9">
        <v>4434479.7</v>
      </c>
      <c r="W1202" s="9">
        <v>118500.0</v>
      </c>
      <c r="X1202" s="9">
        <v>0.0</v>
      </c>
    </row>
    <row r="1203" ht="15.75" customHeight="1">
      <c r="A1203" s="9">
        <v>2170705.0</v>
      </c>
      <c r="B1203" s="9">
        <v>4163723.0</v>
      </c>
      <c r="C1203" s="9">
        <v>38500.0</v>
      </c>
      <c r="D1203" s="9" t="s">
        <v>52</v>
      </c>
      <c r="E1203" s="9" t="s">
        <v>64</v>
      </c>
      <c r="F1203" s="9">
        <v>229658.0</v>
      </c>
      <c r="G1203" s="9">
        <v>4163723.0</v>
      </c>
      <c r="H1203" s="9">
        <v>4163723.0</v>
      </c>
      <c r="I1203" s="9">
        <v>99100.0</v>
      </c>
      <c r="J1203" s="9">
        <v>0.0</v>
      </c>
      <c r="K1203" s="9">
        <v>0.0</v>
      </c>
      <c r="L1203" s="9" t="s">
        <v>59</v>
      </c>
      <c r="M1203" s="9" t="s">
        <v>65</v>
      </c>
      <c r="R1203" s="9" t="s">
        <v>100</v>
      </c>
      <c r="S1203" s="9" t="s">
        <v>101</v>
      </c>
      <c r="T1203" s="9" t="s">
        <v>102</v>
      </c>
    </row>
    <row r="1204" ht="15.75" customHeight="1">
      <c r="A1204" s="9">
        <v>2173646.0</v>
      </c>
      <c r="B1204" s="9">
        <v>1744628.0</v>
      </c>
      <c r="C1204" s="9">
        <v>33159.0</v>
      </c>
      <c r="D1204" s="9" t="s">
        <v>52</v>
      </c>
      <c r="E1204" s="9" t="s">
        <v>53</v>
      </c>
      <c r="F1204" s="9">
        <v>251611.0</v>
      </c>
      <c r="G1204" s="9">
        <v>2365500.0</v>
      </c>
      <c r="H1204" s="9">
        <v>2365500.0</v>
      </c>
      <c r="I1204" s="9">
        <v>2365496.1</v>
      </c>
      <c r="J1204" s="9">
        <v>0.0</v>
      </c>
      <c r="K1204" s="9">
        <v>0.0</v>
      </c>
      <c r="L1204" s="9" t="s">
        <v>69</v>
      </c>
      <c r="M1204" s="9" t="s">
        <v>55</v>
      </c>
      <c r="N1204" s="9">
        <v>2192593.51</v>
      </c>
      <c r="O1204" s="9">
        <v>2192593.51</v>
      </c>
      <c r="P1204" s="9">
        <v>87000.0</v>
      </c>
      <c r="Q1204" s="9">
        <v>87000.0</v>
      </c>
      <c r="R1204" s="9" t="s">
        <v>60</v>
      </c>
      <c r="S1204" s="9" t="s">
        <v>57</v>
      </c>
      <c r="T1204" s="9" t="s">
        <v>61</v>
      </c>
      <c r="V1204" s="9">
        <v>2266191.02</v>
      </c>
      <c r="W1204" s="9">
        <v>89973.0</v>
      </c>
      <c r="X1204" s="9">
        <v>0.0</v>
      </c>
    </row>
    <row r="1205" ht="15.75" customHeight="1">
      <c r="A1205" s="9">
        <v>2176222.0</v>
      </c>
      <c r="B1205" s="9">
        <v>4180908.0</v>
      </c>
      <c r="C1205" s="9">
        <v>40011.0</v>
      </c>
      <c r="D1205" s="9" t="s">
        <v>52</v>
      </c>
      <c r="E1205" s="9" t="s">
        <v>111</v>
      </c>
      <c r="F1205" s="9">
        <v>191890.0</v>
      </c>
      <c r="G1205" s="9">
        <v>5012598.51</v>
      </c>
      <c r="H1205" s="9">
        <v>4627196.73</v>
      </c>
      <c r="I1205" s="9">
        <v>4627196.73</v>
      </c>
      <c r="J1205" s="9">
        <v>0.0</v>
      </c>
      <c r="K1205" s="9">
        <v>0.0</v>
      </c>
      <c r="L1205" s="9" t="s">
        <v>59</v>
      </c>
      <c r="M1205" s="9" t="s">
        <v>55</v>
      </c>
      <c r="N1205" s="9">
        <v>4797598.51</v>
      </c>
      <c r="O1205" s="9">
        <v>4751291.18</v>
      </c>
      <c r="P1205" s="9">
        <v>186523.8</v>
      </c>
      <c r="Q1205" s="9">
        <v>0.0</v>
      </c>
      <c r="R1205" s="9" t="s">
        <v>72</v>
      </c>
      <c r="S1205" s="9" t="s">
        <v>57</v>
      </c>
      <c r="T1205" s="9" t="s">
        <v>73</v>
      </c>
      <c r="V1205" s="9">
        <v>4384323.69</v>
      </c>
    </row>
    <row r="1206" ht="15.75" customHeight="1">
      <c r="A1206" s="9">
        <v>2177590.0</v>
      </c>
      <c r="B1206" s="9">
        <v>1178623.68</v>
      </c>
      <c r="C1206" s="9">
        <v>32009.0</v>
      </c>
      <c r="D1206" s="9" t="s">
        <v>52</v>
      </c>
      <c r="E1206" s="9" t="s">
        <v>53</v>
      </c>
      <c r="F1206" s="9">
        <v>230260.0</v>
      </c>
      <c r="G1206" s="9">
        <v>907982.43</v>
      </c>
      <c r="H1206" s="9">
        <v>907982.43</v>
      </c>
      <c r="I1206" s="9">
        <v>718536.48</v>
      </c>
      <c r="J1206" s="9">
        <v>0.0</v>
      </c>
      <c r="K1206" s="9">
        <v>0.0</v>
      </c>
      <c r="L1206" s="9" t="s">
        <v>69</v>
      </c>
      <c r="M1206" s="9" t="s">
        <v>55</v>
      </c>
      <c r="N1206" s="9">
        <v>845697.55</v>
      </c>
      <c r="O1206" s="9">
        <v>645023.56</v>
      </c>
      <c r="P1206" s="9">
        <v>42284.88</v>
      </c>
      <c r="Q1206" s="9">
        <v>35834.64</v>
      </c>
      <c r="R1206" s="9" t="s">
        <v>60</v>
      </c>
      <c r="S1206" s="9" t="s">
        <v>57</v>
      </c>
      <c r="T1206" s="9" t="s">
        <v>61</v>
      </c>
      <c r="V1206" s="9">
        <v>671701.84</v>
      </c>
      <c r="W1206" s="9">
        <v>35834.64</v>
      </c>
      <c r="X1206" s="9">
        <v>0.0</v>
      </c>
    </row>
    <row r="1207" ht="15.75" customHeight="1">
      <c r="A1207" s="9">
        <v>2179026.0</v>
      </c>
      <c r="B1207" s="9">
        <v>5159295.0</v>
      </c>
      <c r="C1207" s="9">
        <v>39334.0</v>
      </c>
      <c r="D1207" s="9" t="s">
        <v>52</v>
      </c>
      <c r="E1207" s="9" t="s">
        <v>53</v>
      </c>
      <c r="F1207" s="9">
        <v>238817.0</v>
      </c>
      <c r="G1207" s="9">
        <v>4351360.58</v>
      </c>
      <c r="H1207" s="9">
        <v>4346148.96</v>
      </c>
      <c r="I1207" s="9">
        <v>4243103.18</v>
      </c>
      <c r="J1207" s="9">
        <v>0.0</v>
      </c>
      <c r="K1207" s="9">
        <v>0.0</v>
      </c>
      <c r="L1207" s="9" t="s">
        <v>69</v>
      </c>
      <c r="M1207" s="9" t="s">
        <v>55</v>
      </c>
      <c r="N1207" s="9">
        <v>4015581.5</v>
      </c>
      <c r="O1207" s="9">
        <v>3975425.69</v>
      </c>
      <c r="P1207" s="9">
        <v>182526.0</v>
      </c>
      <c r="Q1207" s="9">
        <v>182526.0</v>
      </c>
      <c r="R1207" s="9" t="s">
        <v>56</v>
      </c>
      <c r="S1207" s="9" t="s">
        <v>57</v>
      </c>
      <c r="T1207" s="9" t="s">
        <v>58</v>
      </c>
      <c r="V1207" s="9">
        <v>4032832.08</v>
      </c>
      <c r="W1207" s="9">
        <v>0.0</v>
      </c>
      <c r="X1207" s="9">
        <v>0.0</v>
      </c>
    </row>
    <row r="1208" ht="15.75" customHeight="1">
      <c r="A1208" s="9">
        <v>2179044.0</v>
      </c>
      <c r="B1208" s="9">
        <v>2385052.0</v>
      </c>
      <c r="C1208" s="9">
        <v>31593.0</v>
      </c>
      <c r="D1208" s="9" t="s">
        <v>52</v>
      </c>
      <c r="E1208" s="9" t="s">
        <v>53</v>
      </c>
      <c r="F1208" s="9">
        <v>259071.0</v>
      </c>
      <c r="G1208" s="9">
        <v>2427285.69</v>
      </c>
      <c r="H1208" s="9">
        <v>2427285.69</v>
      </c>
      <c r="I1208" s="9">
        <v>2397513.63</v>
      </c>
      <c r="J1208" s="9">
        <v>0.0</v>
      </c>
      <c r="K1208" s="9">
        <v>0.0</v>
      </c>
      <c r="L1208" s="9" t="s">
        <v>59</v>
      </c>
      <c r="M1208" s="9" t="s">
        <v>55</v>
      </c>
      <c r="N1208" s="9">
        <v>2288748.0</v>
      </c>
      <c r="O1208" s="9">
        <v>2174310.6</v>
      </c>
      <c r="P1208" s="9">
        <v>114437.0</v>
      </c>
      <c r="Q1208" s="9">
        <v>114437.0</v>
      </c>
      <c r="R1208" s="9" t="s">
        <v>56</v>
      </c>
      <c r="S1208" s="9" t="s">
        <v>57</v>
      </c>
      <c r="T1208" s="9" t="s">
        <v>58</v>
      </c>
      <c r="V1208" s="9">
        <v>2255376.63</v>
      </c>
      <c r="W1208" s="9">
        <v>114437.0</v>
      </c>
      <c r="X1208" s="9">
        <v>0.0</v>
      </c>
    </row>
    <row r="1209" ht="15.75" customHeight="1">
      <c r="A1209" s="9">
        <v>2181583.0</v>
      </c>
      <c r="B1209" s="9">
        <v>1.7193033E7</v>
      </c>
      <c r="C1209" s="9">
        <v>32079.0</v>
      </c>
      <c r="D1209" s="9" t="s">
        <v>52</v>
      </c>
      <c r="E1209" s="9" t="s">
        <v>53</v>
      </c>
      <c r="F1209" s="9">
        <v>257487.0</v>
      </c>
      <c r="G1209" s="9">
        <v>1.000458135E7</v>
      </c>
      <c r="H1209" s="9">
        <v>1.000458135E7</v>
      </c>
      <c r="I1209" s="9">
        <v>9989799.68</v>
      </c>
      <c r="J1209" s="9">
        <v>0.0</v>
      </c>
      <c r="K1209" s="9">
        <v>0.0</v>
      </c>
      <c r="L1209" s="9" t="s">
        <v>59</v>
      </c>
      <c r="M1209" s="9" t="s">
        <v>55</v>
      </c>
      <c r="N1209" s="9">
        <v>9694640.87</v>
      </c>
      <c r="O1209" s="9">
        <v>9694640.87</v>
      </c>
      <c r="P1209" s="9">
        <v>290839.23</v>
      </c>
      <c r="Q1209" s="9">
        <v>290839.23</v>
      </c>
      <c r="R1209" s="9" t="s">
        <v>60</v>
      </c>
      <c r="S1209" s="9" t="s">
        <v>57</v>
      </c>
      <c r="T1209" s="9" t="s">
        <v>61</v>
      </c>
      <c r="V1209" s="9">
        <v>9694255.76</v>
      </c>
      <c r="W1209" s="9">
        <v>328540.23</v>
      </c>
      <c r="X1209" s="9">
        <v>0.0</v>
      </c>
    </row>
    <row r="1210" ht="15.75" customHeight="1">
      <c r="A1210" s="9">
        <v>2186699.0</v>
      </c>
      <c r="B1210" s="9">
        <v>4095184.0</v>
      </c>
      <c r="C1210" s="9">
        <v>32162.0</v>
      </c>
      <c r="D1210" s="9" t="s">
        <v>52</v>
      </c>
      <c r="E1210" s="9" t="s">
        <v>53</v>
      </c>
      <c r="F1210" s="9">
        <v>269864.0</v>
      </c>
      <c r="G1210" s="9">
        <v>5137854.33</v>
      </c>
      <c r="H1210" s="9">
        <v>5137854.33</v>
      </c>
      <c r="I1210" s="9">
        <v>4720755.75</v>
      </c>
      <c r="J1210" s="9">
        <v>0.0</v>
      </c>
      <c r="K1210" s="9">
        <v>0.0</v>
      </c>
      <c r="L1210" s="9" t="s">
        <v>69</v>
      </c>
      <c r="M1210" s="9" t="s">
        <v>55</v>
      </c>
      <c r="N1210" s="9">
        <v>4541176.64</v>
      </c>
      <c r="O1210" s="9">
        <v>4233000.0</v>
      </c>
      <c r="P1210" s="9">
        <v>307665.25</v>
      </c>
      <c r="Q1210" s="9">
        <v>234659.94</v>
      </c>
      <c r="R1210" s="9" t="s">
        <v>60</v>
      </c>
      <c r="S1210" s="9" t="s">
        <v>57</v>
      </c>
      <c r="T1210" s="9" t="s">
        <v>61</v>
      </c>
      <c r="V1210" s="9">
        <v>4420117.77</v>
      </c>
      <c r="W1210" s="9">
        <v>234659.94</v>
      </c>
      <c r="X1210" s="9">
        <v>0.0</v>
      </c>
    </row>
    <row r="1211" ht="15.75" customHeight="1">
      <c r="A1211" s="9">
        <v>2108343.0</v>
      </c>
      <c r="B1211" s="9">
        <v>1.0108148E7</v>
      </c>
      <c r="C1211" s="9">
        <v>40010.0</v>
      </c>
      <c r="D1211" s="9" t="s">
        <v>52</v>
      </c>
      <c r="E1211" s="9" t="s">
        <v>111</v>
      </c>
      <c r="F1211" s="9">
        <v>123112.0</v>
      </c>
      <c r="G1211" s="9">
        <v>7402672.0</v>
      </c>
      <c r="H1211" s="9">
        <v>7336873.79</v>
      </c>
      <c r="I1211" s="9">
        <v>7336873.79</v>
      </c>
      <c r="J1211" s="9">
        <v>0.0</v>
      </c>
      <c r="K1211" s="9">
        <v>0.0</v>
      </c>
      <c r="L1211" s="9" t="s">
        <v>59</v>
      </c>
      <c r="M1211" s="9" t="s">
        <v>55</v>
      </c>
      <c r="N1211" s="9">
        <v>7044987.11</v>
      </c>
      <c r="O1211" s="9">
        <v>6902490.82</v>
      </c>
      <c r="P1211" s="9">
        <v>357685.0</v>
      </c>
      <c r="Q1211" s="9">
        <v>352028.14</v>
      </c>
      <c r="R1211" s="9" t="s">
        <v>72</v>
      </c>
      <c r="S1211" s="9" t="s">
        <v>57</v>
      </c>
      <c r="T1211" s="9" t="s">
        <v>73</v>
      </c>
      <c r="V1211" s="9">
        <v>6956079.44</v>
      </c>
      <c r="W1211" s="9">
        <v>0.0</v>
      </c>
    </row>
    <row r="1212" ht="15.75" customHeight="1">
      <c r="A1212" s="9">
        <v>2110030.0</v>
      </c>
      <c r="B1212" s="9">
        <v>4976444.0</v>
      </c>
      <c r="C1212" s="9">
        <v>29624.0</v>
      </c>
      <c r="D1212" s="9" t="s">
        <v>52</v>
      </c>
      <c r="E1212" s="9" t="s">
        <v>53</v>
      </c>
      <c r="F1212" s="9">
        <v>20453.0</v>
      </c>
      <c r="G1212" s="9">
        <v>4976444.0</v>
      </c>
      <c r="H1212" s="9">
        <v>4976444.0</v>
      </c>
      <c r="I1212" s="9">
        <v>0.0</v>
      </c>
      <c r="J1212" s="9">
        <v>0.0</v>
      </c>
      <c r="K1212" s="9">
        <v>0.0</v>
      </c>
      <c r="L1212" s="9" t="s">
        <v>54</v>
      </c>
      <c r="M1212" s="9" t="s">
        <v>65</v>
      </c>
      <c r="N1212" s="9">
        <v>272000.0</v>
      </c>
      <c r="O1212" s="9">
        <v>272000.0</v>
      </c>
      <c r="R1212" s="9" t="s">
        <v>72</v>
      </c>
      <c r="S1212" s="9" t="s">
        <v>57</v>
      </c>
      <c r="T1212" s="9" t="s">
        <v>73</v>
      </c>
      <c r="V1212" s="9">
        <v>261368.0</v>
      </c>
      <c r="W1212" s="9">
        <v>0.0</v>
      </c>
    </row>
    <row r="1213" ht="15.75" customHeight="1">
      <c r="A1213" s="9">
        <v>2113155.0</v>
      </c>
      <c r="B1213" s="9">
        <v>3437515.0</v>
      </c>
      <c r="C1213" s="9">
        <v>30891.0</v>
      </c>
      <c r="D1213" s="9" t="s">
        <v>52</v>
      </c>
      <c r="E1213" s="9" t="s">
        <v>53</v>
      </c>
      <c r="F1213" s="9">
        <v>124601.0</v>
      </c>
      <c r="G1213" s="9">
        <v>3437324.0</v>
      </c>
      <c r="H1213" s="9">
        <v>3437324.0</v>
      </c>
      <c r="I1213" s="9">
        <v>3437323.12</v>
      </c>
      <c r="J1213" s="9">
        <v>0.0</v>
      </c>
      <c r="K1213" s="9">
        <v>0.0</v>
      </c>
      <c r="L1213" s="9" t="s">
        <v>69</v>
      </c>
      <c r="M1213" s="9" t="s">
        <v>55</v>
      </c>
      <c r="N1213" s="9">
        <v>3298722.0</v>
      </c>
      <c r="O1213" s="9">
        <v>3298722.0</v>
      </c>
      <c r="P1213" s="9">
        <v>138601.77</v>
      </c>
      <c r="Q1213" s="9">
        <v>138600.0</v>
      </c>
      <c r="R1213" s="9" t="s">
        <v>60</v>
      </c>
      <c r="S1213" s="9" t="s">
        <v>57</v>
      </c>
      <c r="T1213" s="9" t="s">
        <v>61</v>
      </c>
      <c r="V1213" s="9">
        <v>3298722.0</v>
      </c>
      <c r="W1213" s="9">
        <v>138600.0</v>
      </c>
      <c r="X1213" s="9">
        <v>0.0</v>
      </c>
    </row>
    <row r="1214" ht="15.75" customHeight="1">
      <c r="A1214" s="9">
        <v>2114410.0</v>
      </c>
      <c r="B1214" s="9">
        <v>4979830.0</v>
      </c>
      <c r="C1214" s="9">
        <v>30789.0</v>
      </c>
      <c r="D1214" s="9" t="s">
        <v>52</v>
      </c>
      <c r="E1214" s="9" t="s">
        <v>53</v>
      </c>
      <c r="F1214" s="9">
        <v>105434.0</v>
      </c>
      <c r="G1214" s="9">
        <v>5206226.78</v>
      </c>
      <c r="H1214" s="9">
        <v>5206226.78</v>
      </c>
      <c r="I1214" s="9">
        <v>5197557.92</v>
      </c>
      <c r="J1214" s="9">
        <v>0.0</v>
      </c>
      <c r="K1214" s="9">
        <v>0.0</v>
      </c>
      <c r="L1214" s="9" t="s">
        <v>69</v>
      </c>
      <c r="M1214" s="9" t="s">
        <v>55</v>
      </c>
      <c r="N1214" s="9">
        <v>4220578.43</v>
      </c>
      <c r="O1214" s="9">
        <v>4552115.39</v>
      </c>
      <c r="P1214" s="9">
        <v>102500.0</v>
      </c>
      <c r="Q1214" s="9">
        <v>102500.0</v>
      </c>
      <c r="R1214" s="9" t="s">
        <v>60</v>
      </c>
      <c r="S1214" s="9" t="s">
        <v>57</v>
      </c>
      <c r="T1214" s="9" t="s">
        <v>61</v>
      </c>
      <c r="V1214" s="9">
        <v>4807019.65</v>
      </c>
      <c r="W1214" s="9">
        <v>0.0</v>
      </c>
      <c r="X1214" s="9">
        <v>245386.39</v>
      </c>
    </row>
    <row r="1215" ht="15.75" customHeight="1">
      <c r="A1215" s="9">
        <v>2114610.0</v>
      </c>
      <c r="B1215" s="9">
        <v>4276685.0</v>
      </c>
      <c r="C1215" s="9">
        <v>31047.0</v>
      </c>
      <c r="D1215" s="9" t="s">
        <v>52</v>
      </c>
      <c r="E1215" s="9" t="s">
        <v>53</v>
      </c>
      <c r="F1215" s="9">
        <v>75612.0</v>
      </c>
      <c r="G1215" s="9">
        <v>4819963.51</v>
      </c>
      <c r="H1215" s="9">
        <v>4819963.51</v>
      </c>
      <c r="I1215" s="9">
        <v>4819963.62</v>
      </c>
      <c r="J1215" s="9">
        <v>0.0</v>
      </c>
      <c r="K1215" s="9">
        <v>0.0</v>
      </c>
      <c r="L1215" s="9" t="s">
        <v>59</v>
      </c>
      <c r="M1215" s="9" t="s">
        <v>55</v>
      </c>
      <c r="R1215" s="9" t="s">
        <v>60</v>
      </c>
      <c r="S1215" s="9" t="s">
        <v>57</v>
      </c>
      <c r="T1215" s="9" t="s">
        <v>61</v>
      </c>
      <c r="V1215" s="9">
        <v>4600201.2</v>
      </c>
      <c r="W1215" s="9">
        <v>116215.4</v>
      </c>
      <c r="X1215" s="9">
        <v>0.0</v>
      </c>
    </row>
    <row r="1216" ht="15.75" customHeight="1">
      <c r="A1216" s="9">
        <v>2116414.0</v>
      </c>
      <c r="B1216" s="9">
        <v>2126972.0</v>
      </c>
      <c r="C1216" s="9">
        <v>30455.0</v>
      </c>
      <c r="D1216" s="9" t="s">
        <v>52</v>
      </c>
      <c r="E1216" s="9" t="s">
        <v>53</v>
      </c>
      <c r="F1216" s="9">
        <v>145840.0</v>
      </c>
      <c r="G1216" s="9">
        <v>1987438.18</v>
      </c>
      <c r="H1216" s="9">
        <v>1987438.18</v>
      </c>
      <c r="I1216" s="9">
        <v>2116604.5</v>
      </c>
      <c r="J1216" s="9">
        <v>0.0</v>
      </c>
      <c r="K1216" s="9">
        <v>0.0</v>
      </c>
      <c r="L1216" s="9" t="s">
        <v>69</v>
      </c>
      <c r="M1216" s="9" t="s">
        <v>55</v>
      </c>
      <c r="N1216" s="9">
        <v>2120497.08</v>
      </c>
      <c r="O1216" s="9">
        <v>2099292.11</v>
      </c>
      <c r="P1216" s="9">
        <v>20750.0</v>
      </c>
      <c r="Q1216" s="9">
        <v>0.0</v>
      </c>
      <c r="R1216" s="9" t="s">
        <v>60</v>
      </c>
      <c r="S1216" s="9" t="s">
        <v>57</v>
      </c>
      <c r="T1216" s="9" t="s">
        <v>61</v>
      </c>
      <c r="V1216" s="9">
        <v>2105854.5</v>
      </c>
      <c r="W1216" s="9">
        <v>0.0</v>
      </c>
      <c r="X1216" s="9">
        <v>0.0</v>
      </c>
    </row>
    <row r="1217" ht="15.75" customHeight="1">
      <c r="A1217" s="9">
        <v>2117884.0</v>
      </c>
      <c r="B1217" s="9">
        <v>3.2765229E7</v>
      </c>
      <c r="C1217" s="9">
        <v>46793.0</v>
      </c>
      <c r="D1217" s="9" t="s">
        <v>52</v>
      </c>
      <c r="E1217" s="9" t="s">
        <v>53</v>
      </c>
      <c r="F1217" s="9">
        <v>145254.0</v>
      </c>
      <c r="G1217" s="9">
        <v>1.690759546E7</v>
      </c>
      <c r="H1217" s="9">
        <v>1.78994822E7</v>
      </c>
      <c r="I1217" s="9">
        <v>1.737559731E7</v>
      </c>
      <c r="J1217" s="9">
        <v>0.0</v>
      </c>
      <c r="K1217" s="9">
        <v>0.0</v>
      </c>
      <c r="L1217" s="9" t="s">
        <v>59</v>
      </c>
      <c r="M1217" s="9" t="s">
        <v>62</v>
      </c>
      <c r="N1217" s="9">
        <v>1781788.08</v>
      </c>
      <c r="O1217" s="9">
        <v>1781788.08</v>
      </c>
      <c r="P1217" s="9">
        <v>132480.0</v>
      </c>
      <c r="Q1217" s="9">
        <v>132400.0</v>
      </c>
      <c r="R1217" s="9" t="s">
        <v>94</v>
      </c>
      <c r="S1217" s="9" t="s">
        <v>57</v>
      </c>
      <c r="T1217" s="9" t="s">
        <v>95</v>
      </c>
    </row>
    <row r="1218" ht="15.75" customHeight="1">
      <c r="A1218" s="9">
        <v>2122981.0</v>
      </c>
      <c r="B1218" s="9">
        <v>1364543.0</v>
      </c>
      <c r="C1218" s="9">
        <v>31078.0</v>
      </c>
      <c r="D1218" s="9" t="s">
        <v>52</v>
      </c>
      <c r="E1218" s="9" t="s">
        <v>53</v>
      </c>
      <c r="F1218" s="9">
        <v>35065.0</v>
      </c>
      <c r="G1218" s="9">
        <v>1364543.0</v>
      </c>
      <c r="H1218" s="9">
        <v>1364543.0</v>
      </c>
      <c r="I1218" s="9">
        <v>0.0</v>
      </c>
      <c r="J1218" s="9">
        <v>0.0</v>
      </c>
      <c r="K1218" s="9">
        <v>0.0</v>
      </c>
      <c r="L1218" s="9" t="s">
        <v>54</v>
      </c>
      <c r="M1218" s="9" t="s">
        <v>55</v>
      </c>
      <c r="R1218" s="9" t="s">
        <v>60</v>
      </c>
      <c r="S1218" s="9" t="s">
        <v>57</v>
      </c>
      <c r="T1218" s="9" t="s">
        <v>61</v>
      </c>
      <c r="V1218" s="9">
        <v>1218802.9</v>
      </c>
      <c r="W1218" s="9">
        <v>0.0</v>
      </c>
      <c r="X1218" s="9">
        <v>0.0</v>
      </c>
    </row>
    <row r="1219" ht="15.75" customHeight="1">
      <c r="A1219" s="9">
        <v>2122998.0</v>
      </c>
      <c r="B1219" s="9">
        <v>140082.0</v>
      </c>
      <c r="C1219" s="9">
        <v>29860.0</v>
      </c>
      <c r="D1219" s="9" t="s">
        <v>52</v>
      </c>
      <c r="E1219" s="9" t="s">
        <v>53</v>
      </c>
      <c r="F1219" s="9">
        <v>31814.0</v>
      </c>
      <c r="G1219" s="9">
        <v>140082.0</v>
      </c>
      <c r="H1219" s="9">
        <v>140082.0</v>
      </c>
      <c r="I1219" s="9">
        <v>0.0</v>
      </c>
      <c r="J1219" s="9">
        <v>0.0</v>
      </c>
      <c r="K1219" s="9">
        <v>0.0</v>
      </c>
      <c r="L1219" s="9" t="s">
        <v>69</v>
      </c>
      <c r="M1219" s="9" t="s">
        <v>55</v>
      </c>
      <c r="N1219" s="9">
        <v>168753.0</v>
      </c>
      <c r="O1219" s="9">
        <v>168752.71</v>
      </c>
      <c r="P1219" s="9">
        <v>10384.8</v>
      </c>
      <c r="Q1219" s="9">
        <v>0.0</v>
      </c>
      <c r="R1219" s="9" t="s">
        <v>60</v>
      </c>
      <c r="S1219" s="9" t="s">
        <v>57</v>
      </c>
      <c r="T1219" s="9" t="s">
        <v>61</v>
      </c>
      <c r="V1219" s="9">
        <v>181252.71</v>
      </c>
      <c r="W1219" s="9">
        <v>0.0</v>
      </c>
      <c r="X1219" s="9">
        <v>0.0</v>
      </c>
    </row>
    <row r="1220" ht="15.75" customHeight="1">
      <c r="A1220" s="9">
        <v>2123015.0</v>
      </c>
      <c r="B1220" s="9">
        <v>5924654.0</v>
      </c>
      <c r="C1220" s="9">
        <v>30610.0</v>
      </c>
      <c r="D1220" s="9" t="s">
        <v>52</v>
      </c>
      <c r="E1220" s="9" t="s">
        <v>53</v>
      </c>
      <c r="F1220" s="9">
        <v>150402.0</v>
      </c>
      <c r="G1220" s="9">
        <v>8622989.54</v>
      </c>
      <c r="H1220" s="9">
        <v>8622989.54</v>
      </c>
      <c r="I1220" s="9">
        <v>7869907.7</v>
      </c>
      <c r="J1220" s="9">
        <v>0.0</v>
      </c>
      <c r="K1220" s="9">
        <v>0.0</v>
      </c>
      <c r="L1220" s="9" t="s">
        <v>59</v>
      </c>
      <c r="M1220" s="9" t="s">
        <v>55</v>
      </c>
      <c r="N1220" s="9">
        <v>6488725.56</v>
      </c>
      <c r="O1220" s="9">
        <v>6475748.11</v>
      </c>
      <c r="P1220" s="9">
        <v>184261.58</v>
      </c>
      <c r="Q1220" s="9">
        <v>165835.43</v>
      </c>
      <c r="R1220" s="9" t="s">
        <v>60</v>
      </c>
      <c r="S1220" s="9" t="s">
        <v>57</v>
      </c>
      <c r="T1220" s="9" t="s">
        <v>61</v>
      </c>
      <c r="V1220" s="9">
        <v>7902528.3</v>
      </c>
      <c r="W1220" s="9">
        <v>221358.51</v>
      </c>
      <c r="X1220" s="9">
        <v>0.0</v>
      </c>
    </row>
    <row r="1221" ht="15.75" customHeight="1">
      <c r="A1221" s="9">
        <v>2123770.0</v>
      </c>
      <c r="B1221" s="9">
        <v>1193495.0</v>
      </c>
      <c r="C1221" s="9">
        <v>30308.0</v>
      </c>
      <c r="D1221" s="9" t="s">
        <v>52</v>
      </c>
      <c r="E1221" s="9" t="s">
        <v>53</v>
      </c>
      <c r="F1221" s="9">
        <v>151860.0</v>
      </c>
      <c r="G1221" s="9">
        <v>1299225.37</v>
      </c>
      <c r="H1221" s="9">
        <v>1299225.37</v>
      </c>
      <c r="I1221" s="9">
        <v>1299125.36</v>
      </c>
      <c r="J1221" s="9">
        <v>0.0</v>
      </c>
      <c r="K1221" s="9">
        <v>0.0</v>
      </c>
      <c r="L1221" s="9" t="s">
        <v>69</v>
      </c>
      <c r="M1221" s="9" t="s">
        <v>55</v>
      </c>
      <c r="N1221" s="9">
        <v>1219225.37</v>
      </c>
      <c r="O1221" s="9">
        <v>1219225.37</v>
      </c>
      <c r="P1221" s="9">
        <v>40000.0</v>
      </c>
      <c r="Q1221" s="9">
        <v>40000.0</v>
      </c>
      <c r="R1221" s="9" t="s">
        <v>60</v>
      </c>
      <c r="S1221" s="9" t="s">
        <v>57</v>
      </c>
      <c r="T1221" s="9" t="s">
        <v>61</v>
      </c>
      <c r="V1221" s="9">
        <v>1219225.37</v>
      </c>
      <c r="W1221" s="9">
        <v>40000.0</v>
      </c>
      <c r="X1221" s="9">
        <v>0.0</v>
      </c>
    </row>
    <row r="1222" ht="15.75" customHeight="1">
      <c r="A1222" s="9">
        <v>2125187.0</v>
      </c>
      <c r="B1222" s="9">
        <v>580803.12</v>
      </c>
      <c r="C1222" s="9">
        <v>26617.0</v>
      </c>
      <c r="D1222" s="9" t="s">
        <v>52</v>
      </c>
      <c r="E1222" s="9" t="s">
        <v>53</v>
      </c>
      <c r="F1222" s="9">
        <v>126736.0</v>
      </c>
      <c r="G1222" s="9">
        <v>686909.14</v>
      </c>
      <c r="H1222" s="9">
        <v>686909.14</v>
      </c>
      <c r="I1222" s="9">
        <v>686909.14</v>
      </c>
      <c r="J1222" s="9">
        <v>0.0</v>
      </c>
      <c r="K1222" s="9">
        <v>0.0</v>
      </c>
      <c r="L1222" s="9" t="s">
        <v>69</v>
      </c>
      <c r="M1222" s="9" t="s">
        <v>55</v>
      </c>
      <c r="N1222" s="9">
        <v>673246.16</v>
      </c>
      <c r="O1222" s="9">
        <v>673246.16</v>
      </c>
      <c r="P1222" s="9">
        <v>33460.0</v>
      </c>
      <c r="Q1222" s="9">
        <v>33460.0</v>
      </c>
      <c r="R1222" s="9" t="s">
        <v>60</v>
      </c>
      <c r="S1222" s="9" t="s">
        <v>57</v>
      </c>
      <c r="T1222" s="9" t="s">
        <v>61</v>
      </c>
      <c r="V1222" s="9">
        <v>658446.78</v>
      </c>
      <c r="W1222" s="9">
        <v>14744.34</v>
      </c>
      <c r="X1222" s="9">
        <v>0.0</v>
      </c>
    </row>
    <row r="1223" ht="15.75" customHeight="1">
      <c r="A1223" s="9">
        <v>2128514.0</v>
      </c>
      <c r="B1223" s="9">
        <v>3218393.0</v>
      </c>
      <c r="C1223" s="9">
        <v>30077.0</v>
      </c>
      <c r="D1223" s="9" t="s">
        <v>52</v>
      </c>
      <c r="E1223" s="9" t="s">
        <v>53</v>
      </c>
      <c r="F1223" s="9">
        <v>130831.0</v>
      </c>
      <c r="G1223" s="9">
        <v>3903029.32</v>
      </c>
      <c r="H1223" s="9">
        <v>3903029.32</v>
      </c>
      <c r="I1223" s="9">
        <v>761638.39</v>
      </c>
      <c r="J1223" s="9">
        <v>0.0</v>
      </c>
      <c r="K1223" s="9">
        <v>0.0</v>
      </c>
      <c r="L1223" s="9" t="s">
        <v>59</v>
      </c>
      <c r="M1223" s="9" t="s">
        <v>55</v>
      </c>
      <c r="N1223" s="9">
        <v>3548208.48</v>
      </c>
      <c r="O1223" s="9">
        <v>1.454291903E7</v>
      </c>
      <c r="P1223" s="9">
        <v>0.0</v>
      </c>
      <c r="Q1223" s="9">
        <v>159669.0</v>
      </c>
      <c r="R1223" s="9" t="s">
        <v>60</v>
      </c>
      <c r="S1223" s="9" t="s">
        <v>57</v>
      </c>
      <c r="T1223" s="9" t="s">
        <v>61</v>
      </c>
      <c r="V1223" s="9">
        <v>3307652.0</v>
      </c>
      <c r="W1223" s="9">
        <v>159669.0</v>
      </c>
      <c r="X1223" s="9">
        <v>0.0</v>
      </c>
    </row>
    <row r="1224" ht="15.75" customHeight="1">
      <c r="A1224" s="9">
        <v>2128580.0</v>
      </c>
      <c r="B1224" s="9">
        <v>5085907.0</v>
      </c>
      <c r="C1224" s="9">
        <v>29947.0</v>
      </c>
      <c r="D1224" s="9" t="s">
        <v>52</v>
      </c>
      <c r="E1224" s="9" t="s">
        <v>53</v>
      </c>
      <c r="F1224" s="9">
        <v>147732.0</v>
      </c>
      <c r="G1224" s="9">
        <v>5085907.0</v>
      </c>
      <c r="H1224" s="9">
        <v>5085907.0</v>
      </c>
      <c r="I1224" s="9">
        <v>1577203.98</v>
      </c>
      <c r="J1224" s="9">
        <v>0.0</v>
      </c>
      <c r="K1224" s="9">
        <v>0.0</v>
      </c>
      <c r="L1224" s="9" t="s">
        <v>59</v>
      </c>
      <c r="M1224" s="9" t="s">
        <v>55</v>
      </c>
      <c r="N1224" s="9">
        <v>4507882.62</v>
      </c>
      <c r="O1224" s="9">
        <v>4507882.62</v>
      </c>
      <c r="P1224" s="9">
        <v>360630.61</v>
      </c>
      <c r="Q1224" s="9">
        <v>360630.61</v>
      </c>
      <c r="R1224" s="9" t="s">
        <v>60</v>
      </c>
      <c r="S1224" s="9" t="s">
        <v>57</v>
      </c>
      <c r="T1224" s="9" t="s">
        <v>61</v>
      </c>
      <c r="V1224" s="9">
        <v>2412829.98</v>
      </c>
      <c r="W1224" s="9">
        <v>130123.83</v>
      </c>
      <c r="X1224" s="9">
        <v>0.0</v>
      </c>
    </row>
    <row r="1225" ht="15.75" customHeight="1">
      <c r="A1225" s="9">
        <v>2128616.0</v>
      </c>
      <c r="B1225" s="9">
        <v>1.5632818E7</v>
      </c>
      <c r="C1225" s="9">
        <v>26755.0</v>
      </c>
      <c r="D1225" s="9" t="s">
        <v>52</v>
      </c>
      <c r="E1225" s="9" t="s">
        <v>53</v>
      </c>
      <c r="F1225" s="9">
        <v>115421.0</v>
      </c>
      <c r="G1225" s="9">
        <v>1.475072635E7</v>
      </c>
      <c r="H1225" s="9">
        <v>1.475072635E7</v>
      </c>
      <c r="I1225" s="9">
        <v>1.449869543E7</v>
      </c>
      <c r="J1225" s="9">
        <v>0.0</v>
      </c>
      <c r="K1225" s="9">
        <v>0.0</v>
      </c>
      <c r="L1225" s="9" t="s">
        <v>59</v>
      </c>
      <c r="M1225" s="9" t="s">
        <v>55</v>
      </c>
      <c r="N1225" s="9">
        <v>1.416345135E7</v>
      </c>
      <c r="O1225" s="9">
        <v>1.416345135E7</v>
      </c>
      <c r="P1225" s="9">
        <v>335256.0</v>
      </c>
      <c r="Q1225" s="9">
        <v>335256.0</v>
      </c>
      <c r="R1225" s="9" t="s">
        <v>60</v>
      </c>
      <c r="S1225" s="9" t="s">
        <v>57</v>
      </c>
      <c r="T1225" s="9" t="s">
        <v>61</v>
      </c>
      <c r="V1225" s="9">
        <v>1.416345135E7</v>
      </c>
      <c r="W1225" s="9">
        <v>335256.0</v>
      </c>
      <c r="X1225" s="9">
        <v>0.0</v>
      </c>
    </row>
    <row r="1226" ht="15.75" customHeight="1">
      <c r="A1226" s="9">
        <v>2129299.0</v>
      </c>
      <c r="B1226" s="9">
        <v>1722106.0</v>
      </c>
      <c r="C1226" s="9">
        <v>30793.0</v>
      </c>
      <c r="D1226" s="9" t="s">
        <v>52</v>
      </c>
      <c r="E1226" s="9" t="s">
        <v>53</v>
      </c>
      <c r="F1226" s="9">
        <v>140506.0</v>
      </c>
      <c r="G1226" s="9">
        <v>1523154.5</v>
      </c>
      <c r="H1226" s="9">
        <v>1523154.5</v>
      </c>
      <c r="I1226" s="9">
        <v>1498804.5</v>
      </c>
      <c r="J1226" s="9">
        <v>0.0</v>
      </c>
      <c r="K1226" s="9">
        <v>0.0</v>
      </c>
      <c r="L1226" s="9" t="s">
        <v>69</v>
      </c>
      <c r="M1226" s="9" t="s">
        <v>55</v>
      </c>
      <c r="N1226" s="9">
        <v>1432304.5</v>
      </c>
      <c r="O1226" s="9">
        <v>1432304.5</v>
      </c>
      <c r="R1226" s="9" t="s">
        <v>60</v>
      </c>
      <c r="S1226" s="9" t="s">
        <v>57</v>
      </c>
      <c r="T1226" s="9" t="s">
        <v>61</v>
      </c>
      <c r="V1226" s="9">
        <v>1432443.58</v>
      </c>
      <c r="W1226" s="9">
        <v>0.0</v>
      </c>
      <c r="X1226" s="9">
        <v>0.0</v>
      </c>
    </row>
    <row r="1227" ht="15.75" customHeight="1">
      <c r="A1227" s="9">
        <v>2130752.0</v>
      </c>
      <c r="B1227" s="9">
        <v>8.3933567E7</v>
      </c>
      <c r="C1227" s="9">
        <v>26757.0</v>
      </c>
      <c r="D1227" s="9" t="s">
        <v>52</v>
      </c>
      <c r="E1227" s="9" t="s">
        <v>53</v>
      </c>
      <c r="F1227" s="9">
        <v>151661.0</v>
      </c>
      <c r="G1227" s="9">
        <v>8.951332504E7</v>
      </c>
      <c r="H1227" s="9">
        <v>7.828712429E7</v>
      </c>
      <c r="I1227" s="9">
        <v>6.354090466E7</v>
      </c>
      <c r="J1227" s="9">
        <v>0.0</v>
      </c>
      <c r="K1227" s="9">
        <v>0.0</v>
      </c>
      <c r="L1227" s="9" t="s">
        <v>59</v>
      </c>
      <c r="M1227" s="9" t="s">
        <v>55</v>
      </c>
      <c r="N1227" s="9">
        <v>8.692080845E7</v>
      </c>
      <c r="O1227" s="9">
        <v>8.516983598E7</v>
      </c>
      <c r="P1227" s="9">
        <v>2592516.59</v>
      </c>
      <c r="Q1227" s="9">
        <v>2333264.94</v>
      </c>
      <c r="R1227" s="9" t="s">
        <v>96</v>
      </c>
      <c r="S1227" s="9" t="s">
        <v>78</v>
      </c>
      <c r="T1227" s="9" t="s">
        <v>79</v>
      </c>
      <c r="U1227" s="9" t="s">
        <v>97</v>
      </c>
    </row>
    <row r="1228" ht="15.75" customHeight="1">
      <c r="A1228" s="9">
        <v>2134396.0</v>
      </c>
      <c r="B1228" s="9">
        <v>5999102.0</v>
      </c>
      <c r="C1228" s="9">
        <v>47518.0</v>
      </c>
      <c r="D1228" s="9" t="s">
        <v>52</v>
      </c>
      <c r="E1228" s="9" t="s">
        <v>53</v>
      </c>
      <c r="F1228" s="9">
        <v>96561.0</v>
      </c>
      <c r="G1228" s="9">
        <v>0.0</v>
      </c>
      <c r="H1228" s="9">
        <v>7.741968249E7</v>
      </c>
      <c r="I1228" s="9">
        <v>639259.35</v>
      </c>
      <c r="J1228" s="9">
        <v>0.0</v>
      </c>
      <c r="K1228" s="9">
        <v>1134806.0</v>
      </c>
      <c r="L1228" s="9" t="s">
        <v>59</v>
      </c>
      <c r="M1228" s="9" t="s">
        <v>65</v>
      </c>
      <c r="N1228" s="9">
        <v>1367402.03</v>
      </c>
      <c r="O1228" s="9">
        <v>1230661.83</v>
      </c>
      <c r="P1228" s="9">
        <v>418002.97</v>
      </c>
      <c r="Q1228" s="9">
        <v>376202.68</v>
      </c>
      <c r="R1228" s="9" t="s">
        <v>66</v>
      </c>
      <c r="S1228" s="9" t="s">
        <v>67</v>
      </c>
      <c r="T1228" s="9" t="s">
        <v>68</v>
      </c>
    </row>
    <row r="1229" ht="15.75" customHeight="1">
      <c r="A1229" s="9">
        <v>2138859.0</v>
      </c>
      <c r="B1229" s="9">
        <v>653778.48</v>
      </c>
      <c r="C1229" s="9">
        <v>30261.0</v>
      </c>
      <c r="D1229" s="9" t="s">
        <v>52</v>
      </c>
      <c r="E1229" s="9" t="s">
        <v>53</v>
      </c>
      <c r="F1229" s="9">
        <v>179087.0</v>
      </c>
      <c r="G1229" s="9">
        <v>653778.48</v>
      </c>
      <c r="H1229" s="9">
        <v>653778.48</v>
      </c>
      <c r="I1229" s="9">
        <v>664139.16</v>
      </c>
      <c r="J1229" s="9">
        <v>0.0</v>
      </c>
      <c r="K1229" s="9">
        <v>0.0</v>
      </c>
      <c r="L1229" s="9" t="s">
        <v>59</v>
      </c>
      <c r="M1229" s="9" t="s">
        <v>55</v>
      </c>
      <c r="N1229" s="9">
        <v>620892.0</v>
      </c>
      <c r="O1229" s="9">
        <v>620892.26</v>
      </c>
      <c r="P1229" s="9">
        <v>620892.0</v>
      </c>
      <c r="Q1229" s="9">
        <v>15346.91</v>
      </c>
      <c r="R1229" s="9" t="s">
        <v>60</v>
      </c>
      <c r="S1229" s="9" t="s">
        <v>57</v>
      </c>
      <c r="T1229" s="9" t="s">
        <v>61</v>
      </c>
      <c r="V1229" s="9">
        <v>620892.26</v>
      </c>
      <c r="W1229" s="9">
        <v>15346.91</v>
      </c>
      <c r="X1229" s="9">
        <v>0.0</v>
      </c>
    </row>
    <row r="1230" ht="15.75" customHeight="1">
      <c r="A1230" s="9">
        <v>2139412.0</v>
      </c>
      <c r="B1230" s="9">
        <v>2675902.0</v>
      </c>
      <c r="C1230" s="9">
        <v>31266.0</v>
      </c>
      <c r="D1230" s="9" t="s">
        <v>52</v>
      </c>
      <c r="E1230" s="9" t="s">
        <v>53</v>
      </c>
      <c r="F1230" s="9">
        <v>177142.0</v>
      </c>
      <c r="G1230" s="9">
        <v>2675802.0</v>
      </c>
      <c r="H1230" s="9">
        <v>2675802.0</v>
      </c>
      <c r="I1230" s="9">
        <v>2404555.19</v>
      </c>
      <c r="J1230" s="9">
        <v>0.0</v>
      </c>
      <c r="K1230" s="9">
        <v>0.0</v>
      </c>
      <c r="L1230" s="9" t="s">
        <v>69</v>
      </c>
      <c r="M1230" s="9" t="s">
        <v>55</v>
      </c>
      <c r="R1230" s="9" t="s">
        <v>60</v>
      </c>
      <c r="S1230" s="9" t="s">
        <v>57</v>
      </c>
      <c r="T1230" s="9" t="s">
        <v>61</v>
      </c>
      <c r="V1230" s="9">
        <v>2404555.0</v>
      </c>
      <c r="W1230" s="9">
        <v>0.0</v>
      </c>
      <c r="X1230" s="9">
        <v>0.0</v>
      </c>
    </row>
    <row r="1231" ht="15.75" customHeight="1">
      <c r="A1231" s="9">
        <v>2140448.0</v>
      </c>
      <c r="B1231" s="9">
        <v>1773225.0</v>
      </c>
      <c r="C1231" s="9">
        <v>30029.0</v>
      </c>
      <c r="D1231" s="9" t="s">
        <v>52</v>
      </c>
      <c r="E1231" s="9" t="s">
        <v>53</v>
      </c>
      <c r="F1231" s="9">
        <v>176683.0</v>
      </c>
      <c r="G1231" s="9">
        <v>1771602.36</v>
      </c>
      <c r="H1231" s="9">
        <v>1771602.36</v>
      </c>
      <c r="I1231" s="9">
        <v>1773225.0</v>
      </c>
      <c r="J1231" s="9">
        <v>0.0</v>
      </c>
      <c r="K1231" s="9">
        <v>0.0</v>
      </c>
      <c r="L1231" s="9" t="s">
        <v>59</v>
      </c>
      <c r="M1231" s="9" t="s">
        <v>55</v>
      </c>
      <c r="N1231" s="9">
        <v>1660402.32</v>
      </c>
      <c r="O1231" s="9">
        <v>1660402.32</v>
      </c>
      <c r="P1231" s="9">
        <v>90200.04</v>
      </c>
      <c r="Q1231" s="9">
        <v>90200.04</v>
      </c>
      <c r="R1231" s="9" t="s">
        <v>60</v>
      </c>
      <c r="S1231" s="9" t="s">
        <v>57</v>
      </c>
      <c r="T1231" s="9" t="s">
        <v>61</v>
      </c>
      <c r="V1231" s="9">
        <v>1662024.0</v>
      </c>
      <c r="W1231" s="9">
        <v>90201.0</v>
      </c>
      <c r="X1231" s="9">
        <v>0.0</v>
      </c>
    </row>
    <row r="1232" ht="15.75" customHeight="1">
      <c r="A1232" s="9">
        <v>2142969.0</v>
      </c>
      <c r="B1232" s="9">
        <v>1902455.0</v>
      </c>
      <c r="C1232" s="9">
        <v>30613.0</v>
      </c>
      <c r="D1232" s="9" t="s">
        <v>52</v>
      </c>
      <c r="E1232" s="9" t="s">
        <v>53</v>
      </c>
      <c r="F1232" s="9">
        <v>176784.0</v>
      </c>
      <c r="G1232" s="9">
        <v>1896797.76</v>
      </c>
      <c r="H1232" s="9">
        <v>1896797.76</v>
      </c>
      <c r="I1232" s="9">
        <v>1855060.32</v>
      </c>
      <c r="J1232" s="9">
        <v>0.0</v>
      </c>
      <c r="K1232" s="9">
        <v>0.0</v>
      </c>
      <c r="L1232" s="9" t="s">
        <v>69</v>
      </c>
      <c r="M1232" s="9" t="s">
        <v>55</v>
      </c>
      <c r="N1232" s="9">
        <v>1772708.18</v>
      </c>
      <c r="O1232" s="9">
        <v>1772708.18</v>
      </c>
      <c r="P1232" s="9">
        <v>88635.41</v>
      </c>
      <c r="Q1232" s="9">
        <v>88635.41</v>
      </c>
      <c r="R1232" s="9" t="s">
        <v>56</v>
      </c>
      <c r="S1232" s="9" t="s">
        <v>57</v>
      </c>
      <c r="T1232" s="9" t="s">
        <v>58</v>
      </c>
      <c r="V1232" s="9">
        <v>1772708.18</v>
      </c>
      <c r="W1232" s="9">
        <v>0.0</v>
      </c>
      <c r="X1232" s="9">
        <v>0.0</v>
      </c>
    </row>
    <row r="1233" ht="15.75" customHeight="1">
      <c r="A1233" s="9">
        <v>2193247.0</v>
      </c>
      <c r="B1233" s="9">
        <v>1.09756009E8</v>
      </c>
      <c r="C1233" s="9">
        <v>45067.0</v>
      </c>
      <c r="D1233" s="9" t="s">
        <v>52</v>
      </c>
      <c r="E1233" s="9" t="s">
        <v>87</v>
      </c>
      <c r="F1233" s="9">
        <v>280513.0</v>
      </c>
      <c r="H1233" s="9">
        <v>2.2384193667E8</v>
      </c>
      <c r="I1233" s="9">
        <v>5.072269839E7</v>
      </c>
      <c r="J1233" s="9">
        <v>5557867.98</v>
      </c>
      <c r="K1233" s="9">
        <v>7531190.0</v>
      </c>
      <c r="L1233" s="9" t="s">
        <v>59</v>
      </c>
      <c r="M1233" s="9" t="s">
        <v>55</v>
      </c>
      <c r="R1233" s="9" t="s">
        <v>115</v>
      </c>
      <c r="S1233" s="9" t="s">
        <v>115</v>
      </c>
    </row>
    <row r="1234" ht="15.75" customHeight="1">
      <c r="A1234" s="9">
        <v>2193247.0</v>
      </c>
      <c r="B1234" s="9">
        <v>1.09756009E8</v>
      </c>
      <c r="C1234" s="9">
        <v>36679.0</v>
      </c>
      <c r="D1234" s="9" t="s">
        <v>52</v>
      </c>
      <c r="E1234" s="9" t="s">
        <v>87</v>
      </c>
      <c r="F1234" s="9">
        <v>280513.0</v>
      </c>
      <c r="G1234" s="9">
        <v>1.6674994825E8</v>
      </c>
      <c r="H1234" s="9">
        <v>2.2384193667E8</v>
      </c>
      <c r="I1234" s="9">
        <v>5.072269839E7</v>
      </c>
      <c r="J1234" s="9">
        <v>5557867.98</v>
      </c>
      <c r="K1234" s="9">
        <v>7531190.0</v>
      </c>
      <c r="L1234" s="9" t="s">
        <v>59</v>
      </c>
      <c r="M1234" s="9" t="s">
        <v>55</v>
      </c>
      <c r="R1234" s="9" t="s">
        <v>72</v>
      </c>
      <c r="S1234" s="9" t="s">
        <v>57</v>
      </c>
      <c r="T1234" s="9" t="s">
        <v>73</v>
      </c>
    </row>
    <row r="1235" ht="15.75" customHeight="1">
      <c r="A1235" s="9">
        <v>2193247.0</v>
      </c>
      <c r="B1235" s="9">
        <v>1.09756009E8</v>
      </c>
      <c r="C1235" s="9">
        <v>40966.0</v>
      </c>
      <c r="D1235" s="9" t="s">
        <v>52</v>
      </c>
      <c r="E1235" s="9" t="s">
        <v>87</v>
      </c>
      <c r="F1235" s="9">
        <v>280513.0</v>
      </c>
      <c r="G1235" s="9">
        <v>1.6674994825E8</v>
      </c>
      <c r="H1235" s="9">
        <v>2.2384193667E8</v>
      </c>
      <c r="I1235" s="9">
        <v>5.072269839E7</v>
      </c>
      <c r="J1235" s="9">
        <v>5557867.98</v>
      </c>
      <c r="K1235" s="9">
        <v>7531190.0</v>
      </c>
      <c r="L1235" s="9" t="s">
        <v>59</v>
      </c>
      <c r="M1235" s="9" t="s">
        <v>55</v>
      </c>
      <c r="R1235" s="9" t="s">
        <v>115</v>
      </c>
      <c r="S1235" s="9" t="s">
        <v>115</v>
      </c>
      <c r="V1235" s="9">
        <v>1850113.86</v>
      </c>
    </row>
    <row r="1236" ht="15.75" customHeight="1">
      <c r="A1236" s="9">
        <v>2193247.0</v>
      </c>
      <c r="B1236" s="9">
        <v>1.09756009E8</v>
      </c>
      <c r="C1236" s="9">
        <v>46496.0</v>
      </c>
      <c r="D1236" s="9" t="s">
        <v>52</v>
      </c>
      <c r="E1236" s="9" t="s">
        <v>87</v>
      </c>
      <c r="F1236" s="9">
        <v>280513.0</v>
      </c>
      <c r="H1236" s="9">
        <v>2.2384193667E8</v>
      </c>
      <c r="I1236" s="9">
        <v>5.072269839E7</v>
      </c>
      <c r="J1236" s="9">
        <v>5557867.98</v>
      </c>
      <c r="K1236" s="9">
        <v>7531190.0</v>
      </c>
      <c r="L1236" s="9" t="s">
        <v>59</v>
      </c>
      <c r="M1236" s="9" t="s">
        <v>55</v>
      </c>
      <c r="R1236" s="9" t="s">
        <v>115</v>
      </c>
      <c r="S1236" s="9" t="s">
        <v>115</v>
      </c>
      <c r="V1236" s="9">
        <v>1549001.4</v>
      </c>
    </row>
    <row r="1237" ht="15.75" customHeight="1">
      <c r="A1237" s="9">
        <v>2193247.0</v>
      </c>
      <c r="B1237" s="9">
        <v>1.09756009E8</v>
      </c>
      <c r="C1237" s="9">
        <v>38533.0</v>
      </c>
      <c r="D1237" s="9" t="s">
        <v>52</v>
      </c>
      <c r="E1237" s="9" t="s">
        <v>87</v>
      </c>
      <c r="F1237" s="9">
        <v>280513.0</v>
      </c>
      <c r="G1237" s="9">
        <v>1.6674994825E8</v>
      </c>
      <c r="H1237" s="9">
        <v>2.2384193667E8</v>
      </c>
      <c r="I1237" s="9">
        <v>5.072269839E7</v>
      </c>
      <c r="J1237" s="9">
        <v>5557867.98</v>
      </c>
      <c r="K1237" s="9">
        <v>7531190.0</v>
      </c>
      <c r="L1237" s="9" t="s">
        <v>59</v>
      </c>
      <c r="M1237" s="9" t="s">
        <v>55</v>
      </c>
      <c r="R1237" s="9" t="s">
        <v>115</v>
      </c>
      <c r="S1237" s="9" t="s">
        <v>115</v>
      </c>
    </row>
    <row r="1238" ht="15.75" customHeight="1">
      <c r="A1238" s="9">
        <v>2193247.0</v>
      </c>
      <c r="B1238" s="9">
        <v>1.09756009E8</v>
      </c>
      <c r="C1238" s="9">
        <v>45074.0</v>
      </c>
      <c r="D1238" s="9" t="s">
        <v>52</v>
      </c>
      <c r="E1238" s="9" t="s">
        <v>87</v>
      </c>
      <c r="F1238" s="9">
        <v>280513.0</v>
      </c>
      <c r="H1238" s="9">
        <v>2.2384193667E8</v>
      </c>
      <c r="I1238" s="9">
        <v>5.072269839E7</v>
      </c>
      <c r="J1238" s="9">
        <v>5557867.98</v>
      </c>
      <c r="K1238" s="9">
        <v>7531190.0</v>
      </c>
      <c r="L1238" s="9" t="s">
        <v>59</v>
      </c>
      <c r="M1238" s="9" t="s">
        <v>55</v>
      </c>
      <c r="R1238" s="9" t="s">
        <v>115</v>
      </c>
      <c r="S1238" s="9" t="s">
        <v>115</v>
      </c>
      <c r="V1238" s="9">
        <v>773282.56</v>
      </c>
    </row>
    <row r="1239" ht="15.75" customHeight="1">
      <c r="A1239" s="9">
        <v>2193247.0</v>
      </c>
      <c r="B1239" s="9">
        <v>1.09756009E8</v>
      </c>
      <c r="C1239" s="9">
        <v>40973.0</v>
      </c>
      <c r="D1239" s="9" t="s">
        <v>52</v>
      </c>
      <c r="E1239" s="9" t="s">
        <v>87</v>
      </c>
      <c r="F1239" s="9">
        <v>280513.0</v>
      </c>
      <c r="G1239" s="9">
        <v>1.6674994825E8</v>
      </c>
      <c r="H1239" s="9">
        <v>2.2384193667E8</v>
      </c>
      <c r="I1239" s="9">
        <v>5.072269839E7</v>
      </c>
      <c r="J1239" s="9">
        <v>5557867.98</v>
      </c>
      <c r="K1239" s="9">
        <v>7531190.0</v>
      </c>
      <c r="L1239" s="9" t="s">
        <v>59</v>
      </c>
      <c r="M1239" s="9" t="s">
        <v>55</v>
      </c>
      <c r="R1239" s="9" t="s">
        <v>115</v>
      </c>
      <c r="S1239" s="9" t="s">
        <v>115</v>
      </c>
      <c r="V1239" s="9">
        <v>1693538.57</v>
      </c>
    </row>
    <row r="1240" ht="15.75" customHeight="1">
      <c r="A1240" s="9">
        <v>2193247.0</v>
      </c>
      <c r="B1240" s="9">
        <v>1.09756009E8</v>
      </c>
      <c r="C1240" s="9">
        <v>43445.0</v>
      </c>
      <c r="D1240" s="9" t="s">
        <v>52</v>
      </c>
      <c r="E1240" s="9" t="s">
        <v>87</v>
      </c>
      <c r="F1240" s="9">
        <v>280513.0</v>
      </c>
      <c r="H1240" s="9">
        <v>2.2384193667E8</v>
      </c>
      <c r="I1240" s="9">
        <v>5.072269839E7</v>
      </c>
      <c r="J1240" s="9">
        <v>5557867.98</v>
      </c>
      <c r="K1240" s="9">
        <v>7531190.0</v>
      </c>
      <c r="L1240" s="9" t="s">
        <v>59</v>
      </c>
      <c r="M1240" s="9" t="s">
        <v>55</v>
      </c>
      <c r="R1240" s="9" t="s">
        <v>115</v>
      </c>
      <c r="S1240" s="9" t="s">
        <v>115</v>
      </c>
    </row>
    <row r="1241" ht="15.75" customHeight="1">
      <c r="A1241" s="9">
        <v>2193247.0</v>
      </c>
      <c r="B1241" s="9">
        <v>1.09756009E8</v>
      </c>
      <c r="C1241" s="9">
        <v>36693.0</v>
      </c>
      <c r="D1241" s="9" t="s">
        <v>52</v>
      </c>
      <c r="E1241" s="9" t="s">
        <v>87</v>
      </c>
      <c r="F1241" s="9">
        <v>280513.0</v>
      </c>
      <c r="G1241" s="9">
        <v>1.6674994825E8</v>
      </c>
      <c r="H1241" s="9">
        <v>2.2384193667E8</v>
      </c>
      <c r="I1241" s="9">
        <v>5.072269839E7</v>
      </c>
      <c r="J1241" s="9">
        <v>5557867.98</v>
      </c>
      <c r="K1241" s="9">
        <v>7531190.0</v>
      </c>
      <c r="L1241" s="9" t="s">
        <v>59</v>
      </c>
      <c r="M1241" s="9" t="s">
        <v>55</v>
      </c>
      <c r="R1241" s="9" t="s">
        <v>115</v>
      </c>
      <c r="S1241" s="9" t="s">
        <v>115</v>
      </c>
      <c r="V1241" s="9">
        <v>1249723.16</v>
      </c>
    </row>
    <row r="1242" ht="15.75" customHeight="1">
      <c r="A1242" s="9">
        <v>2193247.0</v>
      </c>
      <c r="B1242" s="9">
        <v>1.09756009E8</v>
      </c>
      <c r="C1242" s="9">
        <v>36686.0</v>
      </c>
      <c r="D1242" s="9" t="s">
        <v>52</v>
      </c>
      <c r="E1242" s="9" t="s">
        <v>87</v>
      </c>
      <c r="F1242" s="9">
        <v>280513.0</v>
      </c>
      <c r="G1242" s="9">
        <v>1.6674994825E8</v>
      </c>
      <c r="H1242" s="9">
        <v>2.2384193667E8</v>
      </c>
      <c r="I1242" s="9">
        <v>5.072269839E7</v>
      </c>
      <c r="J1242" s="9">
        <v>5557867.98</v>
      </c>
      <c r="K1242" s="9">
        <v>7531190.0</v>
      </c>
      <c r="L1242" s="9" t="s">
        <v>59</v>
      </c>
      <c r="M1242" s="9" t="s">
        <v>55</v>
      </c>
      <c r="R1242" s="9" t="s">
        <v>115</v>
      </c>
      <c r="S1242" s="9" t="s">
        <v>115</v>
      </c>
    </row>
    <row r="1243" ht="15.75" customHeight="1">
      <c r="A1243" s="9">
        <v>2193247.0</v>
      </c>
      <c r="B1243" s="9">
        <v>1.09756009E8</v>
      </c>
      <c r="C1243" s="9">
        <v>48286.0</v>
      </c>
      <c r="D1243" s="9" t="s">
        <v>52</v>
      </c>
      <c r="E1243" s="9" t="s">
        <v>87</v>
      </c>
      <c r="F1243" s="9">
        <v>280513.0</v>
      </c>
      <c r="H1243" s="9">
        <v>2.2384193667E8</v>
      </c>
      <c r="I1243" s="9">
        <v>5.072269839E7</v>
      </c>
      <c r="J1243" s="9">
        <v>5557867.98</v>
      </c>
      <c r="K1243" s="9">
        <v>7531190.0</v>
      </c>
      <c r="L1243" s="9" t="s">
        <v>59</v>
      </c>
      <c r="M1243" s="9" t="s">
        <v>55</v>
      </c>
      <c r="N1243" s="9">
        <v>2889788.2</v>
      </c>
      <c r="O1243" s="9">
        <v>2600809.38</v>
      </c>
      <c r="P1243" s="9">
        <v>344529.58</v>
      </c>
      <c r="Q1243" s="9">
        <v>310076.63</v>
      </c>
      <c r="R1243" s="9" t="s">
        <v>100</v>
      </c>
      <c r="S1243" s="9" t="s">
        <v>101</v>
      </c>
      <c r="T1243" s="9" t="s">
        <v>102</v>
      </c>
    </row>
    <row r="1244" ht="15.75" customHeight="1">
      <c r="A1244" s="9">
        <v>2193247.0</v>
      </c>
      <c r="B1244" s="9">
        <v>1.09756009E8</v>
      </c>
      <c r="C1244" s="9">
        <v>40963.0</v>
      </c>
      <c r="D1244" s="9" t="s">
        <v>52</v>
      </c>
      <c r="E1244" s="9" t="s">
        <v>87</v>
      </c>
      <c r="F1244" s="9">
        <v>280513.0</v>
      </c>
      <c r="G1244" s="9">
        <v>1.6674994825E8</v>
      </c>
      <c r="H1244" s="9">
        <v>2.2384193667E8</v>
      </c>
      <c r="I1244" s="9">
        <v>5.072269839E7</v>
      </c>
      <c r="J1244" s="9">
        <v>5557867.98</v>
      </c>
      <c r="K1244" s="9">
        <v>7531190.0</v>
      </c>
      <c r="L1244" s="9" t="s">
        <v>59</v>
      </c>
      <c r="M1244" s="9" t="s">
        <v>55</v>
      </c>
      <c r="R1244" s="9" t="s">
        <v>115</v>
      </c>
      <c r="S1244" s="9" t="s">
        <v>115</v>
      </c>
      <c r="V1244" s="9">
        <v>1240629.23</v>
      </c>
    </row>
    <row r="1245" ht="15.75" customHeight="1">
      <c r="A1245" s="9">
        <v>2193247.0</v>
      </c>
      <c r="B1245" s="9">
        <v>0.0</v>
      </c>
      <c r="C1245" s="9">
        <v>42376.0</v>
      </c>
      <c r="D1245" s="9" t="s">
        <v>52</v>
      </c>
      <c r="E1245" s="9" t="s">
        <v>87</v>
      </c>
      <c r="F1245" s="9">
        <v>280513.0</v>
      </c>
      <c r="H1245" s="9">
        <v>2.2384193667E8</v>
      </c>
      <c r="I1245" s="9">
        <v>5.072269839E7</v>
      </c>
      <c r="J1245" s="9">
        <v>5557867.98</v>
      </c>
      <c r="K1245" s="9">
        <v>7531190.0</v>
      </c>
      <c r="L1245" s="9" t="s">
        <v>59</v>
      </c>
      <c r="M1245" s="9" t="s">
        <v>55</v>
      </c>
      <c r="R1245" s="9" t="s">
        <v>115</v>
      </c>
      <c r="S1245" s="9" t="s">
        <v>115</v>
      </c>
      <c r="V1245" s="9">
        <v>2286529.38</v>
      </c>
    </row>
    <row r="1246" ht="15.75" customHeight="1">
      <c r="A1246" s="9">
        <v>2193247.0</v>
      </c>
      <c r="B1246" s="9">
        <v>1.09756009E8</v>
      </c>
      <c r="C1246" s="9">
        <v>43673.0</v>
      </c>
      <c r="D1246" s="9" t="s">
        <v>52</v>
      </c>
      <c r="E1246" s="9" t="s">
        <v>87</v>
      </c>
      <c r="F1246" s="9">
        <v>280513.0</v>
      </c>
      <c r="H1246" s="9">
        <v>2.2384193667E8</v>
      </c>
      <c r="I1246" s="9">
        <v>5.072269839E7</v>
      </c>
      <c r="J1246" s="9">
        <v>5557867.98</v>
      </c>
      <c r="K1246" s="9">
        <v>7531190.0</v>
      </c>
      <c r="L1246" s="9" t="s">
        <v>59</v>
      </c>
      <c r="M1246" s="9" t="s">
        <v>65</v>
      </c>
      <c r="N1246" s="9">
        <v>227898.51</v>
      </c>
      <c r="O1246" s="9">
        <v>205108.66</v>
      </c>
      <c r="R1246" s="9" t="s">
        <v>72</v>
      </c>
      <c r="S1246" s="9" t="s">
        <v>57</v>
      </c>
      <c r="T1246" s="9" t="s">
        <v>73</v>
      </c>
      <c r="V1246" s="9">
        <v>205108.66</v>
      </c>
      <c r="W1246" s="9">
        <v>34000.0</v>
      </c>
    </row>
    <row r="1247" ht="15.75" customHeight="1">
      <c r="A1247" s="9">
        <v>2193247.0</v>
      </c>
      <c r="B1247" s="9">
        <v>1.09756009E8</v>
      </c>
      <c r="C1247" s="9">
        <v>45852.0</v>
      </c>
      <c r="D1247" s="9" t="s">
        <v>52</v>
      </c>
      <c r="E1247" s="9" t="s">
        <v>87</v>
      </c>
      <c r="F1247" s="9">
        <v>280513.0</v>
      </c>
      <c r="H1247" s="9">
        <v>2.2384193667E8</v>
      </c>
      <c r="I1247" s="9">
        <v>5.072269839E7</v>
      </c>
      <c r="J1247" s="9">
        <v>5557867.98</v>
      </c>
      <c r="K1247" s="9">
        <v>7531190.0</v>
      </c>
      <c r="L1247" s="9" t="s">
        <v>59</v>
      </c>
      <c r="M1247" s="9" t="s">
        <v>55</v>
      </c>
      <c r="N1247" s="9">
        <v>5925597.68</v>
      </c>
      <c r="O1247" s="9">
        <v>5333037.92</v>
      </c>
      <c r="R1247" s="9" t="s">
        <v>70</v>
      </c>
      <c r="S1247" s="9" t="s">
        <v>57</v>
      </c>
      <c r="T1247" s="9" t="s">
        <v>71</v>
      </c>
    </row>
    <row r="1248" ht="15.75" customHeight="1">
      <c r="A1248" s="9">
        <v>2193247.0</v>
      </c>
      <c r="B1248" s="9">
        <v>1.09756009E8</v>
      </c>
      <c r="C1248" s="9">
        <v>45841.0</v>
      </c>
      <c r="D1248" s="9" t="s">
        <v>52</v>
      </c>
      <c r="E1248" s="9" t="s">
        <v>87</v>
      </c>
      <c r="F1248" s="9">
        <v>280513.0</v>
      </c>
      <c r="H1248" s="9">
        <v>2.2384193667E8</v>
      </c>
      <c r="I1248" s="9">
        <v>5.072269839E7</v>
      </c>
      <c r="J1248" s="9">
        <v>5557867.98</v>
      </c>
      <c r="K1248" s="9">
        <v>7531190.0</v>
      </c>
      <c r="L1248" s="9" t="s">
        <v>59</v>
      </c>
      <c r="M1248" s="9" t="s">
        <v>55</v>
      </c>
      <c r="N1248" s="9">
        <v>4437230.5</v>
      </c>
      <c r="O1248" s="9">
        <v>3993507.45</v>
      </c>
      <c r="R1248" s="9" t="s">
        <v>72</v>
      </c>
      <c r="S1248" s="9" t="s">
        <v>57</v>
      </c>
      <c r="T1248" s="9" t="s">
        <v>73</v>
      </c>
      <c r="V1248" s="9">
        <v>4716698.02</v>
      </c>
      <c r="W1248" s="9">
        <v>367965.56</v>
      </c>
    </row>
    <row r="1249" ht="15.75" customHeight="1">
      <c r="A1249" s="9">
        <v>2193247.0</v>
      </c>
      <c r="B1249" s="9">
        <v>1.09756009E8</v>
      </c>
      <c r="C1249" s="9">
        <v>42382.0</v>
      </c>
      <c r="D1249" s="9" t="s">
        <v>52</v>
      </c>
      <c r="E1249" s="9" t="s">
        <v>87</v>
      </c>
      <c r="F1249" s="9">
        <v>280513.0</v>
      </c>
      <c r="H1249" s="9">
        <v>2.2384193667E8</v>
      </c>
      <c r="I1249" s="9">
        <v>5.072269839E7</v>
      </c>
      <c r="J1249" s="9">
        <v>5557867.98</v>
      </c>
      <c r="K1249" s="9">
        <v>7531190.0</v>
      </c>
      <c r="L1249" s="9" t="s">
        <v>59</v>
      </c>
      <c r="M1249" s="9" t="s">
        <v>55</v>
      </c>
      <c r="R1249" s="9" t="s">
        <v>115</v>
      </c>
      <c r="S1249" s="9" t="s">
        <v>115</v>
      </c>
      <c r="V1249" s="9">
        <v>2211935.37</v>
      </c>
    </row>
    <row r="1250" ht="15.75" customHeight="1">
      <c r="A1250" s="9">
        <v>2193247.0</v>
      </c>
      <c r="B1250" s="9">
        <v>1.09756009E8</v>
      </c>
      <c r="C1250" s="9">
        <v>38536.0</v>
      </c>
      <c r="D1250" s="9" t="s">
        <v>52</v>
      </c>
      <c r="E1250" s="9" t="s">
        <v>87</v>
      </c>
      <c r="F1250" s="9">
        <v>280513.0</v>
      </c>
      <c r="G1250" s="9">
        <v>1.6674994825E8</v>
      </c>
      <c r="H1250" s="9">
        <v>2.2384193667E8</v>
      </c>
      <c r="I1250" s="9">
        <v>5.072269839E7</v>
      </c>
      <c r="J1250" s="9">
        <v>5557867.98</v>
      </c>
      <c r="K1250" s="9">
        <v>7531190.0</v>
      </c>
      <c r="L1250" s="9" t="s">
        <v>59</v>
      </c>
      <c r="M1250" s="9" t="s">
        <v>55</v>
      </c>
      <c r="R1250" s="9" t="s">
        <v>115</v>
      </c>
      <c r="S1250" s="9" t="s">
        <v>115</v>
      </c>
      <c r="V1250" s="9">
        <v>813150.07</v>
      </c>
    </row>
    <row r="1251" ht="15.75" customHeight="1">
      <c r="A1251" s="9">
        <v>2193247.0</v>
      </c>
      <c r="B1251" s="9">
        <v>1.09756009E8</v>
      </c>
      <c r="C1251" s="9">
        <v>45075.0</v>
      </c>
      <c r="D1251" s="9" t="s">
        <v>52</v>
      </c>
      <c r="E1251" s="9" t="s">
        <v>87</v>
      </c>
      <c r="F1251" s="9">
        <v>280513.0</v>
      </c>
      <c r="H1251" s="9">
        <v>2.2384193667E8</v>
      </c>
      <c r="I1251" s="9">
        <v>5.072269839E7</v>
      </c>
      <c r="J1251" s="9">
        <v>5557867.98</v>
      </c>
      <c r="K1251" s="9">
        <v>7531190.0</v>
      </c>
      <c r="L1251" s="9" t="s">
        <v>59</v>
      </c>
      <c r="M1251" s="9" t="s">
        <v>55</v>
      </c>
      <c r="R1251" s="9" t="s">
        <v>115</v>
      </c>
      <c r="S1251" s="9" t="s">
        <v>115</v>
      </c>
      <c r="V1251" s="9">
        <v>2430978.39</v>
      </c>
    </row>
    <row r="1252" ht="15.75" customHeight="1">
      <c r="A1252" s="9">
        <v>2193247.0</v>
      </c>
      <c r="B1252" s="9">
        <v>1.09756009E8</v>
      </c>
      <c r="C1252" s="9">
        <v>40965.0</v>
      </c>
      <c r="D1252" s="9" t="s">
        <v>52</v>
      </c>
      <c r="E1252" s="9" t="s">
        <v>87</v>
      </c>
      <c r="F1252" s="9">
        <v>280513.0</v>
      </c>
      <c r="G1252" s="9">
        <v>1.6674994825E8</v>
      </c>
      <c r="H1252" s="9">
        <v>2.2384193667E8</v>
      </c>
      <c r="I1252" s="9">
        <v>5.072269839E7</v>
      </c>
      <c r="J1252" s="9">
        <v>5557867.98</v>
      </c>
      <c r="K1252" s="9">
        <v>7531190.0</v>
      </c>
      <c r="L1252" s="9" t="s">
        <v>59</v>
      </c>
      <c r="M1252" s="9" t="s">
        <v>55</v>
      </c>
      <c r="R1252" s="9" t="s">
        <v>115</v>
      </c>
      <c r="S1252" s="9" t="s">
        <v>115</v>
      </c>
      <c r="V1252" s="9">
        <v>867094.01</v>
      </c>
    </row>
    <row r="1253" ht="15.75" customHeight="1">
      <c r="A1253" s="9">
        <v>2193247.0</v>
      </c>
      <c r="B1253" s="9">
        <v>1.09756009E8</v>
      </c>
      <c r="C1253" s="9">
        <v>36685.0</v>
      </c>
      <c r="D1253" s="9" t="s">
        <v>52</v>
      </c>
      <c r="E1253" s="9" t="s">
        <v>87</v>
      </c>
      <c r="F1253" s="9">
        <v>280513.0</v>
      </c>
      <c r="G1253" s="9">
        <v>1.6674994825E8</v>
      </c>
      <c r="H1253" s="9">
        <v>2.2384193667E8</v>
      </c>
      <c r="I1253" s="9">
        <v>5.072269839E7</v>
      </c>
      <c r="J1253" s="9">
        <v>5557867.98</v>
      </c>
      <c r="K1253" s="9">
        <v>7531190.0</v>
      </c>
      <c r="L1253" s="9" t="s">
        <v>59</v>
      </c>
      <c r="M1253" s="9" t="s">
        <v>55</v>
      </c>
      <c r="R1253" s="9" t="s">
        <v>115</v>
      </c>
      <c r="S1253" s="9" t="s">
        <v>115</v>
      </c>
      <c r="V1253" s="9">
        <v>2014352.26</v>
      </c>
    </row>
    <row r="1254" ht="15.75" customHeight="1">
      <c r="A1254" s="9">
        <v>2193247.0</v>
      </c>
      <c r="B1254" s="9">
        <v>1.09756009E8</v>
      </c>
      <c r="C1254" s="9">
        <v>45073.0</v>
      </c>
      <c r="D1254" s="9" t="s">
        <v>52</v>
      </c>
      <c r="E1254" s="9" t="s">
        <v>87</v>
      </c>
      <c r="F1254" s="9">
        <v>280513.0</v>
      </c>
      <c r="H1254" s="9">
        <v>2.2384193667E8</v>
      </c>
      <c r="I1254" s="9">
        <v>5.072269839E7</v>
      </c>
      <c r="J1254" s="9">
        <v>5557867.98</v>
      </c>
      <c r="K1254" s="9">
        <v>7531190.0</v>
      </c>
      <c r="L1254" s="9" t="s">
        <v>59</v>
      </c>
      <c r="M1254" s="9" t="s">
        <v>55</v>
      </c>
      <c r="R1254" s="9" t="s">
        <v>115</v>
      </c>
      <c r="S1254" s="9" t="s">
        <v>115</v>
      </c>
      <c r="V1254" s="9">
        <v>1589264.7</v>
      </c>
    </row>
    <row r="1255" ht="15.75" customHeight="1">
      <c r="A1255" s="9">
        <v>2193247.0</v>
      </c>
      <c r="B1255" s="9">
        <v>1.09756009E8</v>
      </c>
      <c r="C1255" s="9">
        <v>38987.0</v>
      </c>
      <c r="D1255" s="9" t="s">
        <v>52</v>
      </c>
      <c r="E1255" s="9" t="s">
        <v>87</v>
      </c>
      <c r="F1255" s="9">
        <v>280513.0</v>
      </c>
      <c r="G1255" s="9">
        <v>1.6674994825E8</v>
      </c>
      <c r="H1255" s="9">
        <v>2.2384193667E8</v>
      </c>
      <c r="I1255" s="9">
        <v>5.072269839E7</v>
      </c>
      <c r="J1255" s="9">
        <v>5557867.98</v>
      </c>
      <c r="K1255" s="9">
        <v>7531190.0</v>
      </c>
      <c r="L1255" s="9" t="s">
        <v>59</v>
      </c>
      <c r="M1255" s="9" t="s">
        <v>55</v>
      </c>
      <c r="R1255" s="9" t="s">
        <v>115</v>
      </c>
      <c r="S1255" s="9" t="s">
        <v>115</v>
      </c>
      <c r="V1255" s="9">
        <v>1128244.95</v>
      </c>
    </row>
    <row r="1256" ht="15.75" customHeight="1">
      <c r="A1256" s="9">
        <v>2193247.0</v>
      </c>
      <c r="B1256" s="9">
        <v>1.09756009E8</v>
      </c>
      <c r="C1256" s="9">
        <v>36683.0</v>
      </c>
      <c r="D1256" s="9" t="s">
        <v>52</v>
      </c>
      <c r="E1256" s="9" t="s">
        <v>87</v>
      </c>
      <c r="F1256" s="9">
        <v>280513.0</v>
      </c>
      <c r="G1256" s="9">
        <v>1.6674994825E8</v>
      </c>
      <c r="H1256" s="9">
        <v>2.2384193667E8</v>
      </c>
      <c r="I1256" s="9">
        <v>5.072269839E7</v>
      </c>
      <c r="J1256" s="9">
        <v>5557867.98</v>
      </c>
      <c r="K1256" s="9">
        <v>7531190.0</v>
      </c>
      <c r="L1256" s="9" t="s">
        <v>59</v>
      </c>
      <c r="M1256" s="9" t="s">
        <v>55</v>
      </c>
      <c r="R1256" s="9" t="s">
        <v>56</v>
      </c>
      <c r="S1256" s="9" t="s">
        <v>57</v>
      </c>
      <c r="T1256" s="9" t="s">
        <v>58</v>
      </c>
    </row>
    <row r="1257" ht="15.75" customHeight="1">
      <c r="A1257" s="9">
        <v>2193247.0</v>
      </c>
      <c r="B1257" s="9">
        <v>1.09756009E8</v>
      </c>
      <c r="C1257" s="9">
        <v>38534.0</v>
      </c>
      <c r="D1257" s="9" t="s">
        <v>52</v>
      </c>
      <c r="E1257" s="9" t="s">
        <v>87</v>
      </c>
      <c r="F1257" s="9">
        <v>280513.0</v>
      </c>
      <c r="G1257" s="9">
        <v>1.6674994825E8</v>
      </c>
      <c r="H1257" s="9">
        <v>2.2384193667E8</v>
      </c>
      <c r="I1257" s="9">
        <v>5.072269839E7</v>
      </c>
      <c r="J1257" s="9">
        <v>5557867.98</v>
      </c>
      <c r="K1257" s="9">
        <v>7531190.0</v>
      </c>
      <c r="L1257" s="9" t="s">
        <v>59</v>
      </c>
      <c r="M1257" s="9" t="s">
        <v>55</v>
      </c>
      <c r="R1257" s="9" t="s">
        <v>115</v>
      </c>
      <c r="S1257" s="9" t="s">
        <v>115</v>
      </c>
      <c r="V1257" s="9">
        <v>607424.25</v>
      </c>
    </row>
    <row r="1258" ht="15.75" customHeight="1">
      <c r="A1258" s="9">
        <v>2197003.0</v>
      </c>
      <c r="B1258" s="9">
        <v>2422381.0</v>
      </c>
      <c r="C1258" s="9">
        <v>33249.0</v>
      </c>
      <c r="D1258" s="9" t="s">
        <v>52</v>
      </c>
      <c r="E1258" s="9" t="s">
        <v>53</v>
      </c>
      <c r="F1258" s="9">
        <v>295185.0</v>
      </c>
      <c r="G1258" s="9">
        <v>3114939.73</v>
      </c>
      <c r="H1258" s="9">
        <v>3138746.09</v>
      </c>
      <c r="I1258" s="9">
        <v>2888746.09</v>
      </c>
      <c r="J1258" s="9">
        <v>0.0</v>
      </c>
      <c r="K1258" s="9">
        <v>0.0</v>
      </c>
      <c r="L1258" s="9" t="s">
        <v>59</v>
      </c>
      <c r="M1258" s="9" t="s">
        <v>55</v>
      </c>
      <c r="N1258" s="9">
        <v>2591512.96</v>
      </c>
      <c r="O1258" s="9">
        <v>2591512.96</v>
      </c>
      <c r="P1258" s="9">
        <v>49022.26</v>
      </c>
      <c r="Q1258" s="9">
        <v>41544.28</v>
      </c>
      <c r="R1258" s="9" t="s">
        <v>94</v>
      </c>
      <c r="S1258" s="9" t="s">
        <v>57</v>
      </c>
      <c r="T1258" s="9" t="s">
        <v>95</v>
      </c>
    </row>
    <row r="1259" ht="15.75" customHeight="1">
      <c r="A1259" s="9">
        <v>2197203.0</v>
      </c>
      <c r="B1259" s="9">
        <v>1995365.0</v>
      </c>
      <c r="C1259" s="9">
        <v>32171.0</v>
      </c>
      <c r="D1259" s="9" t="s">
        <v>52</v>
      </c>
      <c r="E1259" s="9" t="s">
        <v>53</v>
      </c>
      <c r="F1259" s="9">
        <v>280758.0</v>
      </c>
      <c r="G1259" s="9">
        <v>2161200.74</v>
      </c>
      <c r="H1259" s="9">
        <v>2161200.74</v>
      </c>
      <c r="I1259" s="9">
        <v>1993384.58</v>
      </c>
      <c r="J1259" s="9">
        <v>0.0</v>
      </c>
      <c r="K1259" s="9">
        <v>0.0</v>
      </c>
      <c r="L1259" s="9" t="s">
        <v>59</v>
      </c>
      <c r="M1259" s="9" t="s">
        <v>55</v>
      </c>
      <c r="N1259" s="9">
        <v>1943807.51</v>
      </c>
      <c r="O1259" s="9">
        <v>1943807.51</v>
      </c>
      <c r="P1259" s="9">
        <v>49840.0</v>
      </c>
      <c r="Q1259" s="9">
        <v>49840.0</v>
      </c>
      <c r="R1259" s="9" t="s">
        <v>94</v>
      </c>
      <c r="S1259" s="9" t="s">
        <v>57</v>
      </c>
      <c r="T1259" s="9" t="s">
        <v>95</v>
      </c>
    </row>
    <row r="1260" ht="15.75" customHeight="1">
      <c r="A1260" s="9">
        <v>2198556.0</v>
      </c>
      <c r="B1260" s="9">
        <v>7152251.0</v>
      </c>
      <c r="C1260" s="9">
        <v>39339.0</v>
      </c>
      <c r="D1260" s="9" t="s">
        <v>52</v>
      </c>
      <c r="E1260" s="9" t="s">
        <v>53</v>
      </c>
      <c r="F1260" s="9">
        <v>286255.0</v>
      </c>
      <c r="G1260" s="9">
        <v>8840225.78</v>
      </c>
      <c r="H1260" s="9">
        <v>9760702.26</v>
      </c>
      <c r="I1260" s="9">
        <v>9182255.03</v>
      </c>
      <c r="J1260" s="9">
        <v>0.0</v>
      </c>
      <c r="K1260" s="9">
        <v>0.0</v>
      </c>
      <c r="L1260" s="9" t="s">
        <v>59</v>
      </c>
      <c r="M1260" s="9" t="s">
        <v>55</v>
      </c>
      <c r="N1260" s="9">
        <v>8215829.76</v>
      </c>
      <c r="O1260" s="9">
        <v>8215829.76</v>
      </c>
      <c r="P1260" s="9">
        <v>329253.0</v>
      </c>
      <c r="Q1260" s="9">
        <v>329252.57</v>
      </c>
      <c r="R1260" s="9" t="s">
        <v>56</v>
      </c>
      <c r="S1260" s="9" t="s">
        <v>57</v>
      </c>
      <c r="T1260" s="9" t="s">
        <v>58</v>
      </c>
      <c r="V1260" s="9">
        <v>9136306.23</v>
      </c>
      <c r="W1260" s="9">
        <v>0.0</v>
      </c>
      <c r="X1260" s="9">
        <v>0.0</v>
      </c>
    </row>
    <row r="1261" ht="15.75" customHeight="1">
      <c r="A1261" s="9">
        <v>2199694.0</v>
      </c>
      <c r="B1261" s="9">
        <v>7495685.0</v>
      </c>
      <c r="C1261" s="9">
        <v>32323.0</v>
      </c>
      <c r="D1261" s="9" t="s">
        <v>52</v>
      </c>
      <c r="E1261" s="9" t="s">
        <v>53</v>
      </c>
      <c r="F1261" s="9">
        <v>292686.0</v>
      </c>
      <c r="G1261" s="9">
        <v>8202756.6</v>
      </c>
      <c r="H1261" s="9">
        <v>8202756.6</v>
      </c>
      <c r="I1261" s="9">
        <v>8005963.28</v>
      </c>
      <c r="J1261" s="9">
        <v>0.0</v>
      </c>
      <c r="K1261" s="9">
        <v>0.0</v>
      </c>
      <c r="L1261" s="9" t="s">
        <v>69</v>
      </c>
      <c r="M1261" s="9" t="s">
        <v>55</v>
      </c>
      <c r="N1261" s="9">
        <v>7314006.0</v>
      </c>
      <c r="O1261" s="9">
        <v>6818141.18</v>
      </c>
      <c r="P1261" s="9">
        <v>185673.0</v>
      </c>
      <c r="Q1261" s="9">
        <v>157350.0</v>
      </c>
      <c r="R1261" s="9" t="s">
        <v>60</v>
      </c>
      <c r="S1261" s="9" t="s">
        <v>57</v>
      </c>
      <c r="T1261" s="9" t="s">
        <v>61</v>
      </c>
      <c r="V1261" s="9">
        <v>7868322.28</v>
      </c>
      <c r="W1261" s="9">
        <v>0.0</v>
      </c>
      <c r="X1261" s="9">
        <v>0.0</v>
      </c>
    </row>
    <row r="1262" ht="15.75" customHeight="1">
      <c r="A1262" s="9">
        <v>2201881.0</v>
      </c>
      <c r="B1262" s="9">
        <v>2.213868E7</v>
      </c>
      <c r="C1262" s="9">
        <v>39340.0</v>
      </c>
      <c r="D1262" s="9" t="s">
        <v>52</v>
      </c>
      <c r="E1262" s="9" t="s">
        <v>53</v>
      </c>
      <c r="F1262" s="9">
        <v>303461.0</v>
      </c>
      <c r="G1262" s="9">
        <v>1.641940658E7</v>
      </c>
      <c r="H1262" s="9">
        <v>1.641940658E7</v>
      </c>
      <c r="I1262" s="9">
        <v>1.6481653E7</v>
      </c>
      <c r="J1262" s="9">
        <v>0.0</v>
      </c>
      <c r="K1262" s="9">
        <v>0.0</v>
      </c>
      <c r="L1262" s="9" t="s">
        <v>59</v>
      </c>
      <c r="M1262" s="9" t="s">
        <v>55</v>
      </c>
      <c r="N1262" s="9">
        <v>1.561030319E7</v>
      </c>
      <c r="O1262" s="9">
        <v>1.530593223E7</v>
      </c>
      <c r="P1262" s="9">
        <v>759103.39</v>
      </c>
      <c r="Q1262" s="9">
        <v>732534.77</v>
      </c>
      <c r="R1262" s="9" t="s">
        <v>60</v>
      </c>
      <c r="S1262" s="9" t="s">
        <v>57</v>
      </c>
      <c r="T1262" s="9" t="s">
        <v>61</v>
      </c>
      <c r="V1262" s="9">
        <v>1.571220184E7</v>
      </c>
      <c r="W1262" s="9">
        <v>824250.88</v>
      </c>
      <c r="X1262" s="9">
        <v>0.0</v>
      </c>
    </row>
    <row r="1263" ht="15.75" customHeight="1">
      <c r="A1263" s="9">
        <v>2204153.0</v>
      </c>
      <c r="B1263" s="9">
        <v>8558796.0</v>
      </c>
      <c r="C1263" s="9">
        <v>30277.0</v>
      </c>
      <c r="D1263" s="9" t="s">
        <v>52</v>
      </c>
      <c r="E1263" s="9" t="s">
        <v>53</v>
      </c>
      <c r="F1263" s="9">
        <v>204089.0</v>
      </c>
      <c r="G1263" s="9">
        <v>9444372.74</v>
      </c>
      <c r="H1263" s="9">
        <v>9444372.74</v>
      </c>
      <c r="I1263" s="9">
        <v>8375369.44</v>
      </c>
      <c r="J1263" s="9">
        <v>0.0</v>
      </c>
      <c r="K1263" s="9">
        <v>0.0</v>
      </c>
      <c r="L1263" s="9" t="s">
        <v>59</v>
      </c>
      <c r="M1263" s="9" t="s">
        <v>55</v>
      </c>
      <c r="N1263" s="9">
        <v>9102264.74</v>
      </c>
      <c r="O1263" s="9">
        <v>9097264.74</v>
      </c>
      <c r="P1263" s="9">
        <v>112108.0</v>
      </c>
      <c r="Q1263" s="9">
        <v>112108.0</v>
      </c>
      <c r="R1263" s="9" t="s">
        <v>94</v>
      </c>
      <c r="S1263" s="9" t="s">
        <v>57</v>
      </c>
      <c r="T1263" s="9" t="s">
        <v>95</v>
      </c>
    </row>
    <row r="1264" ht="15.75" customHeight="1">
      <c r="A1264" s="9">
        <v>2204355.0</v>
      </c>
      <c r="B1264" s="9">
        <v>9955195.0</v>
      </c>
      <c r="C1264" s="9">
        <v>26777.0</v>
      </c>
      <c r="D1264" s="9" t="s">
        <v>52</v>
      </c>
      <c r="E1264" s="9" t="s">
        <v>53</v>
      </c>
      <c r="F1264" s="9">
        <v>218825.0</v>
      </c>
      <c r="G1264" s="9">
        <v>9880909.26</v>
      </c>
      <c r="H1264" s="9">
        <v>9969246.39</v>
      </c>
      <c r="I1264" s="9">
        <v>9675662.62</v>
      </c>
      <c r="J1264" s="9">
        <v>0.0</v>
      </c>
      <c r="K1264" s="9">
        <v>0.0</v>
      </c>
      <c r="L1264" s="9" t="s">
        <v>69</v>
      </c>
      <c r="M1264" s="9" t="s">
        <v>55</v>
      </c>
      <c r="N1264" s="9">
        <v>9349432.18</v>
      </c>
      <c r="O1264" s="9">
        <v>9349432.18</v>
      </c>
      <c r="P1264" s="9">
        <v>330326.08</v>
      </c>
      <c r="Q1264" s="9">
        <v>330326.08</v>
      </c>
      <c r="R1264" s="9" t="s">
        <v>60</v>
      </c>
      <c r="S1264" s="9" t="s">
        <v>57</v>
      </c>
      <c r="T1264" s="9" t="s">
        <v>61</v>
      </c>
      <c r="V1264" s="9">
        <v>9356387.96</v>
      </c>
      <c r="W1264" s="9">
        <v>297293.44</v>
      </c>
      <c r="X1264" s="9">
        <v>0.0</v>
      </c>
    </row>
    <row r="1265" ht="15.75" customHeight="1">
      <c r="A1265" s="9">
        <v>2209552.0</v>
      </c>
      <c r="B1265" s="9">
        <v>7155694.0</v>
      </c>
      <c r="C1265" s="9">
        <v>30314.0</v>
      </c>
      <c r="D1265" s="9" t="s">
        <v>52</v>
      </c>
      <c r="E1265" s="9" t="s">
        <v>53</v>
      </c>
      <c r="F1265" s="9">
        <v>192095.0</v>
      </c>
      <c r="G1265" s="9">
        <v>8150285.38</v>
      </c>
      <c r="H1265" s="9">
        <v>8150285.38</v>
      </c>
      <c r="I1265" s="9">
        <v>8466017.78</v>
      </c>
      <c r="J1265" s="9">
        <v>0.0</v>
      </c>
      <c r="K1265" s="9">
        <v>0.0</v>
      </c>
      <c r="L1265" s="9" t="s">
        <v>69</v>
      </c>
      <c r="M1265" s="9" t="s">
        <v>55</v>
      </c>
      <c r="N1265" s="9">
        <v>7779585.47</v>
      </c>
      <c r="O1265" s="9">
        <v>7779585.47</v>
      </c>
      <c r="P1265" s="9">
        <v>131297.0</v>
      </c>
      <c r="Q1265" s="9">
        <v>131297.0</v>
      </c>
      <c r="R1265" s="9" t="s">
        <v>60</v>
      </c>
      <c r="S1265" s="9" t="s">
        <v>57</v>
      </c>
      <c r="T1265" s="9" t="s">
        <v>61</v>
      </c>
      <c r="V1265" s="9">
        <v>7982856.89</v>
      </c>
      <c r="W1265" s="9">
        <v>0.0</v>
      </c>
      <c r="X1265" s="9">
        <v>0.0</v>
      </c>
    </row>
    <row r="1266" ht="15.75" customHeight="1">
      <c r="A1266" s="9">
        <v>2214866.0</v>
      </c>
      <c r="B1266" s="9">
        <v>7364726.0</v>
      </c>
      <c r="C1266" s="9">
        <v>32210.0</v>
      </c>
      <c r="D1266" s="9" t="s">
        <v>52</v>
      </c>
      <c r="E1266" s="9" t="s">
        <v>53</v>
      </c>
      <c r="F1266" s="9">
        <v>205045.0</v>
      </c>
      <c r="G1266" s="9">
        <v>8950797.0</v>
      </c>
      <c r="H1266" s="9">
        <v>8950797.0</v>
      </c>
      <c r="I1266" s="9">
        <v>8944375.42</v>
      </c>
      <c r="J1266" s="9">
        <v>0.0</v>
      </c>
      <c r="K1266" s="9">
        <v>0.0</v>
      </c>
      <c r="L1266" s="9" t="s">
        <v>59</v>
      </c>
      <c r="M1266" s="9" t="s">
        <v>55</v>
      </c>
      <c r="N1266" s="9">
        <v>7806963.31</v>
      </c>
      <c r="O1266" s="9">
        <v>7806963.31</v>
      </c>
      <c r="P1266" s="9">
        <v>283283.0</v>
      </c>
      <c r="Q1266" s="9">
        <v>283283.0</v>
      </c>
      <c r="R1266" s="9" t="s">
        <v>60</v>
      </c>
      <c r="S1266" s="9" t="s">
        <v>57</v>
      </c>
      <c r="T1266" s="9" t="s">
        <v>61</v>
      </c>
      <c r="V1266" s="9">
        <v>8302660.22</v>
      </c>
      <c r="W1266" s="9">
        <v>312858.08</v>
      </c>
      <c r="X1266" s="9">
        <v>0.0</v>
      </c>
    </row>
    <row r="1267" ht="15.75" customHeight="1">
      <c r="A1267" s="9">
        <v>2214934.0</v>
      </c>
      <c r="B1267" s="9">
        <v>5812949.0</v>
      </c>
      <c r="C1267" s="9">
        <v>32133.0</v>
      </c>
      <c r="D1267" s="9" t="s">
        <v>52</v>
      </c>
      <c r="E1267" s="9" t="s">
        <v>53</v>
      </c>
      <c r="F1267" s="9">
        <v>221654.0</v>
      </c>
      <c r="G1267" s="9">
        <v>5812948.87</v>
      </c>
      <c r="H1267" s="9">
        <v>5812948.87</v>
      </c>
      <c r="I1267" s="9">
        <v>5752947.77</v>
      </c>
      <c r="J1267" s="9">
        <v>0.0</v>
      </c>
      <c r="K1267" s="9">
        <v>0.0</v>
      </c>
      <c r="L1267" s="9" t="s">
        <v>59</v>
      </c>
      <c r="M1267" s="9" t="s">
        <v>55</v>
      </c>
      <c r="N1267" s="9">
        <v>5531681.61</v>
      </c>
      <c r="O1267" s="9">
        <v>5531681.61</v>
      </c>
      <c r="P1267" s="9">
        <v>221267.26</v>
      </c>
      <c r="Q1267" s="9">
        <v>221267.26</v>
      </c>
      <c r="R1267" s="9" t="s">
        <v>60</v>
      </c>
      <c r="S1267" s="9" t="s">
        <v>57</v>
      </c>
      <c r="T1267" s="9" t="s">
        <v>61</v>
      </c>
      <c r="V1267" s="9">
        <v>5531681.61</v>
      </c>
      <c r="W1267" s="9">
        <v>221267.26</v>
      </c>
      <c r="X1267" s="9">
        <v>0.0</v>
      </c>
    </row>
    <row r="1268" ht="15.75" customHeight="1">
      <c r="A1268" s="9">
        <v>2214953.0</v>
      </c>
      <c r="B1268" s="9">
        <v>6190948.0</v>
      </c>
      <c r="C1268" s="9">
        <v>26652.0</v>
      </c>
      <c r="D1268" s="9" t="s">
        <v>52</v>
      </c>
      <c r="E1268" s="9" t="s">
        <v>53</v>
      </c>
      <c r="F1268" s="9">
        <v>198509.0</v>
      </c>
      <c r="G1268" s="9">
        <v>9189777.1</v>
      </c>
      <c r="H1268" s="9">
        <v>9189777.1</v>
      </c>
      <c r="I1268" s="9">
        <v>8766528.42</v>
      </c>
      <c r="J1268" s="9">
        <v>0.0</v>
      </c>
      <c r="K1268" s="9">
        <v>0.0</v>
      </c>
      <c r="L1268" s="9" t="s">
        <v>69</v>
      </c>
      <c r="M1268" s="9" t="s">
        <v>55</v>
      </c>
      <c r="N1268" s="9">
        <v>7107794.57</v>
      </c>
      <c r="O1268" s="9">
        <v>7285489.43</v>
      </c>
      <c r="P1268" s="9">
        <v>320381.33</v>
      </c>
      <c r="Q1268" s="9">
        <v>320381.33</v>
      </c>
      <c r="R1268" s="9" t="s">
        <v>56</v>
      </c>
      <c r="S1268" s="9" t="s">
        <v>57</v>
      </c>
      <c r="T1268" s="9" t="s">
        <v>58</v>
      </c>
      <c r="V1268" s="9">
        <v>7285489.43</v>
      </c>
      <c r="W1268" s="9">
        <v>0.0</v>
      </c>
      <c r="X1268" s="9">
        <v>0.0</v>
      </c>
    </row>
    <row r="1269" ht="15.75" customHeight="1">
      <c r="A1269" s="9">
        <v>2225715.0</v>
      </c>
      <c r="B1269" s="9">
        <v>9870805.0</v>
      </c>
      <c r="C1269" s="9">
        <v>40167.0</v>
      </c>
      <c r="D1269" s="9" t="s">
        <v>52</v>
      </c>
      <c r="E1269" s="9" t="s">
        <v>53</v>
      </c>
      <c r="F1269" s="9">
        <v>232260.0</v>
      </c>
      <c r="G1269" s="9">
        <v>8287890.0</v>
      </c>
      <c r="H1269" s="9">
        <v>8287890.0</v>
      </c>
      <c r="I1269" s="9">
        <v>8276207.51</v>
      </c>
      <c r="J1269" s="9">
        <v>0.0</v>
      </c>
      <c r="K1269" s="9">
        <v>0.0</v>
      </c>
      <c r="L1269" s="9" t="s">
        <v>59</v>
      </c>
      <c r="M1269" s="9" t="s">
        <v>62</v>
      </c>
      <c r="N1269" s="9">
        <v>4433345.6</v>
      </c>
      <c r="O1269" s="9">
        <v>4433345.6</v>
      </c>
      <c r="P1269" s="9">
        <v>221667.28</v>
      </c>
      <c r="Q1269" s="9">
        <v>221667.28</v>
      </c>
      <c r="R1269" s="9" t="s">
        <v>94</v>
      </c>
      <c r="S1269" s="9" t="s">
        <v>57</v>
      </c>
      <c r="T1269" s="9" t="s">
        <v>95</v>
      </c>
    </row>
    <row r="1270" ht="15.75" customHeight="1">
      <c r="A1270" s="9">
        <v>2235790.0</v>
      </c>
      <c r="B1270" s="9">
        <v>2650283.0</v>
      </c>
      <c r="C1270" s="9">
        <v>37246.0</v>
      </c>
      <c r="D1270" s="9" t="s">
        <v>52</v>
      </c>
      <c r="E1270" s="9" t="s">
        <v>53</v>
      </c>
      <c r="F1270" s="9">
        <v>146923.0</v>
      </c>
      <c r="G1270" s="9">
        <v>5579655.87</v>
      </c>
      <c r="H1270" s="9">
        <v>5684224.52</v>
      </c>
      <c r="I1270" s="9">
        <v>2725244.71</v>
      </c>
      <c r="J1270" s="9">
        <v>44254.24</v>
      </c>
      <c r="K1270" s="9">
        <v>149200.0</v>
      </c>
      <c r="L1270" s="9" t="s">
        <v>59</v>
      </c>
      <c r="M1270" s="9" t="s">
        <v>55</v>
      </c>
      <c r="N1270" s="9">
        <v>5240599.0</v>
      </c>
      <c r="O1270" s="9">
        <v>5240599.0</v>
      </c>
      <c r="P1270" s="9">
        <v>131500.0</v>
      </c>
      <c r="Q1270" s="9">
        <v>131500.0</v>
      </c>
      <c r="R1270" s="9" t="s">
        <v>77</v>
      </c>
      <c r="S1270" s="9" t="s">
        <v>78</v>
      </c>
      <c r="T1270" s="9" t="s">
        <v>79</v>
      </c>
      <c r="U1270" s="9" t="s">
        <v>80</v>
      </c>
    </row>
    <row r="1271" ht="15.75" customHeight="1">
      <c r="A1271" s="9">
        <v>2235792.0</v>
      </c>
      <c r="B1271" s="9">
        <v>1690387.0</v>
      </c>
      <c r="C1271" s="9">
        <v>33252.0</v>
      </c>
      <c r="D1271" s="9" t="s">
        <v>52</v>
      </c>
      <c r="E1271" s="9" t="s">
        <v>53</v>
      </c>
      <c r="F1271" s="9">
        <v>299996.0</v>
      </c>
      <c r="G1271" s="9">
        <v>1765528.69</v>
      </c>
      <c r="H1271" s="9">
        <v>1765528.69</v>
      </c>
      <c r="I1271" s="9">
        <v>1558111.54</v>
      </c>
      <c r="J1271" s="9">
        <v>0.0</v>
      </c>
      <c r="K1271" s="9">
        <v>0.0</v>
      </c>
      <c r="L1271" s="9" t="s">
        <v>69</v>
      </c>
      <c r="M1271" s="9" t="s">
        <v>55</v>
      </c>
      <c r="N1271" s="9">
        <v>1685353.61</v>
      </c>
      <c r="O1271" s="9">
        <v>1570000.0</v>
      </c>
      <c r="R1271" s="9" t="s">
        <v>56</v>
      </c>
      <c r="S1271" s="9" t="s">
        <v>57</v>
      </c>
      <c r="T1271" s="9" t="s">
        <v>58</v>
      </c>
      <c r="V1271" s="9">
        <v>1540184.98</v>
      </c>
      <c r="W1271" s="9">
        <v>0.0</v>
      </c>
      <c r="X1271" s="9">
        <v>0.0</v>
      </c>
    </row>
    <row r="1272" ht="15.75" customHeight="1">
      <c r="A1272" s="9">
        <v>2238283.0</v>
      </c>
      <c r="B1272" s="9">
        <v>9997694.0</v>
      </c>
      <c r="C1272" s="9">
        <v>40596.0</v>
      </c>
      <c r="D1272" s="9" t="s">
        <v>52</v>
      </c>
      <c r="E1272" s="9" t="s">
        <v>53</v>
      </c>
      <c r="F1272" s="9">
        <v>267712.0</v>
      </c>
      <c r="G1272" s="9">
        <v>1.184306408E7</v>
      </c>
      <c r="H1272" s="9">
        <v>2.385356311E7</v>
      </c>
      <c r="I1272" s="9">
        <v>1.357465341E7</v>
      </c>
      <c r="J1272" s="9">
        <v>479252.5</v>
      </c>
      <c r="K1272" s="9">
        <v>2413941.0</v>
      </c>
      <c r="L1272" s="9" t="s">
        <v>59</v>
      </c>
      <c r="M1272" s="9" t="s">
        <v>55</v>
      </c>
      <c r="N1272" s="9">
        <v>1.105794966E7</v>
      </c>
      <c r="O1272" s="9">
        <v>1.105794966E7</v>
      </c>
      <c r="P1272" s="9">
        <v>552897.48</v>
      </c>
      <c r="Q1272" s="9">
        <v>552897.48</v>
      </c>
      <c r="R1272" s="9" t="s">
        <v>77</v>
      </c>
      <c r="S1272" s="9" t="s">
        <v>78</v>
      </c>
      <c r="T1272" s="9" t="s">
        <v>79</v>
      </c>
      <c r="U1272" s="9" t="s">
        <v>80</v>
      </c>
    </row>
    <row r="1273" ht="15.75" customHeight="1">
      <c r="A1273" s="9">
        <v>2241776.0</v>
      </c>
      <c r="B1273" s="9">
        <v>2219899.0</v>
      </c>
      <c r="C1273" s="9">
        <v>47432.0</v>
      </c>
      <c r="D1273" s="9" t="s">
        <v>52</v>
      </c>
      <c r="E1273" s="9" t="s">
        <v>53</v>
      </c>
      <c r="F1273" s="9">
        <v>282848.0</v>
      </c>
      <c r="G1273" s="9">
        <v>4551651.39</v>
      </c>
      <c r="H1273" s="9">
        <v>4608100.0</v>
      </c>
      <c r="I1273" s="9">
        <v>4479290.7</v>
      </c>
      <c r="J1273" s="9">
        <v>0.0</v>
      </c>
      <c r="K1273" s="9">
        <v>90966.0</v>
      </c>
      <c r="L1273" s="9" t="s">
        <v>59</v>
      </c>
      <c r="M1273" s="9" t="s">
        <v>55</v>
      </c>
      <c r="N1273" s="9">
        <v>4161664.0</v>
      </c>
      <c r="O1273" s="9">
        <v>4161663.03</v>
      </c>
      <c r="P1273" s="9">
        <v>203786.0</v>
      </c>
      <c r="Q1273" s="9">
        <v>183407.4</v>
      </c>
      <c r="R1273" s="9" t="s">
        <v>94</v>
      </c>
      <c r="S1273" s="9" t="s">
        <v>57</v>
      </c>
      <c r="T1273" s="9" t="s">
        <v>95</v>
      </c>
    </row>
    <row r="1274" ht="15.75" customHeight="1">
      <c r="A1274" s="9">
        <v>2243061.0</v>
      </c>
      <c r="B1274" s="9">
        <v>9.8368122E7</v>
      </c>
      <c r="C1274" s="9">
        <v>40597.0</v>
      </c>
      <c r="D1274" s="9" t="s">
        <v>52</v>
      </c>
      <c r="E1274" s="9" t="s">
        <v>53</v>
      </c>
      <c r="F1274" s="9">
        <v>288079.0</v>
      </c>
      <c r="G1274" s="9">
        <v>7.490575851E7</v>
      </c>
      <c r="H1274" s="9">
        <v>7.973726941E7</v>
      </c>
      <c r="I1274" s="9">
        <v>7.91830097E7</v>
      </c>
      <c r="J1274" s="9">
        <v>0.0</v>
      </c>
      <c r="K1274" s="9">
        <v>0.0</v>
      </c>
      <c r="L1274" s="9" t="s">
        <v>59</v>
      </c>
      <c r="M1274" s="9" t="s">
        <v>55</v>
      </c>
      <c r="N1274" s="9">
        <v>6.891287406E7</v>
      </c>
      <c r="O1274" s="9">
        <v>6.891287405E7</v>
      </c>
      <c r="P1274" s="9">
        <v>2437304.0</v>
      </c>
      <c r="Q1274" s="9">
        <v>2425118.0</v>
      </c>
      <c r="R1274" s="9" t="s">
        <v>56</v>
      </c>
      <c r="S1274" s="9" t="s">
        <v>57</v>
      </c>
      <c r="T1274" s="9" t="s">
        <v>58</v>
      </c>
    </row>
    <row r="1275" ht="15.75" customHeight="1">
      <c r="A1275" s="9">
        <v>2244331.0</v>
      </c>
      <c r="B1275" s="9">
        <v>3562524.0</v>
      </c>
      <c r="C1275" s="9">
        <v>33507.0</v>
      </c>
      <c r="D1275" s="9" t="s">
        <v>52</v>
      </c>
      <c r="E1275" s="9" t="s">
        <v>53</v>
      </c>
      <c r="F1275" s="9">
        <v>293132.0</v>
      </c>
      <c r="G1275" s="9">
        <v>4086214.28</v>
      </c>
      <c r="H1275" s="9">
        <v>4086214.28</v>
      </c>
      <c r="I1275" s="9">
        <v>4077713.77</v>
      </c>
      <c r="J1275" s="9">
        <v>0.0</v>
      </c>
      <c r="K1275" s="9">
        <v>0.0</v>
      </c>
      <c r="L1275" s="9" t="s">
        <v>59</v>
      </c>
      <c r="M1275" s="9" t="s">
        <v>55</v>
      </c>
      <c r="N1275" s="9">
        <v>3891214.28</v>
      </c>
      <c r="O1275" s="9">
        <v>3891214.28</v>
      </c>
      <c r="P1275" s="9">
        <v>186500.0</v>
      </c>
      <c r="Q1275" s="9">
        <v>186500.0</v>
      </c>
      <c r="R1275" s="9" t="s">
        <v>60</v>
      </c>
      <c r="S1275" s="9" t="s">
        <v>57</v>
      </c>
      <c r="T1275" s="9" t="s">
        <v>61</v>
      </c>
      <c r="V1275" s="9">
        <v>3891214.28</v>
      </c>
      <c r="W1275" s="9">
        <v>158500.0</v>
      </c>
      <c r="X1275" s="9">
        <v>0.0</v>
      </c>
    </row>
    <row r="1276" ht="15.75" customHeight="1">
      <c r="A1276" s="9">
        <v>2252085.0</v>
      </c>
      <c r="B1276" s="9">
        <v>1000199.55</v>
      </c>
      <c r="C1276" s="9">
        <v>32170.0</v>
      </c>
      <c r="D1276" s="9" t="s">
        <v>52</v>
      </c>
      <c r="E1276" s="9" t="s">
        <v>53</v>
      </c>
      <c r="F1276" s="9">
        <v>280421.0</v>
      </c>
      <c r="G1276" s="9">
        <v>1004699.55</v>
      </c>
      <c r="H1276" s="9">
        <v>1004699.55</v>
      </c>
      <c r="I1276" s="9">
        <v>999130.0</v>
      </c>
      <c r="J1276" s="9">
        <v>0.0</v>
      </c>
      <c r="K1276" s="9">
        <v>0.0</v>
      </c>
      <c r="L1276" s="9" t="s">
        <v>54</v>
      </c>
      <c r="M1276" s="9" t="s">
        <v>55</v>
      </c>
      <c r="P1276" s="9">
        <v>0.0</v>
      </c>
      <c r="Q1276" s="9">
        <v>0.0</v>
      </c>
      <c r="R1276" s="9" t="s">
        <v>60</v>
      </c>
      <c r="S1276" s="9" t="s">
        <v>57</v>
      </c>
      <c r="T1276" s="9" t="s">
        <v>61</v>
      </c>
      <c r="V1276" s="9">
        <v>0.0</v>
      </c>
      <c r="W1276" s="9">
        <v>377202.46</v>
      </c>
      <c r="X1276" s="9">
        <v>0.0</v>
      </c>
    </row>
    <row r="1277" ht="15.75" customHeight="1">
      <c r="A1277" s="9">
        <v>2252102.0</v>
      </c>
      <c r="B1277" s="9">
        <v>3884880.0</v>
      </c>
      <c r="C1277" s="9">
        <v>33458.0</v>
      </c>
      <c r="D1277" s="9" t="s">
        <v>52</v>
      </c>
      <c r="E1277" s="9" t="s">
        <v>53</v>
      </c>
      <c r="F1277" s="9">
        <v>286001.0</v>
      </c>
      <c r="G1277" s="9">
        <v>4131898.36</v>
      </c>
      <c r="H1277" s="9">
        <v>4131898.36</v>
      </c>
      <c r="I1277" s="9">
        <v>4092329.0</v>
      </c>
      <c r="J1277" s="9">
        <v>0.0</v>
      </c>
      <c r="K1277" s="9">
        <v>20070.0</v>
      </c>
      <c r="L1277" s="9" t="s">
        <v>59</v>
      </c>
      <c r="M1277" s="9" t="s">
        <v>55</v>
      </c>
      <c r="N1277" s="9">
        <v>3916569.87</v>
      </c>
      <c r="O1277" s="9">
        <v>3916569.87</v>
      </c>
      <c r="P1277" s="9">
        <v>195828.49</v>
      </c>
      <c r="Q1277" s="9">
        <v>195828.49</v>
      </c>
      <c r="R1277" s="9" t="s">
        <v>60</v>
      </c>
      <c r="S1277" s="9" t="s">
        <v>57</v>
      </c>
      <c r="T1277" s="9" t="s">
        <v>61</v>
      </c>
      <c r="V1277" s="9">
        <v>3916569.87</v>
      </c>
      <c r="W1277" s="9">
        <v>175763.89</v>
      </c>
      <c r="X1277" s="9">
        <v>0.0</v>
      </c>
    </row>
    <row r="1278" ht="15.75" customHeight="1">
      <c r="A1278" s="9">
        <v>2260207.0</v>
      </c>
      <c r="B1278" s="9">
        <v>2278428.0</v>
      </c>
      <c r="C1278" s="9">
        <v>44258.0</v>
      </c>
      <c r="D1278" s="9" t="s">
        <v>52</v>
      </c>
      <c r="E1278" s="9" t="s">
        <v>53</v>
      </c>
      <c r="F1278" s="9">
        <v>314973.0</v>
      </c>
      <c r="G1278" s="9">
        <v>2541009.82</v>
      </c>
      <c r="H1278" s="9">
        <v>3300446.89</v>
      </c>
      <c r="I1278" s="9">
        <v>3074626.86</v>
      </c>
      <c r="J1278" s="9">
        <v>0.0</v>
      </c>
      <c r="K1278" s="9">
        <v>23094.0</v>
      </c>
      <c r="L1278" s="9" t="s">
        <v>59</v>
      </c>
      <c r="M1278" s="9" t="s">
        <v>55</v>
      </c>
      <c r="N1278" s="9">
        <v>2500242.36</v>
      </c>
      <c r="O1278" s="9">
        <v>2250218.13</v>
      </c>
      <c r="P1278" s="9">
        <v>186500.73</v>
      </c>
      <c r="Q1278" s="9">
        <v>167850.66</v>
      </c>
      <c r="R1278" s="9" t="s">
        <v>56</v>
      </c>
      <c r="S1278" s="9" t="s">
        <v>57</v>
      </c>
      <c r="T1278" s="9" t="s">
        <v>58</v>
      </c>
      <c r="V1278" s="9">
        <v>2879534.25</v>
      </c>
      <c r="W1278" s="9">
        <v>158842.6</v>
      </c>
      <c r="X1278" s="9">
        <v>0.0</v>
      </c>
    </row>
    <row r="1279" ht="15.75" customHeight="1">
      <c r="A1279" s="9">
        <v>2268097.0</v>
      </c>
      <c r="B1279" s="9">
        <v>4525448.0</v>
      </c>
      <c r="C1279" s="9">
        <v>33262.0</v>
      </c>
      <c r="D1279" s="9" t="s">
        <v>52</v>
      </c>
      <c r="E1279" s="9" t="s">
        <v>53</v>
      </c>
      <c r="F1279" s="9">
        <v>318493.0</v>
      </c>
      <c r="G1279" s="9">
        <v>1617748.73</v>
      </c>
      <c r="H1279" s="9">
        <v>1617748.73</v>
      </c>
      <c r="I1279" s="9">
        <v>1498947.52</v>
      </c>
      <c r="J1279" s="9">
        <v>0.0</v>
      </c>
      <c r="K1279" s="9">
        <v>0.0</v>
      </c>
      <c r="L1279" s="9" t="s">
        <v>59</v>
      </c>
      <c r="M1279" s="9" t="s">
        <v>55</v>
      </c>
      <c r="N1279" s="9">
        <v>1570629.82</v>
      </c>
      <c r="O1279" s="9">
        <v>1460000.0</v>
      </c>
      <c r="R1279" s="9" t="s">
        <v>72</v>
      </c>
      <c r="S1279" s="9" t="s">
        <v>57</v>
      </c>
      <c r="T1279" s="9" t="s">
        <v>73</v>
      </c>
      <c r="V1279" s="9">
        <v>1463009.52</v>
      </c>
      <c r="W1279" s="9">
        <v>0.0</v>
      </c>
      <c r="X1279" s="9">
        <v>0.0</v>
      </c>
    </row>
    <row r="1280" ht="15.75" customHeight="1">
      <c r="A1280" s="9">
        <v>2108163.0</v>
      </c>
      <c r="B1280" s="9">
        <v>1950365.0</v>
      </c>
      <c r="C1280" s="9">
        <v>30791.0</v>
      </c>
      <c r="D1280" s="9" t="s">
        <v>52</v>
      </c>
      <c r="E1280" s="9" t="s">
        <v>53</v>
      </c>
      <c r="F1280" s="9">
        <v>78012.0</v>
      </c>
      <c r="G1280" s="9">
        <v>2002756.26</v>
      </c>
      <c r="H1280" s="9">
        <v>2002756.26</v>
      </c>
      <c r="I1280" s="9">
        <v>2177157.9</v>
      </c>
      <c r="J1280" s="9">
        <v>0.0</v>
      </c>
      <c r="K1280" s="9">
        <v>0.0</v>
      </c>
      <c r="L1280" s="9" t="s">
        <v>59</v>
      </c>
      <c r="M1280" s="9" t="s">
        <v>55</v>
      </c>
      <c r="N1280" s="9">
        <v>1796015.35</v>
      </c>
      <c r="O1280" s="9">
        <v>1796015.35</v>
      </c>
      <c r="P1280" s="9">
        <v>1796015.35</v>
      </c>
      <c r="Q1280" s="9">
        <v>134400.0</v>
      </c>
      <c r="R1280" s="9" t="s">
        <v>60</v>
      </c>
      <c r="S1280" s="9" t="s">
        <v>57</v>
      </c>
      <c r="T1280" s="9" t="s">
        <v>61</v>
      </c>
      <c r="V1280" s="9">
        <v>2045964.0</v>
      </c>
      <c r="W1280" s="9">
        <v>0.0</v>
      </c>
      <c r="X1280" s="9">
        <v>0.0</v>
      </c>
    </row>
    <row r="1281" ht="15.75" customHeight="1">
      <c r="A1281" s="9">
        <v>2111446.0</v>
      </c>
      <c r="B1281" s="9">
        <v>224000.0</v>
      </c>
      <c r="C1281" s="9">
        <v>30150.0</v>
      </c>
      <c r="D1281" s="9" t="s">
        <v>52</v>
      </c>
      <c r="E1281" s="9" t="s">
        <v>53</v>
      </c>
      <c r="F1281" s="9">
        <v>32702.0</v>
      </c>
      <c r="G1281" s="9">
        <v>224000.0</v>
      </c>
      <c r="H1281" s="9">
        <v>224000.0</v>
      </c>
      <c r="I1281" s="9">
        <v>0.0</v>
      </c>
      <c r="J1281" s="9">
        <v>0.0</v>
      </c>
      <c r="K1281" s="9">
        <v>0.0</v>
      </c>
      <c r="L1281" s="9" t="s">
        <v>69</v>
      </c>
      <c r="M1281" s="9" t="s">
        <v>55</v>
      </c>
      <c r="N1281" s="9">
        <v>247407.0</v>
      </c>
      <c r="O1281" s="9">
        <v>222666.0</v>
      </c>
      <c r="P1281" s="9">
        <v>247407.0</v>
      </c>
      <c r="Q1281" s="9">
        <v>0.0</v>
      </c>
      <c r="R1281" s="9" t="s">
        <v>60</v>
      </c>
      <c r="S1281" s="9" t="s">
        <v>57</v>
      </c>
      <c r="T1281" s="9" t="s">
        <v>61</v>
      </c>
      <c r="V1281" s="9">
        <v>224585.55</v>
      </c>
      <c r="W1281" s="9">
        <v>0.0</v>
      </c>
      <c r="X1281" s="9">
        <v>0.0</v>
      </c>
    </row>
    <row r="1282" ht="15.75" customHeight="1">
      <c r="A1282" s="9">
        <v>2117064.0</v>
      </c>
      <c r="B1282" s="9">
        <v>5744361.0</v>
      </c>
      <c r="C1282" s="9">
        <v>31974.0</v>
      </c>
      <c r="D1282" s="9" t="s">
        <v>52</v>
      </c>
      <c r="E1282" s="9" t="s">
        <v>53</v>
      </c>
      <c r="F1282" s="9">
        <v>97212.0</v>
      </c>
      <c r="G1282" s="9">
        <v>7255945.08</v>
      </c>
      <c r="H1282" s="9">
        <v>7255945.08</v>
      </c>
      <c r="I1282" s="9">
        <v>3756770.36</v>
      </c>
      <c r="J1282" s="9">
        <v>0.0</v>
      </c>
      <c r="K1282" s="9">
        <v>0.0</v>
      </c>
      <c r="L1282" s="9" t="s">
        <v>59</v>
      </c>
      <c r="M1282" s="9" t="s">
        <v>55</v>
      </c>
      <c r="R1282" s="9" t="s">
        <v>56</v>
      </c>
      <c r="S1282" s="9" t="s">
        <v>57</v>
      </c>
      <c r="T1282" s="9" t="s">
        <v>58</v>
      </c>
      <c r="V1282" s="9">
        <v>4641784.67</v>
      </c>
      <c r="W1282" s="9">
        <v>0.0</v>
      </c>
      <c r="X1282" s="9">
        <v>0.0</v>
      </c>
    </row>
    <row r="1283" ht="15.75" customHeight="1">
      <c r="A1283" s="9">
        <v>2118098.0</v>
      </c>
      <c r="B1283" s="9">
        <v>5979790.0</v>
      </c>
      <c r="C1283" s="9">
        <v>30668.0</v>
      </c>
      <c r="D1283" s="9" t="s">
        <v>52</v>
      </c>
      <c r="E1283" s="9" t="s">
        <v>53</v>
      </c>
      <c r="F1283" s="9">
        <v>144437.0</v>
      </c>
      <c r="G1283" s="9">
        <v>5979790.0</v>
      </c>
      <c r="H1283" s="9">
        <v>6204679.78</v>
      </c>
      <c r="I1283" s="9">
        <v>6204679.78</v>
      </c>
      <c r="J1283" s="9">
        <v>0.0</v>
      </c>
      <c r="K1283" s="9">
        <v>0.0</v>
      </c>
      <c r="L1283" s="9" t="s">
        <v>69</v>
      </c>
      <c r="M1283" s="9" t="s">
        <v>55</v>
      </c>
      <c r="N1283" s="9">
        <v>5568070.08</v>
      </c>
      <c r="O1283" s="9">
        <v>5188864.47</v>
      </c>
      <c r="P1283" s="9">
        <v>393187.48</v>
      </c>
      <c r="Q1283" s="9">
        <v>333209.72</v>
      </c>
      <c r="R1283" s="9" t="s">
        <v>60</v>
      </c>
      <c r="S1283" s="9" t="s">
        <v>57</v>
      </c>
      <c r="T1283" s="9" t="s">
        <v>61</v>
      </c>
      <c r="V1283" s="9">
        <v>5788269.18</v>
      </c>
      <c r="W1283" s="9">
        <v>0.0</v>
      </c>
      <c r="X1283" s="9">
        <v>0.0</v>
      </c>
    </row>
    <row r="1284" ht="15.75" customHeight="1">
      <c r="A1284" s="9">
        <v>2118289.0</v>
      </c>
      <c r="B1284" s="9">
        <v>5444846.0</v>
      </c>
      <c r="C1284" s="9">
        <v>30829.0</v>
      </c>
      <c r="D1284" s="9" t="s">
        <v>52</v>
      </c>
      <c r="E1284" s="9" t="s">
        <v>53</v>
      </c>
      <c r="F1284" s="9">
        <v>152717.0</v>
      </c>
      <c r="G1284" s="9">
        <v>5723790.9</v>
      </c>
      <c r="H1284" s="9">
        <v>5723790.9</v>
      </c>
      <c r="I1284" s="9">
        <v>5624991.0</v>
      </c>
      <c r="J1284" s="9">
        <v>0.0</v>
      </c>
      <c r="K1284" s="9">
        <v>0.0</v>
      </c>
      <c r="L1284" s="9" t="s">
        <v>69</v>
      </c>
      <c r="M1284" s="9" t="s">
        <v>55</v>
      </c>
      <c r="N1284" s="9">
        <v>5425394.21</v>
      </c>
      <c r="O1284" s="9">
        <v>5701061.67</v>
      </c>
      <c r="P1284" s="9">
        <v>199597.0</v>
      </c>
      <c r="Q1284" s="9">
        <v>115263.78</v>
      </c>
      <c r="R1284" s="9" t="s">
        <v>56</v>
      </c>
      <c r="S1284" s="9" t="s">
        <v>57</v>
      </c>
      <c r="T1284" s="9" t="s">
        <v>58</v>
      </c>
      <c r="V1284" s="9">
        <v>5425394.16</v>
      </c>
      <c r="W1284" s="9">
        <v>159596.84</v>
      </c>
      <c r="X1284" s="9">
        <v>0.0</v>
      </c>
    </row>
    <row r="1285" ht="15.75" customHeight="1">
      <c r="A1285" s="9">
        <v>2118357.0</v>
      </c>
      <c r="B1285" s="9">
        <v>1560045.0</v>
      </c>
      <c r="C1285" s="9">
        <v>30451.0</v>
      </c>
      <c r="D1285" s="9" t="s">
        <v>52</v>
      </c>
      <c r="E1285" s="9" t="s">
        <v>53</v>
      </c>
      <c r="F1285" s="9">
        <v>149742.0</v>
      </c>
      <c r="G1285" s="9">
        <v>1635000.0</v>
      </c>
      <c r="H1285" s="9">
        <v>1635000.0</v>
      </c>
      <c r="I1285" s="9">
        <v>1704758.71</v>
      </c>
      <c r="J1285" s="9">
        <v>0.0</v>
      </c>
      <c r="K1285" s="9">
        <v>0.0</v>
      </c>
      <c r="L1285" s="9" t="s">
        <v>59</v>
      </c>
      <c r="M1285" s="9" t="s">
        <v>55</v>
      </c>
      <c r="N1285" s="9">
        <v>1490901.6</v>
      </c>
      <c r="O1285" s="9">
        <v>1490901.6</v>
      </c>
      <c r="P1285" s="9">
        <v>49193.4</v>
      </c>
      <c r="Q1285" s="9">
        <v>49193.4</v>
      </c>
      <c r="R1285" s="9" t="s">
        <v>60</v>
      </c>
      <c r="S1285" s="9" t="s">
        <v>57</v>
      </c>
      <c r="T1285" s="9" t="s">
        <v>61</v>
      </c>
      <c r="V1285" s="9">
        <v>1487037.01</v>
      </c>
      <c r="W1285" s="9">
        <v>49193.4</v>
      </c>
      <c r="X1285" s="9">
        <v>0.0</v>
      </c>
    </row>
    <row r="1286" ht="15.75" customHeight="1">
      <c r="A1286" s="9">
        <v>2127890.0</v>
      </c>
      <c r="B1286" s="9">
        <v>2377728.0</v>
      </c>
      <c r="C1286" s="9">
        <v>31132.0</v>
      </c>
      <c r="D1286" s="9" t="s">
        <v>52</v>
      </c>
      <c r="E1286" s="9" t="s">
        <v>53</v>
      </c>
      <c r="F1286" s="9">
        <v>136042.0</v>
      </c>
      <c r="G1286" s="9">
        <v>2834164.7</v>
      </c>
      <c r="H1286" s="9">
        <v>2834164.7</v>
      </c>
      <c r="I1286" s="9">
        <v>2709760.62</v>
      </c>
      <c r="J1286" s="9">
        <v>0.0</v>
      </c>
      <c r="K1286" s="9">
        <v>0.0</v>
      </c>
      <c r="L1286" s="9" t="s">
        <v>59</v>
      </c>
      <c r="M1286" s="9" t="s">
        <v>55</v>
      </c>
      <c r="N1286" s="9">
        <v>2552376.2</v>
      </c>
      <c r="O1286" s="9">
        <v>2552376.2</v>
      </c>
      <c r="P1286" s="9">
        <v>106288.5</v>
      </c>
      <c r="Q1286" s="9">
        <v>106288.5</v>
      </c>
      <c r="R1286" s="9" t="s">
        <v>60</v>
      </c>
      <c r="S1286" s="9" t="s">
        <v>57</v>
      </c>
      <c r="T1286" s="9" t="s">
        <v>61</v>
      </c>
      <c r="V1286" s="9">
        <v>2608399.33</v>
      </c>
      <c r="W1286" s="9">
        <v>0.0</v>
      </c>
      <c r="X1286" s="9">
        <v>0.0</v>
      </c>
    </row>
    <row r="1287" ht="15.75" customHeight="1">
      <c r="A1287" s="9">
        <v>2128494.0</v>
      </c>
      <c r="B1287" s="9">
        <v>8532744.0</v>
      </c>
      <c r="C1287" s="9">
        <v>40283.0</v>
      </c>
      <c r="D1287" s="9" t="s">
        <v>52</v>
      </c>
      <c r="E1287" s="9" t="s">
        <v>53</v>
      </c>
      <c r="F1287" s="9">
        <v>114449.0</v>
      </c>
      <c r="G1287" s="9">
        <v>1.644417963E7</v>
      </c>
      <c r="H1287" s="9">
        <v>1.656883487E7</v>
      </c>
      <c r="I1287" s="9">
        <v>1.635604169E7</v>
      </c>
      <c r="J1287" s="9">
        <v>0.0</v>
      </c>
      <c r="K1287" s="9">
        <v>0.0</v>
      </c>
      <c r="L1287" s="9" t="s">
        <v>59</v>
      </c>
      <c r="M1287" s="9" t="s">
        <v>55</v>
      </c>
      <c r="N1287" s="9">
        <v>1.583012513E7</v>
      </c>
      <c r="O1287" s="9">
        <v>1.575097432E7</v>
      </c>
      <c r="P1287" s="9">
        <v>554054.38</v>
      </c>
      <c r="Q1287" s="9">
        <v>554054.38</v>
      </c>
      <c r="R1287" s="9" t="s">
        <v>70</v>
      </c>
      <c r="S1287" s="9" t="s">
        <v>57</v>
      </c>
      <c r="T1287" s="9" t="s">
        <v>71</v>
      </c>
    </row>
    <row r="1288" ht="15.75" customHeight="1">
      <c r="A1288" s="9">
        <v>2128517.0</v>
      </c>
      <c r="B1288" s="9">
        <v>2527386.0</v>
      </c>
      <c r="C1288" s="9">
        <v>30263.0</v>
      </c>
      <c r="D1288" s="9" t="s">
        <v>52</v>
      </c>
      <c r="E1288" s="9" t="s">
        <v>53</v>
      </c>
      <c r="F1288" s="9">
        <v>146223.0</v>
      </c>
      <c r="G1288" s="9">
        <v>2370759.81</v>
      </c>
      <c r="H1288" s="9">
        <v>2370759.81</v>
      </c>
      <c r="I1288" s="9">
        <v>2422002.04</v>
      </c>
      <c r="J1288" s="9">
        <v>0.0</v>
      </c>
      <c r="K1288" s="9">
        <v>0.0</v>
      </c>
      <c r="L1288" s="9" t="s">
        <v>69</v>
      </c>
      <c r="M1288" s="9" t="s">
        <v>55</v>
      </c>
      <c r="N1288" s="9">
        <v>2242329.0</v>
      </c>
      <c r="O1288" s="9">
        <v>2242329.0</v>
      </c>
      <c r="P1288" s="9">
        <v>0.0</v>
      </c>
      <c r="Q1288" s="9">
        <v>0.0</v>
      </c>
      <c r="R1288" s="9" t="s">
        <v>60</v>
      </c>
      <c r="S1288" s="9" t="s">
        <v>57</v>
      </c>
      <c r="T1288" s="9" t="s">
        <v>61</v>
      </c>
      <c r="V1288" s="9">
        <v>2294002.04</v>
      </c>
      <c r="W1288" s="9">
        <v>93000.0</v>
      </c>
      <c r="X1288" s="9">
        <v>0.0</v>
      </c>
    </row>
    <row r="1289" ht="15.75" customHeight="1">
      <c r="A1289" s="9">
        <v>2128519.0</v>
      </c>
      <c r="B1289" s="9">
        <v>4551593.0</v>
      </c>
      <c r="C1289" s="9">
        <v>30449.0</v>
      </c>
      <c r="D1289" s="9" t="s">
        <v>52</v>
      </c>
      <c r="E1289" s="9" t="s">
        <v>53</v>
      </c>
      <c r="F1289" s="9">
        <v>156334.0</v>
      </c>
      <c r="G1289" s="9">
        <v>4449606.99</v>
      </c>
      <c r="H1289" s="9">
        <v>4449606.99</v>
      </c>
      <c r="I1289" s="9">
        <v>4469807.0</v>
      </c>
      <c r="J1289" s="9">
        <v>0.0</v>
      </c>
      <c r="K1289" s="9">
        <v>0.0</v>
      </c>
      <c r="L1289" s="9" t="s">
        <v>59</v>
      </c>
      <c r="M1289" s="9" t="s">
        <v>55</v>
      </c>
      <c r="N1289" s="9">
        <v>4352245.35</v>
      </c>
      <c r="O1289" s="9">
        <v>4352245.35</v>
      </c>
      <c r="P1289" s="9">
        <v>97361.64</v>
      </c>
      <c r="Q1289" s="9">
        <v>97361.64</v>
      </c>
      <c r="R1289" s="9" t="s">
        <v>94</v>
      </c>
      <c r="S1289" s="9" t="s">
        <v>57</v>
      </c>
      <c r="T1289" s="9" t="s">
        <v>95</v>
      </c>
    </row>
    <row r="1290" ht="15.75" customHeight="1">
      <c r="A1290" s="9">
        <v>2129421.0</v>
      </c>
      <c r="B1290" s="9">
        <v>899646.0</v>
      </c>
      <c r="C1290" s="9">
        <v>31099.0</v>
      </c>
      <c r="D1290" s="9" t="s">
        <v>52</v>
      </c>
      <c r="E1290" s="9" t="s">
        <v>53</v>
      </c>
      <c r="F1290" s="9">
        <v>24329.0</v>
      </c>
      <c r="G1290" s="9">
        <v>1352299.0</v>
      </c>
      <c r="H1290" s="9">
        <v>1352299.0</v>
      </c>
      <c r="I1290" s="9">
        <v>0.0</v>
      </c>
      <c r="J1290" s="9">
        <v>0.0</v>
      </c>
      <c r="K1290" s="9">
        <v>0.0</v>
      </c>
      <c r="L1290" s="9" t="s">
        <v>69</v>
      </c>
      <c r="M1290" s="9" t="s">
        <v>55</v>
      </c>
      <c r="R1290" s="9" t="s">
        <v>60</v>
      </c>
      <c r="S1290" s="9" t="s">
        <v>57</v>
      </c>
      <c r="T1290" s="9" t="s">
        <v>61</v>
      </c>
      <c r="V1290" s="9">
        <v>1957576.75</v>
      </c>
      <c r="W1290" s="9">
        <v>0.0</v>
      </c>
      <c r="X1290" s="9">
        <v>0.0</v>
      </c>
    </row>
    <row r="1291" ht="15.75" customHeight="1">
      <c r="A1291" s="9">
        <v>2130832.0</v>
      </c>
      <c r="B1291" s="9">
        <v>1490714.0</v>
      </c>
      <c r="C1291" s="9">
        <v>30438.0</v>
      </c>
      <c r="D1291" s="9" t="s">
        <v>52</v>
      </c>
      <c r="E1291" s="9" t="s">
        <v>53</v>
      </c>
      <c r="F1291" s="9">
        <v>57346.0</v>
      </c>
      <c r="G1291" s="9">
        <v>2086820.0</v>
      </c>
      <c r="H1291" s="9">
        <v>2086820.0</v>
      </c>
      <c r="I1291" s="9">
        <v>1871103.0</v>
      </c>
      <c r="J1291" s="9">
        <v>0.0</v>
      </c>
      <c r="K1291" s="9">
        <v>0.0</v>
      </c>
      <c r="L1291" s="9" t="s">
        <v>59</v>
      </c>
      <c r="M1291" s="9" t="s">
        <v>55</v>
      </c>
      <c r="N1291" s="9">
        <v>2002320.24</v>
      </c>
      <c r="O1291" s="9">
        <v>2002320.24</v>
      </c>
      <c r="P1291" s="9">
        <v>60000.0</v>
      </c>
      <c r="Q1291" s="9">
        <v>60000.0</v>
      </c>
      <c r="R1291" s="9" t="s">
        <v>56</v>
      </c>
      <c r="S1291" s="9" t="s">
        <v>57</v>
      </c>
      <c r="T1291" s="9" t="s">
        <v>58</v>
      </c>
      <c r="V1291" s="9">
        <v>1431446.18</v>
      </c>
      <c r="W1291" s="9">
        <v>0.0</v>
      </c>
      <c r="X1291" s="9">
        <v>0.0</v>
      </c>
    </row>
    <row r="1292" ht="15.75" customHeight="1">
      <c r="A1292" s="9">
        <v>2133004.0</v>
      </c>
      <c r="B1292" s="9">
        <v>1539000.0</v>
      </c>
      <c r="C1292" s="9">
        <v>33427.0</v>
      </c>
      <c r="D1292" s="9" t="s">
        <v>52</v>
      </c>
      <c r="E1292" s="9" t="s">
        <v>53</v>
      </c>
      <c r="F1292" s="9">
        <v>164328.0</v>
      </c>
      <c r="G1292" s="9">
        <v>1429470.11</v>
      </c>
      <c r="H1292" s="9">
        <v>1429470.11</v>
      </c>
      <c r="I1292" s="9">
        <v>1346972.73</v>
      </c>
      <c r="J1292" s="9">
        <v>0.0</v>
      </c>
      <c r="K1292" s="9">
        <v>0.0</v>
      </c>
      <c r="L1292" s="9" t="s">
        <v>59</v>
      </c>
      <c r="M1292" s="9" t="s">
        <v>55</v>
      </c>
      <c r="N1292" s="9">
        <v>1429470.11</v>
      </c>
      <c r="O1292" s="9">
        <v>1286523.11</v>
      </c>
      <c r="R1292" s="9" t="s">
        <v>60</v>
      </c>
      <c r="S1292" s="9" t="s">
        <v>57</v>
      </c>
      <c r="T1292" s="9" t="s">
        <v>61</v>
      </c>
      <c r="V1292" s="9">
        <v>1316087.0</v>
      </c>
      <c r="W1292" s="9">
        <v>18135.63</v>
      </c>
      <c r="X1292" s="9">
        <v>0.0</v>
      </c>
    </row>
    <row r="1293" ht="15.75" customHeight="1">
      <c r="A1293" s="9">
        <v>2134535.0</v>
      </c>
      <c r="B1293" s="9">
        <v>5.3910717E7</v>
      </c>
      <c r="C1293" s="9">
        <v>27002.0</v>
      </c>
      <c r="D1293" s="9" t="s">
        <v>52</v>
      </c>
      <c r="E1293" s="9" t="s">
        <v>53</v>
      </c>
      <c r="F1293" s="9">
        <v>176637.0</v>
      </c>
      <c r="G1293" s="9">
        <v>4.764009321E7</v>
      </c>
      <c r="H1293" s="9">
        <v>4.782407652E7</v>
      </c>
      <c r="I1293" s="9">
        <v>4.737087365E7</v>
      </c>
      <c r="J1293" s="9">
        <v>0.0</v>
      </c>
      <c r="K1293" s="9">
        <v>0.0</v>
      </c>
      <c r="L1293" s="9" t="s">
        <v>59</v>
      </c>
      <c r="M1293" s="9" t="s">
        <v>55</v>
      </c>
      <c r="N1293" s="9">
        <v>4.565987515E7</v>
      </c>
      <c r="O1293" s="9">
        <v>4.565987515E7</v>
      </c>
      <c r="P1293" s="9">
        <v>1582969.48</v>
      </c>
      <c r="Q1293" s="9">
        <v>1582969.48</v>
      </c>
      <c r="R1293" s="9" t="s">
        <v>56</v>
      </c>
      <c r="S1293" s="9" t="s">
        <v>57</v>
      </c>
      <c r="T1293" s="9" t="s">
        <v>58</v>
      </c>
      <c r="V1293" s="9">
        <v>4.908243258E7</v>
      </c>
      <c r="W1293" s="9">
        <v>0.0</v>
      </c>
      <c r="X1293" s="9">
        <v>0.0</v>
      </c>
    </row>
    <row r="1294" ht="15.75" customHeight="1">
      <c r="A1294" s="9">
        <v>2135178.0</v>
      </c>
      <c r="B1294" s="9">
        <v>3501434.0</v>
      </c>
      <c r="C1294" s="9">
        <v>33428.0</v>
      </c>
      <c r="D1294" s="9" t="s">
        <v>52</v>
      </c>
      <c r="E1294" s="9" t="s">
        <v>53</v>
      </c>
      <c r="F1294" s="9">
        <v>165386.0</v>
      </c>
      <c r="G1294" s="9">
        <v>684401.88</v>
      </c>
      <c r="H1294" s="9">
        <v>3412833.61</v>
      </c>
      <c r="I1294" s="9">
        <v>2908533.22</v>
      </c>
      <c r="J1294" s="9">
        <v>0.0</v>
      </c>
      <c r="K1294" s="9">
        <v>0.0</v>
      </c>
      <c r="L1294" s="9" t="s">
        <v>59</v>
      </c>
      <c r="M1294" s="9" t="s">
        <v>55</v>
      </c>
      <c r="N1294" s="9">
        <v>3109467.17</v>
      </c>
      <c r="O1294" s="9">
        <v>2463000.0</v>
      </c>
      <c r="P1294" s="9">
        <v>38868.35</v>
      </c>
      <c r="Q1294" s="9">
        <v>0.0</v>
      </c>
      <c r="R1294" s="9" t="s">
        <v>60</v>
      </c>
      <c r="S1294" s="9" t="s">
        <v>57</v>
      </c>
      <c r="T1294" s="9" t="s">
        <v>61</v>
      </c>
      <c r="V1294" s="9">
        <v>2909371.21</v>
      </c>
      <c r="W1294" s="9">
        <v>0.0</v>
      </c>
      <c r="X1294" s="9">
        <v>0.0</v>
      </c>
    </row>
    <row r="1295" ht="15.75" customHeight="1">
      <c r="A1295" s="9">
        <v>2135837.0</v>
      </c>
      <c r="B1295" s="9">
        <v>701855.24</v>
      </c>
      <c r="C1295" s="9">
        <v>31610.0</v>
      </c>
      <c r="D1295" s="9" t="s">
        <v>52</v>
      </c>
      <c r="E1295" s="9" t="s">
        <v>53</v>
      </c>
      <c r="F1295" s="9">
        <v>180674.0</v>
      </c>
      <c r="G1295" s="9">
        <v>1067513.18</v>
      </c>
      <c r="H1295" s="9">
        <v>1067513.18</v>
      </c>
      <c r="I1295" s="9">
        <v>1066849.48</v>
      </c>
      <c r="J1295" s="9">
        <v>0.0</v>
      </c>
      <c r="K1295" s="9">
        <v>0.0</v>
      </c>
      <c r="L1295" s="9" t="s">
        <v>69</v>
      </c>
      <c r="M1295" s="9" t="s">
        <v>55</v>
      </c>
      <c r="R1295" s="9" t="s">
        <v>60</v>
      </c>
      <c r="S1295" s="9" t="s">
        <v>57</v>
      </c>
      <c r="T1295" s="9" t="s">
        <v>61</v>
      </c>
      <c r="V1295" s="9">
        <v>967396.96</v>
      </c>
      <c r="W1295" s="9">
        <v>0.0</v>
      </c>
      <c r="X1295" s="9">
        <v>0.0</v>
      </c>
    </row>
    <row r="1296" ht="15.75" customHeight="1">
      <c r="A1296" s="9">
        <v>2136041.0</v>
      </c>
      <c r="B1296" s="9">
        <v>4443168.0</v>
      </c>
      <c r="C1296" s="9">
        <v>30309.0</v>
      </c>
      <c r="D1296" s="9" t="s">
        <v>52</v>
      </c>
      <c r="E1296" s="9" t="s">
        <v>53</v>
      </c>
      <c r="F1296" s="9">
        <v>175374.0</v>
      </c>
      <c r="G1296" s="9">
        <v>4453968.0</v>
      </c>
      <c r="H1296" s="9">
        <v>4453968.0</v>
      </c>
      <c r="I1296" s="9">
        <v>3049271.55</v>
      </c>
      <c r="J1296" s="9">
        <v>0.0</v>
      </c>
      <c r="K1296" s="9">
        <v>0.0</v>
      </c>
      <c r="L1296" s="9" t="s">
        <v>59</v>
      </c>
      <c r="M1296" s="9" t="s">
        <v>55</v>
      </c>
      <c r="N1296" s="9">
        <v>4443168.0</v>
      </c>
      <c r="O1296" s="9">
        <v>4443168.0</v>
      </c>
      <c r="P1296" s="9">
        <v>181023.8</v>
      </c>
      <c r="Q1296" s="9">
        <v>180000.0</v>
      </c>
      <c r="R1296" s="9" t="s">
        <v>60</v>
      </c>
      <c r="S1296" s="9" t="s">
        <v>57</v>
      </c>
      <c r="T1296" s="9" t="s">
        <v>61</v>
      </c>
      <c r="V1296" s="9">
        <v>4450985.43</v>
      </c>
      <c r="W1296" s="9">
        <v>0.0</v>
      </c>
      <c r="X1296" s="9">
        <v>0.0</v>
      </c>
    </row>
    <row r="1297" ht="15.75" customHeight="1">
      <c r="A1297" s="9">
        <v>2138949.0</v>
      </c>
      <c r="B1297" s="9">
        <v>2178315.0</v>
      </c>
      <c r="C1297" s="9">
        <v>30300.0</v>
      </c>
      <c r="D1297" s="9" t="s">
        <v>52</v>
      </c>
      <c r="E1297" s="9" t="s">
        <v>53</v>
      </c>
      <c r="F1297" s="9">
        <v>157938.0</v>
      </c>
      <c r="G1297" s="9">
        <v>2184658.6</v>
      </c>
      <c r="H1297" s="9">
        <v>2184658.6</v>
      </c>
      <c r="I1297" s="9">
        <v>2196616.23</v>
      </c>
      <c r="J1297" s="9">
        <v>0.0</v>
      </c>
      <c r="K1297" s="9">
        <v>0.0</v>
      </c>
      <c r="L1297" s="9" t="s">
        <v>69</v>
      </c>
      <c r="M1297" s="9" t="s">
        <v>55</v>
      </c>
      <c r="N1297" s="9">
        <v>2013470.48</v>
      </c>
      <c r="O1297" s="9">
        <v>2013470.48</v>
      </c>
      <c r="P1297" s="9">
        <v>62000.0</v>
      </c>
      <c r="Q1297" s="9">
        <v>62000.0</v>
      </c>
      <c r="R1297" s="9" t="s">
        <v>56</v>
      </c>
      <c r="S1297" s="9" t="s">
        <v>57</v>
      </c>
      <c r="T1297" s="9" t="s">
        <v>58</v>
      </c>
      <c r="V1297" s="9">
        <v>2070093.13</v>
      </c>
      <c r="W1297" s="9">
        <v>0.0</v>
      </c>
      <c r="X1297" s="9">
        <v>0.0</v>
      </c>
    </row>
    <row r="1298" ht="15.75" customHeight="1">
      <c r="A1298" s="9">
        <v>2140458.0</v>
      </c>
      <c r="B1298" s="9">
        <v>675389.37</v>
      </c>
      <c r="C1298" s="9">
        <v>26981.0</v>
      </c>
      <c r="D1298" s="9" t="s">
        <v>52</v>
      </c>
      <c r="E1298" s="9" t="s">
        <v>53</v>
      </c>
      <c r="F1298" s="9">
        <v>172693.0</v>
      </c>
      <c r="G1298" s="9">
        <v>675388.64</v>
      </c>
      <c r="H1298" s="9">
        <v>675388.64</v>
      </c>
      <c r="I1298" s="9">
        <v>650455.39</v>
      </c>
      <c r="J1298" s="9">
        <v>0.0</v>
      </c>
      <c r="K1298" s="9">
        <v>0.0</v>
      </c>
      <c r="L1298" s="9" t="s">
        <v>59</v>
      </c>
      <c r="M1298" s="9" t="s">
        <v>55</v>
      </c>
      <c r="N1298" s="9">
        <v>635184.64</v>
      </c>
      <c r="O1298" s="9">
        <v>635184.64</v>
      </c>
      <c r="P1298" s="9">
        <v>23404.0</v>
      </c>
      <c r="Q1298" s="9">
        <v>23404.0</v>
      </c>
      <c r="R1298" s="9" t="s">
        <v>60</v>
      </c>
      <c r="S1298" s="9" t="s">
        <v>57</v>
      </c>
      <c r="T1298" s="9" t="s">
        <v>61</v>
      </c>
      <c r="V1298" s="9">
        <v>640251.62</v>
      </c>
      <c r="W1298" s="9">
        <v>0.0</v>
      </c>
      <c r="X1298" s="9">
        <v>0.0</v>
      </c>
    </row>
    <row r="1299" ht="15.75" customHeight="1">
      <c r="A1299" s="9">
        <v>2140494.0</v>
      </c>
      <c r="B1299" s="9">
        <v>3973652.0</v>
      </c>
      <c r="C1299" s="9">
        <v>30893.0</v>
      </c>
      <c r="D1299" s="9" t="s">
        <v>52</v>
      </c>
      <c r="E1299" s="9" t="s">
        <v>53</v>
      </c>
      <c r="F1299" s="9">
        <v>174001.0</v>
      </c>
      <c r="G1299" s="9">
        <v>3940259.47</v>
      </c>
      <c r="H1299" s="9">
        <v>3940259.47</v>
      </c>
      <c r="I1299" s="9">
        <v>3901545.48</v>
      </c>
      <c r="J1299" s="9">
        <v>0.0</v>
      </c>
      <c r="K1299" s="9">
        <v>0.0</v>
      </c>
      <c r="L1299" s="9" t="s">
        <v>69</v>
      </c>
      <c r="M1299" s="9" t="s">
        <v>55</v>
      </c>
      <c r="N1299" s="9">
        <v>3677044.18</v>
      </c>
      <c r="O1299" s="9">
        <v>3677044.17</v>
      </c>
      <c r="P1299" s="9">
        <v>185787.88</v>
      </c>
      <c r="Q1299" s="9">
        <v>185787.88</v>
      </c>
      <c r="R1299" s="9" t="s">
        <v>56</v>
      </c>
      <c r="S1299" s="9" t="s">
        <v>57</v>
      </c>
      <c r="T1299" s="9" t="s">
        <v>58</v>
      </c>
      <c r="V1299" s="9">
        <v>3533841.07</v>
      </c>
      <c r="W1299" s="9">
        <v>0.0</v>
      </c>
      <c r="X1299" s="9">
        <v>0.0</v>
      </c>
    </row>
    <row r="1300" ht="15.75" customHeight="1">
      <c r="A1300" s="9">
        <v>2142489.0</v>
      </c>
      <c r="B1300" s="9">
        <v>471763.12</v>
      </c>
      <c r="C1300" s="9">
        <v>29891.0</v>
      </c>
      <c r="D1300" s="9" t="s">
        <v>52</v>
      </c>
      <c r="E1300" s="9" t="s">
        <v>53</v>
      </c>
      <c r="F1300" s="9">
        <v>179409.0</v>
      </c>
      <c r="G1300" s="9">
        <v>652287.2</v>
      </c>
      <c r="H1300" s="9">
        <v>652287.2</v>
      </c>
      <c r="I1300" s="9">
        <v>611521.56</v>
      </c>
      <c r="J1300" s="9">
        <v>0.0</v>
      </c>
      <c r="K1300" s="9">
        <v>0.0</v>
      </c>
      <c r="L1300" s="9" t="s">
        <v>69</v>
      </c>
      <c r="M1300" s="9" t="s">
        <v>55</v>
      </c>
      <c r="N1300" s="9">
        <v>611906.11</v>
      </c>
      <c r="O1300" s="9">
        <v>609506.92</v>
      </c>
      <c r="R1300" s="9" t="s">
        <v>60</v>
      </c>
      <c r="S1300" s="9" t="s">
        <v>57</v>
      </c>
      <c r="T1300" s="9" t="s">
        <v>61</v>
      </c>
      <c r="V1300" s="9">
        <v>607171.56</v>
      </c>
      <c r="W1300" s="9">
        <v>0.0</v>
      </c>
      <c r="X1300" s="9">
        <v>0.0</v>
      </c>
    </row>
    <row r="1301" ht="15.75" customHeight="1">
      <c r="A1301" s="9">
        <v>2142657.0</v>
      </c>
      <c r="B1301" s="9">
        <v>2000891.0</v>
      </c>
      <c r="C1301" s="9">
        <v>30837.0</v>
      </c>
      <c r="D1301" s="9" t="s">
        <v>52</v>
      </c>
      <c r="E1301" s="9" t="s">
        <v>53</v>
      </c>
      <c r="F1301" s="9">
        <v>167341.0</v>
      </c>
      <c r="G1301" s="9">
        <v>2206617.19</v>
      </c>
      <c r="H1301" s="9">
        <v>2206617.19</v>
      </c>
      <c r="I1301" s="9">
        <v>2206616.73</v>
      </c>
      <c r="J1301" s="9">
        <v>0.0</v>
      </c>
      <c r="K1301" s="9">
        <v>0.0</v>
      </c>
      <c r="L1301" s="9" t="s">
        <v>59</v>
      </c>
      <c r="M1301" s="9" t="s">
        <v>55</v>
      </c>
      <c r="N1301" s="9">
        <v>2107318.07</v>
      </c>
      <c r="O1301" s="9">
        <v>2107318.07</v>
      </c>
      <c r="P1301" s="9">
        <v>84841.39</v>
      </c>
      <c r="Q1301" s="9">
        <v>84841.39</v>
      </c>
      <c r="R1301" s="9" t="s">
        <v>56</v>
      </c>
      <c r="S1301" s="9" t="s">
        <v>57</v>
      </c>
      <c r="T1301" s="9" t="s">
        <v>58</v>
      </c>
      <c r="V1301" s="9">
        <v>2107318.07</v>
      </c>
      <c r="W1301" s="9">
        <v>0.0</v>
      </c>
      <c r="X1301" s="9">
        <v>0.0</v>
      </c>
    </row>
    <row r="1302" ht="15.75" customHeight="1">
      <c r="A1302" s="9">
        <v>2215745.0</v>
      </c>
      <c r="B1302" s="9">
        <v>9546108.0</v>
      </c>
      <c r="C1302" s="9">
        <v>26651.0</v>
      </c>
      <c r="D1302" s="9" t="s">
        <v>52</v>
      </c>
      <c r="E1302" s="9" t="s">
        <v>53</v>
      </c>
      <c r="F1302" s="9">
        <v>197062.0</v>
      </c>
      <c r="G1302" s="9">
        <v>9439366.72</v>
      </c>
      <c r="H1302" s="9">
        <v>9439366.72</v>
      </c>
      <c r="I1302" s="9">
        <v>8796360.15</v>
      </c>
      <c r="J1302" s="9">
        <v>0.0</v>
      </c>
      <c r="K1302" s="9">
        <v>0.0</v>
      </c>
      <c r="L1302" s="9" t="s">
        <v>59</v>
      </c>
      <c r="M1302" s="9" t="s">
        <v>55</v>
      </c>
      <c r="N1302" s="9">
        <v>8992156.48</v>
      </c>
      <c r="O1302" s="9">
        <v>8361806.85</v>
      </c>
      <c r="P1302" s="9">
        <v>417210.24</v>
      </c>
      <c r="Q1302" s="9">
        <v>353568.0</v>
      </c>
      <c r="R1302" s="9" t="s">
        <v>60</v>
      </c>
      <c r="S1302" s="9" t="s">
        <v>57</v>
      </c>
      <c r="T1302" s="9" t="s">
        <v>61</v>
      </c>
      <c r="V1302" s="9">
        <v>8645047.06</v>
      </c>
      <c r="W1302" s="9">
        <v>353568.0</v>
      </c>
      <c r="X1302" s="9">
        <v>0.0</v>
      </c>
    </row>
    <row r="1303" ht="15.75" customHeight="1">
      <c r="A1303" s="9">
        <v>2217350.0</v>
      </c>
      <c r="B1303" s="9">
        <v>1279631.0</v>
      </c>
      <c r="C1303" s="9">
        <v>31029.0</v>
      </c>
      <c r="D1303" s="9" t="s">
        <v>52</v>
      </c>
      <c r="E1303" s="9" t="s">
        <v>53</v>
      </c>
      <c r="F1303" s="9">
        <v>50130.0</v>
      </c>
      <c r="G1303" s="9">
        <v>1279631.0</v>
      </c>
      <c r="H1303" s="9">
        <v>1279631.0</v>
      </c>
      <c r="I1303" s="9">
        <v>0.0</v>
      </c>
      <c r="J1303" s="9">
        <v>0.0</v>
      </c>
      <c r="K1303" s="9">
        <v>0.0</v>
      </c>
      <c r="L1303" s="9" t="s">
        <v>54</v>
      </c>
      <c r="M1303" s="9" t="s">
        <v>55</v>
      </c>
      <c r="R1303" s="9" t="s">
        <v>75</v>
      </c>
      <c r="S1303" s="9" t="s">
        <v>57</v>
      </c>
      <c r="T1303" s="9" t="s">
        <v>76</v>
      </c>
    </row>
    <row r="1304" ht="15.75" customHeight="1">
      <c r="A1304" s="9">
        <v>2217400.0</v>
      </c>
      <c r="B1304" s="9">
        <v>1950364.0</v>
      </c>
      <c r="C1304" s="9">
        <v>39345.0</v>
      </c>
      <c r="D1304" s="9" t="s">
        <v>52</v>
      </c>
      <c r="E1304" s="9" t="s">
        <v>53</v>
      </c>
      <c r="F1304" s="9">
        <v>227344.0</v>
      </c>
      <c r="G1304" s="9">
        <v>2797618.56</v>
      </c>
      <c r="H1304" s="9">
        <v>2609342.45</v>
      </c>
      <c r="I1304" s="9">
        <v>2609342.45</v>
      </c>
      <c r="J1304" s="9">
        <v>0.0</v>
      </c>
      <c r="K1304" s="9">
        <v>0.0</v>
      </c>
      <c r="L1304" s="9" t="s">
        <v>69</v>
      </c>
      <c r="M1304" s="9" t="s">
        <v>62</v>
      </c>
      <c r="N1304" s="9">
        <v>630946.37</v>
      </c>
      <c r="O1304" s="9">
        <v>630946.37</v>
      </c>
      <c r="R1304" s="9" t="s">
        <v>56</v>
      </c>
      <c r="S1304" s="9" t="s">
        <v>57</v>
      </c>
      <c r="T1304" s="9" t="s">
        <v>58</v>
      </c>
      <c r="V1304" s="9">
        <v>640212.39</v>
      </c>
      <c r="W1304" s="9">
        <v>0.0</v>
      </c>
      <c r="X1304" s="9">
        <v>0.0</v>
      </c>
    </row>
    <row r="1305" ht="15.75" customHeight="1">
      <c r="A1305" s="9">
        <v>2217468.0</v>
      </c>
      <c r="B1305" s="9">
        <v>2899975.0</v>
      </c>
      <c r="C1305" s="9">
        <v>31573.0</v>
      </c>
      <c r="D1305" s="9" t="s">
        <v>52</v>
      </c>
      <c r="E1305" s="9" t="s">
        <v>53</v>
      </c>
      <c r="F1305" s="9">
        <v>213843.0</v>
      </c>
      <c r="G1305" s="9">
        <v>3347712.56</v>
      </c>
      <c r="H1305" s="9">
        <v>3496335.06</v>
      </c>
      <c r="I1305" s="9">
        <v>3294712.38</v>
      </c>
      <c r="J1305" s="9">
        <v>0.0</v>
      </c>
      <c r="K1305" s="9">
        <v>0.0</v>
      </c>
      <c r="L1305" s="9" t="s">
        <v>59</v>
      </c>
      <c r="M1305" s="9" t="s">
        <v>55</v>
      </c>
      <c r="N1305" s="9">
        <v>3173635.33</v>
      </c>
      <c r="O1305" s="9">
        <v>3173635.33</v>
      </c>
      <c r="P1305" s="9">
        <v>111077.24</v>
      </c>
      <c r="Q1305" s="9">
        <v>111077.24</v>
      </c>
      <c r="R1305" s="9" t="s">
        <v>60</v>
      </c>
      <c r="S1305" s="9" t="s">
        <v>57</v>
      </c>
      <c r="T1305" s="9" t="s">
        <v>61</v>
      </c>
      <c r="V1305" s="9">
        <v>3173635.33</v>
      </c>
      <c r="W1305" s="9">
        <v>111077.24</v>
      </c>
      <c r="X1305" s="9">
        <v>0.0</v>
      </c>
    </row>
    <row r="1306" ht="15.75" customHeight="1">
      <c r="A1306" s="9">
        <v>2219975.0</v>
      </c>
      <c r="B1306" s="9">
        <v>4879451.0</v>
      </c>
      <c r="C1306" s="9">
        <v>39346.0</v>
      </c>
      <c r="D1306" s="9" t="s">
        <v>52</v>
      </c>
      <c r="E1306" s="9" t="s">
        <v>53</v>
      </c>
      <c r="F1306" s="9">
        <v>211517.0</v>
      </c>
      <c r="G1306" s="9">
        <v>6501682.41</v>
      </c>
      <c r="H1306" s="9">
        <v>7378308.34</v>
      </c>
      <c r="I1306" s="9">
        <v>7378307.66</v>
      </c>
      <c r="J1306" s="9">
        <v>0.0</v>
      </c>
      <c r="K1306" s="9">
        <v>0.0</v>
      </c>
      <c r="L1306" s="9" t="s">
        <v>59</v>
      </c>
      <c r="M1306" s="9" t="s">
        <v>62</v>
      </c>
      <c r="N1306" s="9">
        <v>5236180.33</v>
      </c>
      <c r="O1306" s="9">
        <v>5236180.33</v>
      </c>
      <c r="R1306" s="9" t="s">
        <v>56</v>
      </c>
      <c r="S1306" s="9" t="s">
        <v>57</v>
      </c>
      <c r="T1306" s="9" t="s">
        <v>58</v>
      </c>
      <c r="V1306" s="9">
        <v>7343704.35</v>
      </c>
      <c r="W1306" s="9">
        <v>0.0</v>
      </c>
      <c r="X1306" s="9">
        <v>0.0</v>
      </c>
    </row>
    <row r="1307" ht="15.75" customHeight="1">
      <c r="A1307" s="9">
        <v>2220008.0</v>
      </c>
      <c r="B1307" s="9">
        <v>9913365.0</v>
      </c>
      <c r="C1307" s="9">
        <v>32296.0</v>
      </c>
      <c r="D1307" s="9" t="s">
        <v>52</v>
      </c>
      <c r="E1307" s="9" t="s">
        <v>53</v>
      </c>
      <c r="F1307" s="9">
        <v>241828.0</v>
      </c>
      <c r="G1307" s="9">
        <v>1.169124611E7</v>
      </c>
      <c r="H1307" s="9">
        <v>1.169124611E7</v>
      </c>
      <c r="I1307" s="9">
        <v>1.169027354E7</v>
      </c>
      <c r="J1307" s="9">
        <v>0.0</v>
      </c>
      <c r="K1307" s="9">
        <v>0.0</v>
      </c>
      <c r="L1307" s="9" t="s">
        <v>59</v>
      </c>
      <c r="M1307" s="9" t="s">
        <v>55</v>
      </c>
      <c r="N1307" s="9">
        <v>1.112114611E7</v>
      </c>
      <c r="O1307" s="9">
        <v>1.112114611E7</v>
      </c>
      <c r="P1307" s="9">
        <v>370000.0</v>
      </c>
      <c r="Q1307" s="9">
        <v>370000.0</v>
      </c>
      <c r="R1307" s="9" t="s">
        <v>94</v>
      </c>
      <c r="S1307" s="9" t="s">
        <v>57</v>
      </c>
      <c r="T1307" s="9" t="s">
        <v>95</v>
      </c>
    </row>
    <row r="1308" ht="15.75" customHeight="1">
      <c r="A1308" s="9">
        <v>2226041.0</v>
      </c>
      <c r="B1308" s="9">
        <v>2995815.0</v>
      </c>
      <c r="C1308" s="9">
        <v>29580.0</v>
      </c>
      <c r="D1308" s="9" t="s">
        <v>52</v>
      </c>
      <c r="E1308" s="9" t="s">
        <v>53</v>
      </c>
      <c r="F1308" s="9">
        <v>54372.0</v>
      </c>
      <c r="G1308" s="9">
        <v>2995815.0</v>
      </c>
      <c r="H1308" s="9">
        <v>2995815.0</v>
      </c>
      <c r="I1308" s="9">
        <v>0.0</v>
      </c>
      <c r="J1308" s="9">
        <v>0.0</v>
      </c>
      <c r="K1308" s="9">
        <v>0.0</v>
      </c>
      <c r="L1308" s="9" t="s">
        <v>54</v>
      </c>
      <c r="M1308" s="9" t="s">
        <v>65</v>
      </c>
      <c r="N1308" s="9">
        <v>89000.0</v>
      </c>
      <c r="O1308" s="9">
        <v>89000.0</v>
      </c>
      <c r="R1308" s="9" t="s">
        <v>60</v>
      </c>
      <c r="S1308" s="9" t="s">
        <v>57</v>
      </c>
      <c r="T1308" s="9" t="s">
        <v>61</v>
      </c>
      <c r="V1308" s="9">
        <v>89918.0</v>
      </c>
    </row>
    <row r="1309" ht="15.75" customHeight="1">
      <c r="A1309" s="9">
        <v>2226642.0</v>
      </c>
      <c r="B1309" s="9">
        <v>1013844.87</v>
      </c>
      <c r="C1309" s="9">
        <v>37520.0</v>
      </c>
      <c r="D1309" s="9" t="s">
        <v>52</v>
      </c>
      <c r="E1309" s="9" t="s">
        <v>53</v>
      </c>
      <c r="F1309" s="9">
        <v>207669.0</v>
      </c>
      <c r="G1309" s="9">
        <v>1399886.36</v>
      </c>
      <c r="H1309" s="9">
        <v>1399886.36</v>
      </c>
      <c r="I1309" s="9">
        <v>1323602.8</v>
      </c>
      <c r="J1309" s="9">
        <v>0.0</v>
      </c>
      <c r="K1309" s="9">
        <v>0.0</v>
      </c>
      <c r="L1309" s="9" t="s">
        <v>69</v>
      </c>
      <c r="M1309" s="9" t="s">
        <v>55</v>
      </c>
      <c r="N1309" s="9">
        <v>1354486.36</v>
      </c>
      <c r="O1309" s="9">
        <v>1354464.49</v>
      </c>
      <c r="R1309" s="9" t="s">
        <v>56</v>
      </c>
      <c r="S1309" s="9" t="s">
        <v>57</v>
      </c>
      <c r="T1309" s="9" t="s">
        <v>58</v>
      </c>
      <c r="V1309" s="9">
        <v>1129405.73</v>
      </c>
      <c r="W1309" s="9">
        <v>27500.0</v>
      </c>
      <c r="X1309" s="9">
        <v>0.0</v>
      </c>
    </row>
    <row r="1310" ht="15.75" customHeight="1">
      <c r="A1310" s="9">
        <v>2234766.0</v>
      </c>
      <c r="B1310" s="9">
        <v>6.8788193E7</v>
      </c>
      <c r="C1310" s="9">
        <v>32262.0</v>
      </c>
      <c r="D1310" s="9" t="s">
        <v>52</v>
      </c>
      <c r="E1310" s="9" t="s">
        <v>53</v>
      </c>
      <c r="F1310" s="9">
        <v>156697.0</v>
      </c>
      <c r="G1310" s="9">
        <v>7.21769426E7</v>
      </c>
      <c r="H1310" s="9">
        <v>4.9968210313E8</v>
      </c>
      <c r="I1310" s="9">
        <v>2779277.06</v>
      </c>
      <c r="J1310" s="9">
        <v>81534.46</v>
      </c>
      <c r="K1310" s="9">
        <v>181527.0</v>
      </c>
      <c r="L1310" s="9" t="s">
        <v>59</v>
      </c>
      <c r="M1310" s="9" t="s">
        <v>65</v>
      </c>
      <c r="N1310" s="9">
        <v>1239000.0</v>
      </c>
      <c r="O1310" s="9">
        <v>1239000.0</v>
      </c>
      <c r="P1310" s="9">
        <v>283200.0</v>
      </c>
      <c r="Q1310" s="9">
        <v>283200.0</v>
      </c>
      <c r="R1310" s="9" t="s">
        <v>60</v>
      </c>
      <c r="S1310" s="9" t="s">
        <v>57</v>
      </c>
      <c r="T1310" s="9" t="s">
        <v>61</v>
      </c>
      <c r="V1310" s="9">
        <v>1239000.0</v>
      </c>
      <c r="W1310" s="9">
        <v>283200.0</v>
      </c>
    </row>
    <row r="1311" ht="15.75" customHeight="1">
      <c r="A1311" s="9">
        <v>2235783.0</v>
      </c>
      <c r="B1311" s="9">
        <v>1731693.0</v>
      </c>
      <c r="C1311" s="9">
        <v>37503.0</v>
      </c>
      <c r="D1311" s="9" t="s">
        <v>52</v>
      </c>
      <c r="E1311" s="9" t="s">
        <v>53</v>
      </c>
      <c r="F1311" s="9">
        <v>181541.0</v>
      </c>
      <c r="G1311" s="9">
        <v>2127473.88</v>
      </c>
      <c r="H1311" s="9">
        <v>2127473.88</v>
      </c>
      <c r="I1311" s="9">
        <v>2477843.44</v>
      </c>
      <c r="J1311" s="9">
        <v>0.0</v>
      </c>
      <c r="K1311" s="9">
        <v>0.0</v>
      </c>
      <c r="L1311" s="9" t="s">
        <v>59</v>
      </c>
      <c r="M1311" s="9" t="s">
        <v>55</v>
      </c>
      <c r="N1311" s="9">
        <v>1993373.88</v>
      </c>
      <c r="O1311" s="9">
        <v>1993373.88</v>
      </c>
      <c r="P1311" s="9">
        <v>79016.22</v>
      </c>
      <c r="Q1311" s="9">
        <v>79000.0</v>
      </c>
      <c r="R1311" s="9" t="s">
        <v>60</v>
      </c>
      <c r="S1311" s="9" t="s">
        <v>57</v>
      </c>
      <c r="T1311" s="9" t="s">
        <v>61</v>
      </c>
      <c r="V1311" s="9">
        <v>1993373.88</v>
      </c>
      <c r="W1311" s="9">
        <v>78999.97</v>
      </c>
      <c r="X1311" s="9">
        <v>0.0</v>
      </c>
    </row>
    <row r="1312" ht="15.75" customHeight="1">
      <c r="A1312" s="9">
        <v>2238309.0</v>
      </c>
      <c r="B1312" s="9">
        <v>4053545.0</v>
      </c>
      <c r="C1312" s="9">
        <v>37592.0</v>
      </c>
      <c r="D1312" s="9" t="s">
        <v>52</v>
      </c>
      <c r="E1312" s="9" t="s">
        <v>53</v>
      </c>
      <c r="F1312" s="9">
        <v>267803.0</v>
      </c>
      <c r="G1312" s="9">
        <v>4117441.89</v>
      </c>
      <c r="H1312" s="9">
        <v>4117441.89</v>
      </c>
      <c r="I1312" s="9">
        <v>3627262.61</v>
      </c>
      <c r="J1312" s="9">
        <v>0.0</v>
      </c>
      <c r="K1312" s="9">
        <v>0.0</v>
      </c>
      <c r="L1312" s="9" t="s">
        <v>69</v>
      </c>
      <c r="M1312" s="9" t="s">
        <v>55</v>
      </c>
      <c r="N1312" s="9">
        <v>3829945.69</v>
      </c>
      <c r="O1312" s="9">
        <v>3446951.14</v>
      </c>
      <c r="P1312" s="9">
        <v>0.0</v>
      </c>
      <c r="Q1312" s="9">
        <v>0.0</v>
      </c>
      <c r="R1312" s="9" t="s">
        <v>60</v>
      </c>
      <c r="S1312" s="9" t="s">
        <v>57</v>
      </c>
      <c r="T1312" s="9" t="s">
        <v>61</v>
      </c>
      <c r="V1312" s="9">
        <v>3388293.66</v>
      </c>
      <c r="W1312" s="9">
        <v>219570.85</v>
      </c>
      <c r="X1312" s="9">
        <v>0.0</v>
      </c>
    </row>
    <row r="1313" ht="15.75" customHeight="1">
      <c r="A1313" s="9">
        <v>2238574.0</v>
      </c>
      <c r="B1313" s="9">
        <v>1.2762009E7</v>
      </c>
      <c r="C1313" s="9">
        <v>39353.0</v>
      </c>
      <c r="D1313" s="9" t="s">
        <v>52</v>
      </c>
      <c r="E1313" s="9" t="s">
        <v>53</v>
      </c>
      <c r="F1313" s="9">
        <v>268848.0</v>
      </c>
      <c r="G1313" s="9">
        <v>1.380816959E7</v>
      </c>
      <c r="H1313" s="9">
        <v>2.420662735E7</v>
      </c>
      <c r="I1313" s="9">
        <v>1.236706755E7</v>
      </c>
      <c r="J1313" s="9">
        <v>0.0</v>
      </c>
      <c r="K1313" s="9">
        <v>0.0</v>
      </c>
      <c r="L1313" s="9" t="s">
        <v>59</v>
      </c>
      <c r="M1313" s="9" t="s">
        <v>55</v>
      </c>
      <c r="N1313" s="9">
        <v>1.300072584E7</v>
      </c>
      <c r="O1313" s="9">
        <v>1.21193E7</v>
      </c>
      <c r="P1313" s="9">
        <v>520029.03</v>
      </c>
      <c r="Q1313" s="9">
        <v>482000.0</v>
      </c>
      <c r="R1313" s="9" t="s">
        <v>77</v>
      </c>
      <c r="S1313" s="9" t="s">
        <v>78</v>
      </c>
      <c r="T1313" s="9" t="s">
        <v>79</v>
      </c>
      <c r="U1313" s="9" t="s">
        <v>80</v>
      </c>
    </row>
    <row r="1314" ht="15.75" customHeight="1">
      <c r="A1314" s="9">
        <v>2244207.0</v>
      </c>
      <c r="B1314" s="9">
        <v>5139659.0</v>
      </c>
      <c r="C1314" s="9">
        <v>37643.0</v>
      </c>
      <c r="D1314" s="9" t="s">
        <v>52</v>
      </c>
      <c r="E1314" s="9" t="s">
        <v>53</v>
      </c>
      <c r="F1314" s="9">
        <v>292579.0</v>
      </c>
      <c r="G1314" s="9">
        <v>4486141.97</v>
      </c>
      <c r="H1314" s="9">
        <v>4486141.97</v>
      </c>
      <c r="I1314" s="9">
        <v>4143487.16</v>
      </c>
      <c r="J1314" s="9">
        <v>0.0</v>
      </c>
      <c r="K1314" s="9">
        <v>0.0</v>
      </c>
      <c r="L1314" s="9" t="s">
        <v>59</v>
      </c>
      <c r="M1314" s="9" t="s">
        <v>55</v>
      </c>
      <c r="N1314" s="9">
        <v>4345768.9</v>
      </c>
      <c r="O1314" s="9">
        <v>4345768.9</v>
      </c>
      <c r="P1314" s="9">
        <v>130373.07</v>
      </c>
      <c r="Q1314" s="9">
        <v>130373.07</v>
      </c>
      <c r="R1314" s="9" t="s">
        <v>60</v>
      </c>
      <c r="S1314" s="9" t="s">
        <v>57</v>
      </c>
      <c r="T1314" s="9" t="s">
        <v>61</v>
      </c>
      <c r="V1314" s="9">
        <v>4024918.93</v>
      </c>
      <c r="W1314" s="9">
        <v>118568.23</v>
      </c>
      <c r="X1314" s="9">
        <v>0.0</v>
      </c>
    </row>
    <row r="1315" ht="15.75" customHeight="1">
      <c r="A1315" s="9">
        <v>2247330.0</v>
      </c>
      <c r="B1315" s="9">
        <v>9992625.0</v>
      </c>
      <c r="C1315" s="9">
        <v>40014.0</v>
      </c>
      <c r="D1315" s="9" t="s">
        <v>52</v>
      </c>
      <c r="E1315" s="9" t="s">
        <v>111</v>
      </c>
      <c r="F1315" s="9">
        <v>304478.0</v>
      </c>
      <c r="G1315" s="9">
        <v>8102320.4</v>
      </c>
      <c r="H1315" s="9">
        <v>7306573.28</v>
      </c>
      <c r="I1315" s="9">
        <v>7169705.93</v>
      </c>
      <c r="J1315" s="9">
        <v>0.0</v>
      </c>
      <c r="K1315" s="9">
        <v>0.0</v>
      </c>
      <c r="L1315" s="9" t="s">
        <v>59</v>
      </c>
      <c r="M1315" s="9" t="s">
        <v>55</v>
      </c>
      <c r="N1315" s="9">
        <v>7618491.03</v>
      </c>
      <c r="O1315" s="9">
        <v>7481939.65</v>
      </c>
      <c r="P1315" s="9">
        <v>285700.0</v>
      </c>
      <c r="Q1315" s="9">
        <v>277129.0</v>
      </c>
      <c r="R1315" s="9" t="s">
        <v>72</v>
      </c>
      <c r="S1315" s="9" t="s">
        <v>57</v>
      </c>
      <c r="T1315" s="9" t="s">
        <v>73</v>
      </c>
      <c r="V1315" s="9">
        <v>6825292.23</v>
      </c>
      <c r="W1315" s="9">
        <v>282275.03</v>
      </c>
    </row>
    <row r="1316" ht="15.75" customHeight="1">
      <c r="A1316" s="9">
        <v>2251977.0</v>
      </c>
      <c r="B1316" s="9">
        <v>3052813.0</v>
      </c>
      <c r="C1316" s="9">
        <v>37539.0</v>
      </c>
      <c r="D1316" s="9" t="s">
        <v>52</v>
      </c>
      <c r="E1316" s="9" t="s">
        <v>53</v>
      </c>
      <c r="F1316" s="9">
        <v>230893.0</v>
      </c>
      <c r="G1316" s="9">
        <v>3455811.82</v>
      </c>
      <c r="H1316" s="9">
        <v>2582747.98</v>
      </c>
      <c r="I1316" s="9">
        <v>2228062.0</v>
      </c>
      <c r="J1316" s="9">
        <v>0.0</v>
      </c>
      <c r="K1316" s="9">
        <v>0.0</v>
      </c>
      <c r="L1316" s="9" t="s">
        <v>69</v>
      </c>
      <c r="M1316" s="9" t="s">
        <v>55</v>
      </c>
      <c r="N1316" s="9">
        <v>3198957.7</v>
      </c>
      <c r="O1316" s="9">
        <v>2879061.93</v>
      </c>
      <c r="P1316" s="9">
        <v>222638.16</v>
      </c>
      <c r="Q1316" s="9">
        <v>219966.5</v>
      </c>
      <c r="R1316" s="9" t="s">
        <v>60</v>
      </c>
      <c r="S1316" s="9" t="s">
        <v>57</v>
      </c>
      <c r="T1316" s="9" t="s">
        <v>61</v>
      </c>
      <c r="V1316" s="9">
        <v>2375530.39</v>
      </c>
      <c r="W1316" s="9">
        <v>259450.41</v>
      </c>
      <c r="X1316" s="9">
        <v>0.0</v>
      </c>
    </row>
    <row r="1317" ht="15.75" customHeight="1">
      <c r="A1317" s="9">
        <v>2259498.0</v>
      </c>
      <c r="B1317" s="9">
        <v>9000351.0</v>
      </c>
      <c r="C1317" s="9">
        <v>37675.0</v>
      </c>
      <c r="D1317" s="9" t="s">
        <v>52</v>
      </c>
      <c r="E1317" s="9" t="s">
        <v>53</v>
      </c>
      <c r="F1317" s="9">
        <v>315332.0</v>
      </c>
      <c r="G1317" s="9">
        <v>3290083.39</v>
      </c>
      <c r="H1317" s="9">
        <v>3290083.39</v>
      </c>
      <c r="I1317" s="9">
        <v>3287184.93</v>
      </c>
      <c r="J1317" s="9">
        <v>0.0</v>
      </c>
      <c r="K1317" s="9">
        <v>0.0</v>
      </c>
      <c r="L1317" s="9" t="s">
        <v>69</v>
      </c>
      <c r="M1317" s="9" t="s">
        <v>55</v>
      </c>
      <c r="N1317" s="9">
        <v>2845466.62</v>
      </c>
      <c r="O1317" s="9">
        <v>2845466.62</v>
      </c>
      <c r="P1317" s="9">
        <v>142273.33</v>
      </c>
      <c r="Q1317" s="9">
        <v>142273.33</v>
      </c>
      <c r="R1317" s="9" t="s">
        <v>60</v>
      </c>
      <c r="S1317" s="9" t="s">
        <v>57</v>
      </c>
      <c r="T1317" s="9" t="s">
        <v>61</v>
      </c>
      <c r="V1317" s="9">
        <v>3133612.6</v>
      </c>
      <c r="W1317" s="9">
        <v>142273.33</v>
      </c>
      <c r="X1317" s="9">
        <v>0.0</v>
      </c>
    </row>
    <row r="1318" ht="15.75" customHeight="1">
      <c r="A1318" s="9">
        <v>2260033.0</v>
      </c>
      <c r="B1318" s="9">
        <v>668700.0</v>
      </c>
      <c r="C1318" s="9">
        <v>39830.0</v>
      </c>
      <c r="D1318" s="9" t="s">
        <v>52</v>
      </c>
      <c r="E1318" s="9" t="s">
        <v>53</v>
      </c>
      <c r="F1318" s="9">
        <v>315334.0</v>
      </c>
      <c r="G1318" s="9">
        <v>932588.47</v>
      </c>
      <c r="H1318" s="9">
        <v>932588.47</v>
      </c>
      <c r="I1318" s="9">
        <v>891443.7</v>
      </c>
      <c r="J1318" s="9">
        <v>0.0</v>
      </c>
      <c r="K1318" s="9">
        <v>0.0</v>
      </c>
      <c r="L1318" s="9" t="s">
        <v>69</v>
      </c>
      <c r="M1318" s="9" t="s">
        <v>55</v>
      </c>
      <c r="N1318" s="9">
        <v>871113.95</v>
      </c>
      <c r="O1318" s="9">
        <v>871113.95</v>
      </c>
      <c r="R1318" s="9" t="s">
        <v>60</v>
      </c>
      <c r="S1318" s="9" t="s">
        <v>57</v>
      </c>
      <c r="T1318" s="9" t="s">
        <v>61</v>
      </c>
      <c r="V1318" s="9">
        <v>863593.89</v>
      </c>
      <c r="W1318" s="9">
        <v>0.0</v>
      </c>
      <c r="X1318" s="9">
        <v>0.0</v>
      </c>
    </row>
    <row r="1319" ht="15.75" customHeight="1">
      <c r="A1319" s="9">
        <v>2261034.0</v>
      </c>
      <c r="B1319" s="9">
        <v>8627332.0</v>
      </c>
      <c r="C1319" s="9">
        <v>39544.0</v>
      </c>
      <c r="D1319" s="9" t="s">
        <v>52</v>
      </c>
      <c r="E1319" s="9" t="s">
        <v>53</v>
      </c>
      <c r="F1319" s="9">
        <v>315979.0</v>
      </c>
      <c r="G1319" s="9">
        <v>9520436.09</v>
      </c>
      <c r="H1319" s="9">
        <v>9520436.09</v>
      </c>
      <c r="I1319" s="9">
        <v>9510437.7</v>
      </c>
      <c r="J1319" s="9">
        <v>0.0</v>
      </c>
      <c r="K1319" s="9">
        <v>0.0</v>
      </c>
      <c r="L1319" s="9" t="s">
        <v>59</v>
      </c>
      <c r="M1319" s="9" t="s">
        <v>55</v>
      </c>
      <c r="N1319" s="9">
        <v>9057558.18</v>
      </c>
      <c r="O1319" s="9">
        <v>9057558.18</v>
      </c>
      <c r="P1319" s="9">
        <v>452877.91</v>
      </c>
      <c r="Q1319" s="9">
        <v>452877.91</v>
      </c>
      <c r="R1319" s="9" t="s">
        <v>56</v>
      </c>
      <c r="S1319" s="9" t="s">
        <v>57</v>
      </c>
      <c r="T1319" s="9" t="s">
        <v>58</v>
      </c>
      <c r="V1319" s="9">
        <v>9354941.74</v>
      </c>
      <c r="W1319" s="9">
        <v>452877.91</v>
      </c>
      <c r="X1319" s="9">
        <v>0.0</v>
      </c>
    </row>
    <row r="1320" ht="15.75" customHeight="1">
      <c r="A1320" s="9">
        <v>2266068.0</v>
      </c>
      <c r="B1320" s="9">
        <v>2.31450437E8</v>
      </c>
      <c r="C1320" s="9">
        <v>31449.0</v>
      </c>
      <c r="D1320" s="9" t="s">
        <v>52</v>
      </c>
      <c r="E1320" s="9" t="s">
        <v>53</v>
      </c>
      <c r="F1320" s="9">
        <v>317862.0</v>
      </c>
      <c r="G1320" s="9">
        <v>0.0</v>
      </c>
      <c r="M1320" s="9" t="s">
        <v>116</v>
      </c>
      <c r="N1320" s="9">
        <v>3654918.75</v>
      </c>
      <c r="O1320" s="9">
        <v>3289061.38</v>
      </c>
      <c r="R1320" s="9" t="s">
        <v>60</v>
      </c>
      <c r="S1320" s="9" t="s">
        <v>57</v>
      </c>
      <c r="T1320" s="9" t="s">
        <v>61</v>
      </c>
      <c r="V1320" s="9">
        <v>3289061.35</v>
      </c>
    </row>
    <row r="1321" ht="15.75" customHeight="1">
      <c r="A1321" s="9">
        <v>2270279.0</v>
      </c>
      <c r="B1321" s="9">
        <v>6.016676E7</v>
      </c>
      <c r="C1321" s="9">
        <v>39545.0</v>
      </c>
      <c r="D1321" s="9" t="s">
        <v>52</v>
      </c>
      <c r="E1321" s="9" t="s">
        <v>53</v>
      </c>
      <c r="F1321" s="9">
        <v>319358.0</v>
      </c>
      <c r="G1321" s="9">
        <v>7.192148878E7</v>
      </c>
      <c r="H1321" s="9">
        <v>7.060000664E7</v>
      </c>
      <c r="I1321" s="9">
        <v>6.894067989E7</v>
      </c>
      <c r="J1321" s="9">
        <v>0.0</v>
      </c>
      <c r="K1321" s="9">
        <v>0.0</v>
      </c>
      <c r="L1321" s="9" t="s">
        <v>59</v>
      </c>
      <c r="M1321" s="9" t="s">
        <v>55</v>
      </c>
      <c r="N1321" s="9">
        <v>6.882609816E7</v>
      </c>
      <c r="O1321" s="9">
        <v>6.882609816E7</v>
      </c>
      <c r="P1321" s="9">
        <v>1832350.36</v>
      </c>
      <c r="Q1321" s="9">
        <v>1832350.36</v>
      </c>
      <c r="R1321" s="9" t="s">
        <v>63</v>
      </c>
      <c r="S1321" s="9" t="s">
        <v>63</v>
      </c>
    </row>
    <row r="1322" ht="15.75" customHeight="1">
      <c r="A1322" s="9">
        <v>2270494.0</v>
      </c>
      <c r="B1322" s="9">
        <v>1.1376472E7</v>
      </c>
      <c r="C1322" s="9">
        <v>40098.0</v>
      </c>
      <c r="D1322" s="9" t="s">
        <v>52</v>
      </c>
      <c r="E1322" s="9" t="s">
        <v>53</v>
      </c>
      <c r="F1322" s="9">
        <v>319432.0</v>
      </c>
      <c r="G1322" s="9">
        <v>7294611.61</v>
      </c>
      <c r="H1322" s="9">
        <v>7294611.61</v>
      </c>
      <c r="I1322" s="9">
        <v>7120334.2</v>
      </c>
      <c r="J1322" s="9">
        <v>0.0</v>
      </c>
      <c r="K1322" s="9">
        <v>0.0</v>
      </c>
      <c r="L1322" s="9" t="s">
        <v>69</v>
      </c>
      <c r="M1322" s="9" t="s">
        <v>55</v>
      </c>
      <c r="N1322" s="9">
        <v>6712825.96</v>
      </c>
      <c r="O1322" s="9">
        <v>6712824.0</v>
      </c>
      <c r="P1322" s="9">
        <v>398000.0</v>
      </c>
      <c r="Q1322" s="9">
        <v>398000.0</v>
      </c>
      <c r="R1322" s="9" t="s">
        <v>56</v>
      </c>
      <c r="S1322" s="9" t="s">
        <v>57</v>
      </c>
      <c r="T1322" s="9" t="s">
        <v>58</v>
      </c>
      <c r="V1322" s="9">
        <v>6712824.0</v>
      </c>
      <c r="W1322" s="9">
        <v>0.0</v>
      </c>
      <c r="X1322" s="9">
        <v>0.0</v>
      </c>
    </row>
    <row r="1323" ht="15.75" customHeight="1">
      <c r="A1323" s="9">
        <v>2280472.0</v>
      </c>
      <c r="B1323" s="9">
        <v>683723.0</v>
      </c>
      <c r="C1323" s="9">
        <v>36963.0</v>
      </c>
      <c r="D1323" s="9" t="s">
        <v>52</v>
      </c>
      <c r="E1323" s="9" t="s">
        <v>53</v>
      </c>
      <c r="F1323" s="9">
        <v>315404.0</v>
      </c>
      <c r="G1323" s="9">
        <v>826962.82</v>
      </c>
      <c r="H1323" s="9">
        <v>826962.82</v>
      </c>
      <c r="I1323" s="9">
        <v>722952.63</v>
      </c>
      <c r="J1323" s="9">
        <v>0.0</v>
      </c>
      <c r="K1323" s="9">
        <v>0.0</v>
      </c>
      <c r="L1323" s="9" t="s">
        <v>59</v>
      </c>
      <c r="M1323" s="9" t="s">
        <v>55</v>
      </c>
      <c r="N1323" s="9">
        <v>802876.51</v>
      </c>
      <c r="O1323" s="9">
        <v>680403.82</v>
      </c>
      <c r="P1323" s="9">
        <v>214449.0</v>
      </c>
      <c r="Q1323" s="9">
        <v>199910.08</v>
      </c>
      <c r="R1323" s="9" t="s">
        <v>72</v>
      </c>
      <c r="S1323" s="9" t="s">
        <v>57</v>
      </c>
      <c r="T1323" s="9" t="s">
        <v>73</v>
      </c>
      <c r="V1323" s="9">
        <v>692462.63</v>
      </c>
      <c r="W1323" s="9">
        <v>0.0</v>
      </c>
      <c r="X1323" s="9">
        <v>0.0</v>
      </c>
    </row>
    <row r="1324" ht="15.75" customHeight="1">
      <c r="A1324" s="9">
        <v>2192498.0</v>
      </c>
      <c r="B1324" s="9">
        <v>1.23683335E8</v>
      </c>
      <c r="C1324" s="9">
        <v>38022.0</v>
      </c>
      <c r="D1324" s="9" t="s">
        <v>52</v>
      </c>
      <c r="E1324" s="9" t="s">
        <v>88</v>
      </c>
      <c r="F1324" s="9">
        <v>270163.0</v>
      </c>
      <c r="G1324" s="9">
        <v>1.3523475166E8</v>
      </c>
      <c r="H1324" s="9">
        <v>1.3252928102E8</v>
      </c>
      <c r="I1324" s="9">
        <v>1.3252928102E8</v>
      </c>
      <c r="J1324" s="9">
        <v>0.0</v>
      </c>
      <c r="K1324" s="9">
        <v>0.0</v>
      </c>
      <c r="L1324" s="9" t="s">
        <v>59</v>
      </c>
      <c r="M1324" s="9" t="s">
        <v>55</v>
      </c>
      <c r="N1324" s="9">
        <v>1.2566606196E8</v>
      </c>
      <c r="O1324" s="9">
        <v>1.1658186589E8</v>
      </c>
      <c r="P1324" s="9">
        <v>6308043.73</v>
      </c>
      <c r="Q1324" s="9">
        <v>5677239.36</v>
      </c>
      <c r="R1324" s="9" t="s">
        <v>115</v>
      </c>
      <c r="S1324" s="9" t="s">
        <v>115</v>
      </c>
      <c r="V1324" s="9">
        <v>1.25188119E8</v>
      </c>
      <c r="W1324" s="9">
        <v>5921520.95</v>
      </c>
    </row>
    <row r="1325" ht="15.75" customHeight="1">
      <c r="A1325" s="9">
        <v>2194019.0</v>
      </c>
      <c r="B1325" s="9">
        <v>9027467.0</v>
      </c>
      <c r="C1325" s="9">
        <v>37614.0</v>
      </c>
      <c r="D1325" s="9" t="s">
        <v>52</v>
      </c>
      <c r="E1325" s="9" t="s">
        <v>53</v>
      </c>
      <c r="F1325" s="9">
        <v>280701.0</v>
      </c>
      <c r="G1325" s="9">
        <v>1.083063372E7</v>
      </c>
      <c r="H1325" s="9">
        <v>1.125994809E7</v>
      </c>
      <c r="I1325" s="9">
        <v>1.087694809E7</v>
      </c>
      <c r="J1325" s="9">
        <v>63000.0</v>
      </c>
      <c r="K1325" s="9">
        <v>320000.0</v>
      </c>
      <c r="L1325" s="9" t="s">
        <v>59</v>
      </c>
      <c r="M1325" s="9" t="s">
        <v>55</v>
      </c>
      <c r="N1325" s="9">
        <v>1.007203211E7</v>
      </c>
      <c r="O1325" s="9">
        <v>9971311.79</v>
      </c>
      <c r="P1325" s="9">
        <v>503601.61</v>
      </c>
      <c r="Q1325" s="9">
        <v>500000.0</v>
      </c>
      <c r="R1325" s="9" t="s">
        <v>77</v>
      </c>
      <c r="S1325" s="9" t="s">
        <v>78</v>
      </c>
      <c r="T1325" s="9" t="s">
        <v>79</v>
      </c>
      <c r="U1325" s="9" t="s">
        <v>80</v>
      </c>
    </row>
    <row r="1326" ht="15.75" customHeight="1">
      <c r="A1326" s="9">
        <v>2197128.0</v>
      </c>
      <c r="B1326" s="9">
        <v>1044532.52</v>
      </c>
      <c r="C1326" s="9">
        <v>44001.0</v>
      </c>
      <c r="D1326" s="9" t="s">
        <v>52</v>
      </c>
      <c r="E1326" s="9" t="s">
        <v>53</v>
      </c>
      <c r="F1326" s="9">
        <v>292678.0</v>
      </c>
      <c r="G1326" s="9">
        <v>1044532.52</v>
      </c>
      <c r="H1326" s="9">
        <v>1041376.25</v>
      </c>
      <c r="I1326" s="9">
        <v>990762.01</v>
      </c>
      <c r="J1326" s="9">
        <v>0.0</v>
      </c>
      <c r="K1326" s="9">
        <v>0.0</v>
      </c>
      <c r="L1326" s="9" t="s">
        <v>59</v>
      </c>
      <c r="M1326" s="9" t="s">
        <v>55</v>
      </c>
      <c r="N1326" s="9">
        <v>1026726.93</v>
      </c>
      <c r="O1326" s="9">
        <v>924054.24</v>
      </c>
      <c r="P1326" s="9">
        <v>71870.0</v>
      </c>
      <c r="Q1326" s="9">
        <v>71280.0</v>
      </c>
      <c r="R1326" s="9" t="s">
        <v>60</v>
      </c>
      <c r="S1326" s="9" t="s">
        <v>57</v>
      </c>
      <c r="T1326" s="9" t="s">
        <v>61</v>
      </c>
      <c r="V1326" s="9">
        <v>902550.57</v>
      </c>
      <c r="W1326" s="9">
        <v>63840.0</v>
      </c>
      <c r="X1326" s="9">
        <v>0.0</v>
      </c>
    </row>
    <row r="1327" ht="15.75" customHeight="1">
      <c r="A1327" s="9">
        <v>2197196.0</v>
      </c>
      <c r="B1327" s="9">
        <v>9426912.0</v>
      </c>
      <c r="C1327" s="9">
        <v>32173.0</v>
      </c>
      <c r="D1327" s="9" t="s">
        <v>52</v>
      </c>
      <c r="E1327" s="9" t="s">
        <v>53</v>
      </c>
      <c r="F1327" s="9">
        <v>284323.0</v>
      </c>
      <c r="G1327" s="9">
        <v>9237534.79</v>
      </c>
      <c r="H1327" s="9">
        <v>9237534.79</v>
      </c>
      <c r="I1327" s="9">
        <v>9017696.66</v>
      </c>
      <c r="J1327" s="9">
        <v>0.0</v>
      </c>
      <c r="K1327" s="9">
        <v>0.0</v>
      </c>
      <c r="L1327" s="9" t="s">
        <v>69</v>
      </c>
      <c r="M1327" s="9" t="s">
        <v>55</v>
      </c>
      <c r="N1327" s="9">
        <v>8709927.79</v>
      </c>
      <c r="O1327" s="9">
        <v>8709927.79</v>
      </c>
      <c r="P1327" s="9">
        <v>307770.0</v>
      </c>
      <c r="Q1327" s="9">
        <v>307770.0</v>
      </c>
      <c r="R1327" s="9" t="s">
        <v>60</v>
      </c>
      <c r="S1327" s="9" t="s">
        <v>57</v>
      </c>
      <c r="T1327" s="9" t="s">
        <v>61</v>
      </c>
      <c r="V1327" s="9">
        <v>9101642.44</v>
      </c>
      <c r="W1327" s="9">
        <v>0.0</v>
      </c>
      <c r="X1327" s="9">
        <v>0.0</v>
      </c>
    </row>
    <row r="1328" ht="15.75" customHeight="1">
      <c r="A1328" s="9">
        <v>2198413.0</v>
      </c>
      <c r="B1328" s="9">
        <v>6099646.0</v>
      </c>
      <c r="C1328" s="9">
        <v>39361.0</v>
      </c>
      <c r="D1328" s="9" t="s">
        <v>52</v>
      </c>
      <c r="E1328" s="9" t="s">
        <v>53</v>
      </c>
      <c r="F1328" s="9">
        <v>298307.0</v>
      </c>
      <c r="G1328" s="9">
        <v>8758733.2</v>
      </c>
      <c r="H1328" s="9">
        <v>1.821711383E7</v>
      </c>
      <c r="I1328" s="9">
        <v>1.393804114E7</v>
      </c>
      <c r="J1328" s="9">
        <v>402333.12</v>
      </c>
      <c r="K1328" s="9">
        <v>6909425.0</v>
      </c>
      <c r="L1328" s="9" t="s">
        <v>59</v>
      </c>
      <c r="M1328" s="9" t="s">
        <v>62</v>
      </c>
      <c r="N1328" s="9">
        <v>5092183.36</v>
      </c>
      <c r="O1328" s="9">
        <v>5092183.36</v>
      </c>
      <c r="P1328" s="9">
        <v>162950.0</v>
      </c>
      <c r="Q1328" s="9">
        <v>157246.75</v>
      </c>
      <c r="R1328" s="9" t="s">
        <v>70</v>
      </c>
      <c r="S1328" s="9" t="s">
        <v>57</v>
      </c>
      <c r="T1328" s="9" t="s">
        <v>71</v>
      </c>
    </row>
    <row r="1329" ht="15.75" customHeight="1">
      <c r="A1329" s="9">
        <v>2198700.0</v>
      </c>
      <c r="B1329" s="9">
        <v>8954291.0</v>
      </c>
      <c r="C1329" s="9">
        <v>32263.0</v>
      </c>
      <c r="D1329" s="9" t="s">
        <v>52</v>
      </c>
      <c r="E1329" s="9" t="s">
        <v>53</v>
      </c>
      <c r="F1329" s="9">
        <v>169695.0</v>
      </c>
      <c r="G1329" s="9">
        <v>1.499480583E7</v>
      </c>
      <c r="H1329" s="9">
        <v>2.960979984E7</v>
      </c>
      <c r="I1329" s="9">
        <v>9864778.29</v>
      </c>
      <c r="J1329" s="9">
        <v>0.0</v>
      </c>
      <c r="K1329" s="9">
        <v>0.0</v>
      </c>
      <c r="L1329" s="9" t="s">
        <v>59</v>
      </c>
      <c r="M1329" s="9" t="s">
        <v>55</v>
      </c>
      <c r="P1329" s="9">
        <v>39600.0</v>
      </c>
      <c r="Q1329" s="9">
        <v>39600.0</v>
      </c>
      <c r="R1329" s="9" t="s">
        <v>96</v>
      </c>
      <c r="S1329" s="9" t="s">
        <v>78</v>
      </c>
      <c r="T1329" s="9" t="s">
        <v>79</v>
      </c>
      <c r="U1329" s="9" t="s">
        <v>97</v>
      </c>
    </row>
    <row r="1330" ht="15.75" customHeight="1">
      <c r="A1330" s="9">
        <v>2199686.0</v>
      </c>
      <c r="B1330" s="9">
        <v>1.1018493E7</v>
      </c>
      <c r="C1330" s="9">
        <v>37289.0</v>
      </c>
      <c r="D1330" s="9" t="s">
        <v>52</v>
      </c>
      <c r="E1330" s="9" t="s">
        <v>53</v>
      </c>
      <c r="F1330" s="9">
        <v>227057.0</v>
      </c>
      <c r="G1330" s="9">
        <v>9117028.9</v>
      </c>
      <c r="H1330" s="9">
        <v>9117028.9</v>
      </c>
      <c r="I1330" s="9">
        <v>9018768.88</v>
      </c>
      <c r="J1330" s="9">
        <v>0.0</v>
      </c>
      <c r="K1330" s="9">
        <v>0.0</v>
      </c>
      <c r="L1330" s="9" t="s">
        <v>59</v>
      </c>
      <c r="M1330" s="9" t="s">
        <v>55</v>
      </c>
      <c r="N1330" s="9">
        <v>8754396.99</v>
      </c>
      <c r="O1330" s="9">
        <v>8754396.99</v>
      </c>
      <c r="P1330" s="9">
        <v>262631.91</v>
      </c>
      <c r="Q1330" s="9">
        <v>262631.91</v>
      </c>
      <c r="R1330" s="9" t="s">
        <v>60</v>
      </c>
      <c r="S1330" s="9" t="s">
        <v>57</v>
      </c>
      <c r="T1330" s="9" t="s">
        <v>61</v>
      </c>
      <c r="V1330" s="9">
        <v>8763116.99</v>
      </c>
      <c r="W1330" s="9">
        <v>262631.91</v>
      </c>
      <c r="X1330" s="9">
        <v>0.0</v>
      </c>
    </row>
    <row r="1331" ht="15.75" customHeight="1">
      <c r="A1331" s="9">
        <v>2200271.0</v>
      </c>
      <c r="B1331" s="9">
        <v>2766628.0</v>
      </c>
      <c r="C1331" s="9">
        <v>39543.0</v>
      </c>
      <c r="D1331" s="9" t="s">
        <v>52</v>
      </c>
      <c r="E1331" s="9" t="s">
        <v>53</v>
      </c>
      <c r="F1331" s="9">
        <v>303824.0</v>
      </c>
      <c r="G1331" s="9">
        <v>3101833.28</v>
      </c>
      <c r="H1331" s="9">
        <v>3101833.28</v>
      </c>
      <c r="I1331" s="9">
        <v>3085319.45</v>
      </c>
      <c r="J1331" s="9">
        <v>0.0</v>
      </c>
      <c r="K1331" s="9">
        <v>0.0</v>
      </c>
      <c r="L1331" s="9" t="s">
        <v>59</v>
      </c>
      <c r="M1331" s="9" t="s">
        <v>55</v>
      </c>
      <c r="N1331" s="9">
        <v>2794407.29</v>
      </c>
      <c r="O1331" s="9">
        <v>2794407.29</v>
      </c>
      <c r="P1331" s="9">
        <v>139720.36</v>
      </c>
      <c r="Q1331" s="9">
        <v>139720.36</v>
      </c>
      <c r="R1331" s="9" t="s">
        <v>60</v>
      </c>
      <c r="S1331" s="9" t="s">
        <v>57</v>
      </c>
      <c r="T1331" s="9" t="s">
        <v>61</v>
      </c>
      <c r="V1331" s="9">
        <v>2881390.7</v>
      </c>
      <c r="W1331" s="9">
        <v>139720.36</v>
      </c>
      <c r="X1331" s="9">
        <v>0.0</v>
      </c>
    </row>
    <row r="1332" ht="15.75" customHeight="1">
      <c r="A1332" s="9">
        <v>2200771.0</v>
      </c>
      <c r="B1332" s="9">
        <v>847690.0</v>
      </c>
      <c r="C1332" s="9">
        <v>39324.0</v>
      </c>
      <c r="D1332" s="9" t="s">
        <v>52</v>
      </c>
      <c r="E1332" s="9" t="s">
        <v>53</v>
      </c>
      <c r="F1332" s="9">
        <v>300622.0</v>
      </c>
      <c r="G1332" s="9">
        <v>995960.28</v>
      </c>
      <c r="H1332" s="9">
        <v>995960.28</v>
      </c>
      <c r="I1332" s="9">
        <v>950390.74</v>
      </c>
      <c r="J1332" s="9">
        <v>0.0</v>
      </c>
      <c r="K1332" s="9">
        <v>0.0</v>
      </c>
      <c r="L1332" s="9" t="s">
        <v>69</v>
      </c>
      <c r="M1332" s="9" t="s">
        <v>55</v>
      </c>
      <c r="N1332" s="9">
        <v>911390.74</v>
      </c>
      <c r="O1332" s="9">
        <v>911390.74</v>
      </c>
      <c r="R1332" s="9" t="s">
        <v>60</v>
      </c>
      <c r="S1332" s="9" t="s">
        <v>57</v>
      </c>
      <c r="T1332" s="9" t="s">
        <v>61</v>
      </c>
      <c r="V1332" s="9">
        <v>911391.0</v>
      </c>
      <c r="W1332" s="9">
        <v>0.0</v>
      </c>
      <c r="X1332" s="9">
        <v>0.0</v>
      </c>
    </row>
    <row r="1333" ht="15.75" customHeight="1">
      <c r="A1333" s="9">
        <v>2200990.0</v>
      </c>
      <c r="B1333" s="9">
        <v>4559299.0</v>
      </c>
      <c r="C1333" s="9">
        <v>37616.0</v>
      </c>
      <c r="D1333" s="9" t="s">
        <v>52</v>
      </c>
      <c r="E1333" s="9" t="s">
        <v>53</v>
      </c>
      <c r="F1333" s="9">
        <v>280939.0</v>
      </c>
      <c r="G1333" s="9">
        <v>7907066.27</v>
      </c>
      <c r="H1333" s="9">
        <v>8008651.21</v>
      </c>
      <c r="I1333" s="9">
        <v>7861109.05</v>
      </c>
      <c r="J1333" s="9">
        <v>0.0</v>
      </c>
      <c r="K1333" s="9">
        <v>0.0</v>
      </c>
      <c r="L1333" s="9" t="s">
        <v>59</v>
      </c>
      <c r="M1333" s="9" t="s">
        <v>55</v>
      </c>
      <c r="N1333" s="9">
        <v>7523398.9</v>
      </c>
      <c r="O1333" s="9">
        <v>7523398.9</v>
      </c>
      <c r="R1333" s="9" t="s">
        <v>56</v>
      </c>
      <c r="S1333" s="9" t="s">
        <v>57</v>
      </c>
      <c r="T1333" s="9" t="s">
        <v>58</v>
      </c>
      <c r="V1333" s="9">
        <v>7665549.05</v>
      </c>
      <c r="W1333" s="9">
        <v>0.0</v>
      </c>
      <c r="X1333" s="9">
        <v>0.0</v>
      </c>
    </row>
    <row r="1334" ht="15.75" customHeight="1">
      <c r="A1334" s="9">
        <v>2204397.0</v>
      </c>
      <c r="B1334" s="9">
        <v>1.4216359E7</v>
      </c>
      <c r="C1334" s="9">
        <v>37519.0</v>
      </c>
      <c r="D1334" s="9" t="s">
        <v>52</v>
      </c>
      <c r="E1334" s="9" t="s">
        <v>53</v>
      </c>
      <c r="F1334" s="9">
        <v>207440.0</v>
      </c>
      <c r="G1334" s="9">
        <v>1.868168117E7</v>
      </c>
      <c r="H1334" s="9">
        <v>1.877795762E7</v>
      </c>
      <c r="I1334" s="9">
        <v>1.875969352E7</v>
      </c>
      <c r="J1334" s="9">
        <v>0.0</v>
      </c>
      <c r="K1334" s="9">
        <v>0.0</v>
      </c>
      <c r="L1334" s="9" t="s">
        <v>69</v>
      </c>
      <c r="M1334" s="9" t="s">
        <v>55</v>
      </c>
      <c r="N1334" s="9">
        <v>1.516112143E7</v>
      </c>
      <c r="O1334" s="9">
        <v>1.516112143E7</v>
      </c>
      <c r="P1334" s="9">
        <v>706276.42</v>
      </c>
      <c r="Q1334" s="9">
        <v>706276.42</v>
      </c>
      <c r="R1334" s="9" t="s">
        <v>60</v>
      </c>
      <c r="S1334" s="9" t="s">
        <v>57</v>
      </c>
      <c r="T1334" s="9" t="s">
        <v>61</v>
      </c>
      <c r="V1334" s="9">
        <v>1.767056327E7</v>
      </c>
      <c r="W1334" s="9">
        <v>794994.3</v>
      </c>
      <c r="X1334" s="9">
        <v>0.0</v>
      </c>
    </row>
    <row r="1335" ht="15.75" customHeight="1">
      <c r="A1335" s="9">
        <v>2208409.0</v>
      </c>
      <c r="B1335" s="9">
        <v>738552.95</v>
      </c>
      <c r="C1335" s="9">
        <v>26964.0</v>
      </c>
      <c r="D1335" s="9" t="s">
        <v>52</v>
      </c>
      <c r="E1335" s="9" t="s">
        <v>53</v>
      </c>
      <c r="F1335" s="9">
        <v>202164.0</v>
      </c>
      <c r="G1335" s="9">
        <v>404241.73</v>
      </c>
      <c r="H1335" s="9">
        <v>404241.73</v>
      </c>
      <c r="I1335" s="9">
        <v>409854.44</v>
      </c>
      <c r="J1335" s="9">
        <v>0.0</v>
      </c>
      <c r="K1335" s="9">
        <v>0.0</v>
      </c>
      <c r="L1335" s="9" t="s">
        <v>59</v>
      </c>
      <c r="M1335" s="9" t="s">
        <v>55</v>
      </c>
      <c r="N1335" s="9">
        <v>398854.44</v>
      </c>
      <c r="O1335" s="9">
        <v>398854.44</v>
      </c>
      <c r="R1335" s="9" t="s">
        <v>75</v>
      </c>
      <c r="S1335" s="9" t="s">
        <v>57</v>
      </c>
      <c r="T1335" s="9" t="s">
        <v>76</v>
      </c>
    </row>
    <row r="1336" ht="15.75" customHeight="1">
      <c r="A1336" s="9">
        <v>2208510.0</v>
      </c>
      <c r="B1336" s="9">
        <v>1965163.0</v>
      </c>
      <c r="C1336" s="9">
        <v>40311.0</v>
      </c>
      <c r="D1336" s="9" t="s">
        <v>52</v>
      </c>
      <c r="E1336" s="9" t="s">
        <v>53</v>
      </c>
      <c r="F1336" s="9">
        <v>220227.0</v>
      </c>
      <c r="G1336" s="9">
        <v>2407490.55</v>
      </c>
      <c r="H1336" s="9">
        <v>2669738.4</v>
      </c>
      <c r="I1336" s="9">
        <v>2685844.97</v>
      </c>
      <c r="J1336" s="9">
        <v>0.0</v>
      </c>
      <c r="K1336" s="9">
        <v>0.0</v>
      </c>
      <c r="L1336" s="9" t="s">
        <v>69</v>
      </c>
      <c r="M1336" s="9" t="s">
        <v>55</v>
      </c>
      <c r="N1336" s="9">
        <v>2294249.33</v>
      </c>
      <c r="O1336" s="9">
        <v>2294249.33</v>
      </c>
      <c r="P1336" s="9">
        <v>103241.22</v>
      </c>
      <c r="Q1336" s="9">
        <v>103240.2</v>
      </c>
      <c r="R1336" s="9" t="s">
        <v>60</v>
      </c>
      <c r="S1336" s="9" t="s">
        <v>57</v>
      </c>
      <c r="T1336" s="9" t="s">
        <v>61</v>
      </c>
      <c r="V1336" s="9">
        <v>2294249.33</v>
      </c>
      <c r="W1336" s="9">
        <v>93761.98</v>
      </c>
      <c r="X1336" s="9">
        <v>0.0</v>
      </c>
    </row>
    <row r="1337" ht="15.75" customHeight="1">
      <c r="A1337" s="9">
        <v>2214975.0</v>
      </c>
      <c r="B1337" s="9">
        <v>5749692.0</v>
      </c>
      <c r="C1337" s="9">
        <v>33142.0</v>
      </c>
      <c r="D1337" s="9" t="s">
        <v>52</v>
      </c>
      <c r="E1337" s="9" t="s">
        <v>53</v>
      </c>
      <c r="F1337" s="9">
        <v>193800.0</v>
      </c>
      <c r="G1337" s="9">
        <v>5844733.09</v>
      </c>
      <c r="H1337" s="9">
        <v>5844733.09</v>
      </c>
      <c r="I1337" s="9">
        <v>5825132.45</v>
      </c>
      <c r="J1337" s="9">
        <v>0.0</v>
      </c>
      <c r="K1337" s="9">
        <v>0.0</v>
      </c>
      <c r="L1337" s="9" t="s">
        <v>69</v>
      </c>
      <c r="M1337" s="9" t="s">
        <v>55</v>
      </c>
      <c r="N1337" s="9">
        <v>5301687.27</v>
      </c>
      <c r="O1337" s="9">
        <v>5301687.27</v>
      </c>
      <c r="P1337" s="9">
        <v>265084.36</v>
      </c>
      <c r="Q1337" s="9">
        <v>265084.36</v>
      </c>
      <c r="R1337" s="9" t="s">
        <v>60</v>
      </c>
      <c r="S1337" s="9" t="s">
        <v>57</v>
      </c>
      <c r="T1337" s="9" t="s">
        <v>61</v>
      </c>
      <c r="V1337" s="9">
        <v>5469093.39</v>
      </c>
      <c r="W1337" s="9">
        <v>265084.36</v>
      </c>
      <c r="X1337" s="9">
        <v>0.0</v>
      </c>
    </row>
    <row r="1338" ht="15.75" customHeight="1">
      <c r="A1338" s="9">
        <v>2215629.0</v>
      </c>
      <c r="B1338" s="9">
        <v>5169140.0</v>
      </c>
      <c r="C1338" s="9">
        <v>30575.0</v>
      </c>
      <c r="D1338" s="9" t="s">
        <v>52</v>
      </c>
      <c r="E1338" s="9" t="s">
        <v>53</v>
      </c>
      <c r="F1338" s="9">
        <v>202609.0</v>
      </c>
      <c r="G1338" s="9">
        <v>3836234.42</v>
      </c>
      <c r="H1338" s="9">
        <v>3836234.42</v>
      </c>
      <c r="I1338" s="9">
        <v>3836173.52</v>
      </c>
      <c r="J1338" s="9">
        <v>0.0</v>
      </c>
      <c r="K1338" s="9">
        <v>0.0</v>
      </c>
      <c r="L1338" s="9" t="s">
        <v>59</v>
      </c>
      <c r="M1338" s="9" t="s">
        <v>55</v>
      </c>
      <c r="N1338" s="9">
        <v>3653556.59</v>
      </c>
      <c r="O1338" s="9">
        <v>3653556.59</v>
      </c>
      <c r="R1338" s="9" t="s">
        <v>56</v>
      </c>
      <c r="S1338" s="9" t="s">
        <v>57</v>
      </c>
      <c r="T1338" s="9" t="s">
        <v>58</v>
      </c>
      <c r="V1338" s="9">
        <v>3658246.7</v>
      </c>
      <c r="W1338" s="9">
        <v>149576.82</v>
      </c>
      <c r="X1338" s="9">
        <v>0.0</v>
      </c>
    </row>
    <row r="1339" ht="15.75" customHeight="1">
      <c r="A1339" s="9">
        <v>2215744.0</v>
      </c>
      <c r="B1339" s="9">
        <v>7270263.0</v>
      </c>
      <c r="C1339" s="9">
        <v>31281.0</v>
      </c>
      <c r="D1339" s="9" t="s">
        <v>52</v>
      </c>
      <c r="E1339" s="9" t="s">
        <v>53</v>
      </c>
      <c r="F1339" s="9">
        <v>214913.0</v>
      </c>
      <c r="G1339" s="9">
        <v>6473439.0</v>
      </c>
      <c r="H1339" s="9">
        <v>6473439.0</v>
      </c>
      <c r="I1339" s="9">
        <v>6320201.31</v>
      </c>
      <c r="J1339" s="9">
        <v>0.0</v>
      </c>
      <c r="K1339" s="9">
        <v>0.0</v>
      </c>
      <c r="L1339" s="9" t="s">
        <v>59</v>
      </c>
      <c r="M1339" s="9" t="s">
        <v>55</v>
      </c>
      <c r="R1339" s="9" t="s">
        <v>75</v>
      </c>
      <c r="S1339" s="9" t="s">
        <v>57</v>
      </c>
      <c r="T1339" s="9" t="s">
        <v>76</v>
      </c>
    </row>
    <row r="1340" ht="15.75" customHeight="1">
      <c r="A1340" s="9">
        <v>2217351.0</v>
      </c>
      <c r="B1340" s="9">
        <v>4.5108832E7</v>
      </c>
      <c r="C1340" s="9">
        <v>39127.0</v>
      </c>
      <c r="D1340" s="9" t="s">
        <v>52</v>
      </c>
      <c r="E1340" s="9" t="s">
        <v>52</v>
      </c>
      <c r="F1340" s="9">
        <v>130269.0</v>
      </c>
      <c r="G1340" s="9">
        <v>4.5260139E7</v>
      </c>
      <c r="H1340" s="9">
        <v>4.5260139E7</v>
      </c>
      <c r="I1340" s="9">
        <v>2.226403221E7</v>
      </c>
      <c r="J1340" s="9">
        <v>0.0</v>
      </c>
      <c r="K1340" s="9">
        <v>0.0</v>
      </c>
      <c r="L1340" s="9" t="s">
        <v>59</v>
      </c>
      <c r="M1340" s="9" t="s">
        <v>116</v>
      </c>
      <c r="R1340" s="9" t="s">
        <v>117</v>
      </c>
      <c r="S1340" s="9" t="s">
        <v>57</v>
      </c>
      <c r="T1340" s="9" t="s">
        <v>118</v>
      </c>
    </row>
    <row r="1341" ht="15.75" customHeight="1">
      <c r="A1341" s="9">
        <v>2217534.0</v>
      </c>
      <c r="B1341" s="9">
        <v>827208.0</v>
      </c>
      <c r="C1341" s="9">
        <v>26632.0</v>
      </c>
      <c r="D1341" s="9" t="s">
        <v>52</v>
      </c>
      <c r="E1341" s="9" t="s">
        <v>53</v>
      </c>
      <c r="F1341" s="9">
        <v>240595.0</v>
      </c>
      <c r="G1341" s="9">
        <v>973993.98</v>
      </c>
      <c r="H1341" s="9">
        <v>973993.98</v>
      </c>
      <c r="I1341" s="9">
        <v>970883.82</v>
      </c>
      <c r="J1341" s="9">
        <v>0.0</v>
      </c>
      <c r="K1341" s="9">
        <v>0.0</v>
      </c>
      <c r="L1341" s="9" t="s">
        <v>69</v>
      </c>
      <c r="M1341" s="9" t="s">
        <v>55</v>
      </c>
      <c r="P1341" s="9">
        <v>20250.0</v>
      </c>
      <c r="Q1341" s="9">
        <v>20250.0</v>
      </c>
      <c r="R1341" s="9" t="s">
        <v>60</v>
      </c>
      <c r="S1341" s="9" t="s">
        <v>57</v>
      </c>
      <c r="T1341" s="9" t="s">
        <v>61</v>
      </c>
      <c r="V1341" s="9">
        <v>970884.0</v>
      </c>
      <c r="W1341" s="9">
        <v>0.0</v>
      </c>
      <c r="X1341" s="9">
        <v>0.0</v>
      </c>
    </row>
    <row r="1342" ht="15.75" customHeight="1">
      <c r="A1342" s="9">
        <v>2217616.0</v>
      </c>
      <c r="B1342" s="9">
        <v>3.9226587E7</v>
      </c>
      <c r="C1342" s="9">
        <v>39164.0</v>
      </c>
      <c r="D1342" s="9" t="s">
        <v>52</v>
      </c>
      <c r="E1342" s="9" t="s">
        <v>52</v>
      </c>
      <c r="F1342" s="9">
        <v>159036.0</v>
      </c>
      <c r="G1342" s="9">
        <v>3.9226587E7</v>
      </c>
      <c r="H1342" s="9">
        <v>2.2891067274E8</v>
      </c>
      <c r="I1342" s="9">
        <v>2587803.83</v>
      </c>
      <c r="J1342" s="9">
        <v>0.0</v>
      </c>
      <c r="K1342" s="9">
        <v>0.0</v>
      </c>
      <c r="L1342" s="9" t="s">
        <v>59</v>
      </c>
      <c r="M1342" s="9" t="s">
        <v>116</v>
      </c>
      <c r="R1342" s="9" t="s">
        <v>117</v>
      </c>
      <c r="S1342" s="9" t="s">
        <v>57</v>
      </c>
      <c r="T1342" s="9" t="s">
        <v>118</v>
      </c>
    </row>
    <row r="1343" ht="15.75" customHeight="1">
      <c r="A1343" s="9">
        <v>2223181.0</v>
      </c>
      <c r="B1343" s="9">
        <v>2893940.0</v>
      </c>
      <c r="C1343" s="9">
        <v>32297.0</v>
      </c>
      <c r="D1343" s="9" t="s">
        <v>52</v>
      </c>
      <c r="E1343" s="9" t="s">
        <v>53</v>
      </c>
      <c r="F1343" s="9">
        <v>243354.0</v>
      </c>
      <c r="G1343" s="9">
        <v>3438309.47</v>
      </c>
      <c r="H1343" s="9">
        <v>3438309.47</v>
      </c>
      <c r="I1343" s="9">
        <v>3407893.17</v>
      </c>
      <c r="J1343" s="9">
        <v>0.0</v>
      </c>
      <c r="K1343" s="9">
        <v>0.0</v>
      </c>
      <c r="L1343" s="9" t="s">
        <v>59</v>
      </c>
      <c r="M1343" s="9" t="s">
        <v>55</v>
      </c>
      <c r="N1343" s="9">
        <v>3299149.47</v>
      </c>
      <c r="O1343" s="9">
        <v>3299149.47</v>
      </c>
      <c r="P1343" s="9">
        <v>107160.0</v>
      </c>
      <c r="Q1343" s="9">
        <v>107160.0</v>
      </c>
      <c r="R1343" s="9" t="s">
        <v>94</v>
      </c>
      <c r="S1343" s="9" t="s">
        <v>57</v>
      </c>
      <c r="T1343" s="9" t="s">
        <v>95</v>
      </c>
      <c r="V1343" s="9">
        <v>1908411.29</v>
      </c>
      <c r="W1343" s="9">
        <v>0.0</v>
      </c>
      <c r="X1343" s="9">
        <v>0.0</v>
      </c>
    </row>
    <row r="1344" ht="15.75" customHeight="1">
      <c r="A1344" s="9">
        <v>2225290.0</v>
      </c>
      <c r="B1344" s="9">
        <v>8940184.0</v>
      </c>
      <c r="C1344" s="9">
        <v>45753.0</v>
      </c>
      <c r="D1344" s="9" t="s">
        <v>52</v>
      </c>
      <c r="E1344" s="9" t="s">
        <v>53</v>
      </c>
      <c r="F1344" s="9">
        <v>169002.0</v>
      </c>
      <c r="G1344" s="9">
        <v>1.418355179E7</v>
      </c>
      <c r="H1344" s="9">
        <v>1.503666486E7</v>
      </c>
      <c r="I1344" s="9">
        <v>1.426445735E7</v>
      </c>
      <c r="J1344" s="9">
        <v>0.0</v>
      </c>
      <c r="K1344" s="9">
        <v>0.0</v>
      </c>
      <c r="L1344" s="9" t="s">
        <v>59</v>
      </c>
      <c r="M1344" s="9" t="s">
        <v>55</v>
      </c>
      <c r="N1344" s="9">
        <v>1.315986956E7</v>
      </c>
      <c r="O1344" s="9">
        <v>1.315927872E7</v>
      </c>
      <c r="P1344" s="9">
        <v>728143.0</v>
      </c>
      <c r="Q1344" s="9">
        <v>655328.7</v>
      </c>
      <c r="R1344" s="9" t="s">
        <v>72</v>
      </c>
      <c r="S1344" s="9" t="s">
        <v>57</v>
      </c>
      <c r="T1344" s="9" t="s">
        <v>73</v>
      </c>
      <c r="V1344" s="9">
        <v>1.367035261E7</v>
      </c>
      <c r="W1344" s="9">
        <v>734950.03</v>
      </c>
      <c r="X1344" s="9">
        <v>0.0</v>
      </c>
    </row>
    <row r="1345" ht="15.75" customHeight="1">
      <c r="A1345" s="9">
        <v>2225353.0</v>
      </c>
      <c r="B1345" s="9">
        <v>9445953.0</v>
      </c>
      <c r="C1345" s="9">
        <v>32012.0</v>
      </c>
      <c r="D1345" s="9" t="s">
        <v>52</v>
      </c>
      <c r="E1345" s="9" t="s">
        <v>53</v>
      </c>
      <c r="F1345" s="9">
        <v>230592.0</v>
      </c>
      <c r="G1345" s="9">
        <v>7827424.75</v>
      </c>
      <c r="H1345" s="9">
        <v>1.0</v>
      </c>
      <c r="I1345" s="9">
        <v>7827424.52</v>
      </c>
      <c r="J1345" s="9">
        <v>0.0</v>
      </c>
      <c r="K1345" s="9">
        <v>0.0</v>
      </c>
      <c r="L1345" s="9" t="s">
        <v>59</v>
      </c>
      <c r="M1345" s="9" t="s">
        <v>55</v>
      </c>
      <c r="N1345" s="9">
        <v>7407801.45</v>
      </c>
      <c r="O1345" s="9">
        <v>7407801.0</v>
      </c>
      <c r="P1345" s="9">
        <v>148155.0</v>
      </c>
      <c r="Q1345" s="9">
        <v>148155.0</v>
      </c>
      <c r="R1345" s="9" t="s">
        <v>60</v>
      </c>
      <c r="S1345" s="9" t="s">
        <v>57</v>
      </c>
      <c r="T1345" s="9" t="s">
        <v>61</v>
      </c>
      <c r="V1345" s="9">
        <v>7407801.0</v>
      </c>
      <c r="W1345" s="9">
        <v>148155.0</v>
      </c>
      <c r="X1345" s="9">
        <v>0.0</v>
      </c>
    </row>
    <row r="1346" ht="15.75" customHeight="1">
      <c r="A1346" s="9">
        <v>2226075.0</v>
      </c>
      <c r="B1346" s="9">
        <v>7033676.0</v>
      </c>
      <c r="C1346" s="9">
        <v>37546.0</v>
      </c>
      <c r="D1346" s="9" t="s">
        <v>52</v>
      </c>
      <c r="E1346" s="9" t="s">
        <v>53</v>
      </c>
      <c r="F1346" s="9">
        <v>235296.0</v>
      </c>
      <c r="G1346" s="9">
        <v>8070903.95</v>
      </c>
      <c r="H1346" s="9">
        <v>4.69567752E7</v>
      </c>
      <c r="I1346" s="9">
        <v>2.619365151E7</v>
      </c>
      <c r="J1346" s="9">
        <v>1.307106449E7</v>
      </c>
      <c r="K1346" s="9">
        <v>3.2312188E7</v>
      </c>
      <c r="L1346" s="9" t="s">
        <v>59</v>
      </c>
      <c r="M1346" s="9" t="s">
        <v>55</v>
      </c>
      <c r="N1346" s="9">
        <v>4.241340931E7</v>
      </c>
      <c r="O1346" s="9">
        <v>4.241182339E7</v>
      </c>
      <c r="P1346" s="9">
        <v>2135918.0</v>
      </c>
      <c r="Q1346" s="9">
        <v>1922326.2</v>
      </c>
      <c r="R1346" s="9" t="s">
        <v>131</v>
      </c>
      <c r="S1346" s="9" t="s">
        <v>82</v>
      </c>
      <c r="T1346" s="9" t="s">
        <v>132</v>
      </c>
    </row>
    <row r="1347" ht="15.75" customHeight="1">
      <c r="A1347" s="9">
        <v>2193247.0</v>
      </c>
      <c r="B1347" s="9">
        <v>1.09756009E8</v>
      </c>
      <c r="C1347" s="9">
        <v>45854.0</v>
      </c>
      <c r="D1347" s="9" t="s">
        <v>52</v>
      </c>
      <c r="E1347" s="9" t="s">
        <v>87</v>
      </c>
      <c r="F1347" s="9">
        <v>280513.0</v>
      </c>
      <c r="H1347" s="9">
        <v>2.2384193667E8</v>
      </c>
      <c r="I1347" s="9">
        <v>5.072269839E7</v>
      </c>
      <c r="J1347" s="9">
        <v>5557867.98</v>
      </c>
      <c r="K1347" s="9">
        <v>7531190.0</v>
      </c>
      <c r="L1347" s="9" t="s">
        <v>59</v>
      </c>
      <c r="M1347" s="9" t="s">
        <v>55</v>
      </c>
      <c r="N1347" s="9">
        <v>4173075.75</v>
      </c>
      <c r="O1347" s="9">
        <v>3755768.18</v>
      </c>
      <c r="R1347" s="9" t="s">
        <v>94</v>
      </c>
      <c r="S1347" s="9" t="s">
        <v>57</v>
      </c>
      <c r="T1347" s="9" t="s">
        <v>95</v>
      </c>
    </row>
    <row r="1348" ht="15.75" customHeight="1">
      <c r="A1348" s="9">
        <v>2193247.0</v>
      </c>
      <c r="B1348" s="9">
        <v>1.09756009E8</v>
      </c>
      <c r="C1348" s="9">
        <v>40972.0</v>
      </c>
      <c r="D1348" s="9" t="s">
        <v>52</v>
      </c>
      <c r="E1348" s="9" t="s">
        <v>87</v>
      </c>
      <c r="F1348" s="9">
        <v>280513.0</v>
      </c>
      <c r="G1348" s="9">
        <v>1.6674994825E8</v>
      </c>
      <c r="H1348" s="9">
        <v>2.2384193667E8</v>
      </c>
      <c r="I1348" s="9">
        <v>5.072269839E7</v>
      </c>
      <c r="J1348" s="9">
        <v>5557867.98</v>
      </c>
      <c r="K1348" s="9">
        <v>7531190.0</v>
      </c>
      <c r="L1348" s="9" t="s">
        <v>59</v>
      </c>
      <c r="M1348" s="9" t="s">
        <v>55</v>
      </c>
      <c r="R1348" s="9" t="s">
        <v>115</v>
      </c>
      <c r="S1348" s="9" t="s">
        <v>115</v>
      </c>
      <c r="V1348" s="9">
        <v>1276136.32</v>
      </c>
    </row>
    <row r="1349" ht="15.75" customHeight="1">
      <c r="A1349" s="9">
        <v>2193247.0</v>
      </c>
      <c r="B1349" s="9">
        <v>1.09756009E8</v>
      </c>
      <c r="C1349" s="9">
        <v>36687.0</v>
      </c>
      <c r="D1349" s="9" t="s">
        <v>52</v>
      </c>
      <c r="E1349" s="9" t="s">
        <v>87</v>
      </c>
      <c r="F1349" s="9">
        <v>280513.0</v>
      </c>
      <c r="G1349" s="9">
        <v>1.6674994825E8</v>
      </c>
      <c r="H1349" s="9">
        <v>2.2384193667E8</v>
      </c>
      <c r="I1349" s="9">
        <v>5.072269839E7</v>
      </c>
      <c r="J1349" s="9">
        <v>5557867.98</v>
      </c>
      <c r="K1349" s="9">
        <v>7531190.0</v>
      </c>
      <c r="L1349" s="9" t="s">
        <v>59</v>
      </c>
      <c r="M1349" s="9" t="s">
        <v>55</v>
      </c>
      <c r="R1349" s="9" t="s">
        <v>115</v>
      </c>
      <c r="S1349" s="9" t="s">
        <v>115</v>
      </c>
      <c r="V1349" s="9">
        <v>868833.09</v>
      </c>
    </row>
    <row r="1350" ht="15.75" customHeight="1">
      <c r="A1350" s="9">
        <v>2193247.0</v>
      </c>
      <c r="B1350" s="9">
        <v>1.09756009E8</v>
      </c>
      <c r="C1350" s="9">
        <v>40506.0</v>
      </c>
      <c r="D1350" s="9" t="s">
        <v>52</v>
      </c>
      <c r="E1350" s="9" t="s">
        <v>87</v>
      </c>
      <c r="F1350" s="9">
        <v>280513.0</v>
      </c>
      <c r="G1350" s="9">
        <v>1.6674994825E8</v>
      </c>
      <c r="H1350" s="9">
        <v>2.2384193667E8</v>
      </c>
      <c r="I1350" s="9">
        <v>5.072269839E7</v>
      </c>
      <c r="J1350" s="9">
        <v>5557867.98</v>
      </c>
      <c r="K1350" s="9">
        <v>7531190.0</v>
      </c>
      <c r="L1350" s="9" t="s">
        <v>59</v>
      </c>
      <c r="M1350" s="9" t="s">
        <v>55</v>
      </c>
      <c r="R1350" s="9" t="s">
        <v>115</v>
      </c>
      <c r="S1350" s="9" t="s">
        <v>115</v>
      </c>
      <c r="V1350" s="9">
        <v>818341.45</v>
      </c>
    </row>
    <row r="1351" ht="15.75" customHeight="1">
      <c r="A1351" s="9">
        <v>2193247.0</v>
      </c>
      <c r="B1351" s="9">
        <v>1.09756009E8</v>
      </c>
      <c r="C1351" s="9">
        <v>38532.0</v>
      </c>
      <c r="D1351" s="9" t="s">
        <v>52</v>
      </c>
      <c r="E1351" s="9" t="s">
        <v>87</v>
      </c>
      <c r="F1351" s="9">
        <v>280513.0</v>
      </c>
      <c r="G1351" s="9">
        <v>1.6674994825E8</v>
      </c>
      <c r="H1351" s="9">
        <v>2.2384193667E8</v>
      </c>
      <c r="I1351" s="9">
        <v>5.072269839E7</v>
      </c>
      <c r="J1351" s="9">
        <v>5557867.98</v>
      </c>
      <c r="K1351" s="9">
        <v>7531190.0</v>
      </c>
      <c r="L1351" s="9" t="s">
        <v>59</v>
      </c>
      <c r="M1351" s="9" t="s">
        <v>55</v>
      </c>
      <c r="R1351" s="9" t="s">
        <v>115</v>
      </c>
      <c r="S1351" s="9" t="s">
        <v>115</v>
      </c>
      <c r="V1351" s="9">
        <v>860842.56</v>
      </c>
    </row>
    <row r="1352" ht="15.75" customHeight="1">
      <c r="A1352" s="9">
        <v>2193247.0</v>
      </c>
      <c r="B1352" s="9">
        <v>1.09756009E8</v>
      </c>
      <c r="C1352" s="9">
        <v>46881.0</v>
      </c>
      <c r="D1352" s="9" t="s">
        <v>52</v>
      </c>
      <c r="E1352" s="9" t="s">
        <v>87</v>
      </c>
      <c r="F1352" s="9">
        <v>280513.0</v>
      </c>
      <c r="H1352" s="9">
        <v>2.2384193667E8</v>
      </c>
      <c r="I1352" s="9">
        <v>5.072269839E7</v>
      </c>
      <c r="J1352" s="9">
        <v>5557867.98</v>
      </c>
      <c r="K1352" s="9">
        <v>7531190.0</v>
      </c>
      <c r="L1352" s="9" t="s">
        <v>59</v>
      </c>
      <c r="M1352" s="9" t="s">
        <v>55</v>
      </c>
      <c r="R1352" s="9" t="s">
        <v>56</v>
      </c>
      <c r="S1352" s="9" t="s">
        <v>57</v>
      </c>
      <c r="T1352" s="9" t="s">
        <v>58</v>
      </c>
    </row>
    <row r="1353" ht="15.75" customHeight="1">
      <c r="A1353" s="9">
        <v>2193247.0</v>
      </c>
      <c r="B1353" s="9">
        <v>1.09756009E8</v>
      </c>
      <c r="C1353" s="9">
        <v>42377.0</v>
      </c>
      <c r="D1353" s="9" t="s">
        <v>52</v>
      </c>
      <c r="E1353" s="9" t="s">
        <v>87</v>
      </c>
      <c r="F1353" s="9">
        <v>280513.0</v>
      </c>
      <c r="H1353" s="9">
        <v>2.2384193667E8</v>
      </c>
      <c r="I1353" s="9">
        <v>5.072269839E7</v>
      </c>
      <c r="J1353" s="9">
        <v>5557867.98</v>
      </c>
      <c r="K1353" s="9">
        <v>7531190.0</v>
      </c>
      <c r="L1353" s="9" t="s">
        <v>59</v>
      </c>
      <c r="M1353" s="9" t="s">
        <v>55</v>
      </c>
      <c r="R1353" s="9" t="s">
        <v>115</v>
      </c>
      <c r="S1353" s="9" t="s">
        <v>115</v>
      </c>
    </row>
    <row r="1354" ht="15.75" customHeight="1">
      <c r="A1354" s="9">
        <v>2193247.0</v>
      </c>
      <c r="B1354" s="9">
        <v>1.09756009E8</v>
      </c>
      <c r="C1354" s="9">
        <v>36684.0</v>
      </c>
      <c r="D1354" s="9" t="s">
        <v>52</v>
      </c>
      <c r="E1354" s="9" t="s">
        <v>87</v>
      </c>
      <c r="F1354" s="9">
        <v>280513.0</v>
      </c>
      <c r="G1354" s="9">
        <v>1.6674994825E8</v>
      </c>
      <c r="H1354" s="9">
        <v>2.2384193667E8</v>
      </c>
      <c r="I1354" s="9">
        <v>5.072269839E7</v>
      </c>
      <c r="J1354" s="9">
        <v>5557867.98</v>
      </c>
      <c r="K1354" s="9">
        <v>7531190.0</v>
      </c>
      <c r="L1354" s="9" t="s">
        <v>59</v>
      </c>
      <c r="M1354" s="9" t="s">
        <v>55</v>
      </c>
      <c r="R1354" s="9" t="s">
        <v>115</v>
      </c>
      <c r="S1354" s="9" t="s">
        <v>115</v>
      </c>
    </row>
    <row r="1355" ht="15.75" customHeight="1">
      <c r="A1355" s="9">
        <v>2193247.0</v>
      </c>
      <c r="B1355" s="9">
        <v>1.09756009E8</v>
      </c>
      <c r="C1355" s="9">
        <v>45069.0</v>
      </c>
      <c r="D1355" s="9" t="s">
        <v>52</v>
      </c>
      <c r="E1355" s="9" t="s">
        <v>87</v>
      </c>
      <c r="F1355" s="9">
        <v>280513.0</v>
      </c>
      <c r="H1355" s="9">
        <v>2.2384193667E8</v>
      </c>
      <c r="I1355" s="9">
        <v>5.072269839E7</v>
      </c>
      <c r="J1355" s="9">
        <v>5557867.98</v>
      </c>
      <c r="K1355" s="9">
        <v>7531190.0</v>
      </c>
      <c r="L1355" s="9" t="s">
        <v>59</v>
      </c>
      <c r="M1355" s="9" t="s">
        <v>55</v>
      </c>
      <c r="R1355" s="9" t="s">
        <v>115</v>
      </c>
      <c r="S1355" s="9" t="s">
        <v>115</v>
      </c>
    </row>
    <row r="1356" ht="15.75" customHeight="1">
      <c r="A1356" s="9">
        <v>2193247.0</v>
      </c>
      <c r="B1356" s="9">
        <v>1.09756009E8</v>
      </c>
      <c r="C1356" s="9">
        <v>36677.0</v>
      </c>
      <c r="D1356" s="9" t="s">
        <v>52</v>
      </c>
      <c r="E1356" s="9" t="s">
        <v>87</v>
      </c>
      <c r="F1356" s="9">
        <v>280513.0</v>
      </c>
      <c r="G1356" s="9">
        <v>1.6674994825E8</v>
      </c>
      <c r="H1356" s="9">
        <v>2.2384193667E8</v>
      </c>
      <c r="I1356" s="9">
        <v>5.072269839E7</v>
      </c>
      <c r="J1356" s="9">
        <v>5557867.98</v>
      </c>
      <c r="K1356" s="9">
        <v>7531190.0</v>
      </c>
      <c r="L1356" s="9" t="s">
        <v>59</v>
      </c>
      <c r="M1356" s="9" t="s">
        <v>55</v>
      </c>
      <c r="R1356" s="9" t="s">
        <v>115</v>
      </c>
      <c r="S1356" s="9" t="s">
        <v>115</v>
      </c>
    </row>
    <row r="1357" ht="15.75" customHeight="1">
      <c r="A1357" s="9">
        <v>2193247.0</v>
      </c>
      <c r="B1357" s="9">
        <v>1.09756009E8</v>
      </c>
      <c r="C1357" s="9">
        <v>36688.0</v>
      </c>
      <c r="D1357" s="9" t="s">
        <v>52</v>
      </c>
      <c r="E1357" s="9" t="s">
        <v>87</v>
      </c>
      <c r="F1357" s="9">
        <v>280513.0</v>
      </c>
      <c r="G1357" s="9">
        <v>1.6674994825E8</v>
      </c>
      <c r="H1357" s="9">
        <v>2.2384193667E8</v>
      </c>
      <c r="I1357" s="9">
        <v>5.072269839E7</v>
      </c>
      <c r="J1357" s="9">
        <v>5557867.98</v>
      </c>
      <c r="K1357" s="9">
        <v>7531190.0</v>
      </c>
      <c r="L1357" s="9" t="s">
        <v>59</v>
      </c>
      <c r="M1357" s="9" t="s">
        <v>55</v>
      </c>
      <c r="R1357" s="9" t="s">
        <v>115</v>
      </c>
      <c r="S1357" s="9" t="s">
        <v>115</v>
      </c>
      <c r="V1357" s="9">
        <v>669227.44</v>
      </c>
    </row>
    <row r="1358" ht="15.75" customHeight="1">
      <c r="A1358" s="9">
        <v>2193247.0</v>
      </c>
      <c r="B1358" s="9">
        <v>1.09756009E8</v>
      </c>
      <c r="C1358" s="9">
        <v>38985.0</v>
      </c>
      <c r="D1358" s="9" t="s">
        <v>52</v>
      </c>
      <c r="E1358" s="9" t="s">
        <v>87</v>
      </c>
      <c r="F1358" s="9">
        <v>280513.0</v>
      </c>
      <c r="G1358" s="9">
        <v>1.6674994825E8</v>
      </c>
      <c r="H1358" s="9">
        <v>2.2384193667E8</v>
      </c>
      <c r="I1358" s="9">
        <v>5.072269839E7</v>
      </c>
      <c r="J1358" s="9">
        <v>5557867.98</v>
      </c>
      <c r="K1358" s="9">
        <v>7531190.0</v>
      </c>
      <c r="L1358" s="9" t="s">
        <v>59</v>
      </c>
      <c r="M1358" s="9" t="s">
        <v>55</v>
      </c>
      <c r="R1358" s="9" t="s">
        <v>115</v>
      </c>
      <c r="S1358" s="9" t="s">
        <v>115</v>
      </c>
      <c r="V1358" s="9">
        <v>991015.6</v>
      </c>
    </row>
    <row r="1359" ht="15.75" customHeight="1">
      <c r="A1359" s="9">
        <v>2193247.0</v>
      </c>
      <c r="B1359" s="9">
        <v>1.09756009E8</v>
      </c>
      <c r="C1359" s="9">
        <v>45072.0</v>
      </c>
      <c r="D1359" s="9" t="s">
        <v>52</v>
      </c>
      <c r="E1359" s="9" t="s">
        <v>87</v>
      </c>
      <c r="F1359" s="9">
        <v>280513.0</v>
      </c>
      <c r="H1359" s="9">
        <v>2.2384193667E8</v>
      </c>
      <c r="I1359" s="9">
        <v>5.072269839E7</v>
      </c>
      <c r="J1359" s="9">
        <v>5557867.98</v>
      </c>
      <c r="K1359" s="9">
        <v>7531190.0</v>
      </c>
      <c r="L1359" s="9" t="s">
        <v>59</v>
      </c>
      <c r="M1359" s="9" t="s">
        <v>55</v>
      </c>
      <c r="R1359" s="9" t="s">
        <v>115</v>
      </c>
      <c r="S1359" s="9" t="s">
        <v>115</v>
      </c>
      <c r="V1359" s="9">
        <v>1407456.85</v>
      </c>
    </row>
    <row r="1360" ht="15.75" customHeight="1">
      <c r="A1360" s="9">
        <v>2193247.0</v>
      </c>
      <c r="B1360" s="9">
        <v>1.09756009E8</v>
      </c>
      <c r="C1360" s="9">
        <v>38535.0</v>
      </c>
      <c r="D1360" s="9" t="s">
        <v>52</v>
      </c>
      <c r="E1360" s="9" t="s">
        <v>87</v>
      </c>
      <c r="F1360" s="9">
        <v>280513.0</v>
      </c>
      <c r="G1360" s="9">
        <v>1.6674994825E8</v>
      </c>
      <c r="H1360" s="9">
        <v>2.2384193667E8</v>
      </c>
      <c r="I1360" s="9">
        <v>5.072269839E7</v>
      </c>
      <c r="J1360" s="9">
        <v>5557867.98</v>
      </c>
      <c r="K1360" s="9">
        <v>7531190.0</v>
      </c>
      <c r="L1360" s="9" t="s">
        <v>59</v>
      </c>
      <c r="M1360" s="9" t="s">
        <v>55</v>
      </c>
      <c r="R1360" s="9" t="s">
        <v>115</v>
      </c>
      <c r="S1360" s="9" t="s">
        <v>115</v>
      </c>
    </row>
    <row r="1361" ht="15.75" customHeight="1">
      <c r="A1361" s="9">
        <v>2193247.0</v>
      </c>
      <c r="B1361" s="9">
        <v>1.09756009E8</v>
      </c>
      <c r="C1361" s="9">
        <v>38988.0</v>
      </c>
      <c r="D1361" s="9" t="s">
        <v>52</v>
      </c>
      <c r="E1361" s="9" t="s">
        <v>87</v>
      </c>
      <c r="F1361" s="9">
        <v>280513.0</v>
      </c>
      <c r="G1361" s="9">
        <v>1.6674994825E8</v>
      </c>
      <c r="H1361" s="9">
        <v>2.2384193667E8</v>
      </c>
      <c r="I1361" s="9">
        <v>5.072269839E7</v>
      </c>
      <c r="J1361" s="9">
        <v>5557867.98</v>
      </c>
      <c r="K1361" s="9">
        <v>7531190.0</v>
      </c>
      <c r="L1361" s="9" t="s">
        <v>59</v>
      </c>
      <c r="M1361" s="9" t="s">
        <v>55</v>
      </c>
      <c r="R1361" s="9" t="s">
        <v>115</v>
      </c>
      <c r="S1361" s="9" t="s">
        <v>115</v>
      </c>
      <c r="V1361" s="9">
        <v>0.0</v>
      </c>
    </row>
    <row r="1362" ht="15.75" customHeight="1">
      <c r="A1362" s="9">
        <v>2193247.0</v>
      </c>
      <c r="B1362" s="9">
        <v>1.09756009E8</v>
      </c>
      <c r="C1362" s="9">
        <v>42381.0</v>
      </c>
      <c r="D1362" s="9" t="s">
        <v>52</v>
      </c>
      <c r="E1362" s="9" t="s">
        <v>87</v>
      </c>
      <c r="F1362" s="9">
        <v>280513.0</v>
      </c>
      <c r="H1362" s="9">
        <v>2.2384193667E8</v>
      </c>
      <c r="I1362" s="9">
        <v>5.072269839E7</v>
      </c>
      <c r="J1362" s="9">
        <v>5557867.98</v>
      </c>
      <c r="K1362" s="9">
        <v>7531190.0</v>
      </c>
      <c r="L1362" s="9" t="s">
        <v>59</v>
      </c>
      <c r="M1362" s="9" t="s">
        <v>55</v>
      </c>
      <c r="R1362" s="9" t="s">
        <v>115</v>
      </c>
      <c r="S1362" s="9" t="s">
        <v>115</v>
      </c>
      <c r="V1362" s="9">
        <v>1820866.95</v>
      </c>
    </row>
    <row r="1363" ht="15.75" customHeight="1">
      <c r="A1363" s="9">
        <v>2193247.0</v>
      </c>
      <c r="B1363" s="9">
        <v>1.09756009E8</v>
      </c>
      <c r="C1363" s="9">
        <v>41618.0</v>
      </c>
      <c r="D1363" s="9" t="s">
        <v>52</v>
      </c>
      <c r="E1363" s="9" t="s">
        <v>87</v>
      </c>
      <c r="F1363" s="9">
        <v>280513.0</v>
      </c>
      <c r="G1363" s="9">
        <v>1.6674994825E8</v>
      </c>
      <c r="H1363" s="9">
        <v>2.2384193667E8</v>
      </c>
      <c r="I1363" s="9">
        <v>5.072269839E7</v>
      </c>
      <c r="J1363" s="9">
        <v>5557867.98</v>
      </c>
      <c r="K1363" s="9">
        <v>7531190.0</v>
      </c>
      <c r="L1363" s="9" t="s">
        <v>59</v>
      </c>
      <c r="M1363" s="9" t="s">
        <v>55</v>
      </c>
      <c r="R1363" s="9" t="s">
        <v>115</v>
      </c>
      <c r="S1363" s="9" t="s">
        <v>115</v>
      </c>
      <c r="V1363" s="9">
        <v>1186575.03</v>
      </c>
    </row>
    <row r="1364" ht="15.75" customHeight="1">
      <c r="A1364" s="9">
        <v>2193247.0</v>
      </c>
      <c r="B1364" s="9">
        <v>1.09756009E8</v>
      </c>
      <c r="C1364" s="9">
        <v>42386.0</v>
      </c>
      <c r="D1364" s="9" t="s">
        <v>52</v>
      </c>
      <c r="E1364" s="9" t="s">
        <v>87</v>
      </c>
      <c r="F1364" s="9">
        <v>280513.0</v>
      </c>
      <c r="H1364" s="9">
        <v>2.2384193667E8</v>
      </c>
      <c r="I1364" s="9">
        <v>5.072269839E7</v>
      </c>
      <c r="J1364" s="9">
        <v>5557867.98</v>
      </c>
      <c r="K1364" s="9">
        <v>7531190.0</v>
      </c>
      <c r="L1364" s="9" t="s">
        <v>59</v>
      </c>
      <c r="M1364" s="9" t="s">
        <v>55</v>
      </c>
      <c r="R1364" s="9" t="s">
        <v>115</v>
      </c>
      <c r="S1364" s="9" t="s">
        <v>115</v>
      </c>
      <c r="V1364" s="9">
        <v>2212159.31</v>
      </c>
    </row>
    <row r="1365" ht="15.75" customHeight="1">
      <c r="A1365" s="9">
        <v>2193247.0</v>
      </c>
      <c r="B1365" s="9">
        <v>1.09756009E8</v>
      </c>
      <c r="C1365" s="9">
        <v>40964.0</v>
      </c>
      <c r="D1365" s="9" t="s">
        <v>52</v>
      </c>
      <c r="E1365" s="9" t="s">
        <v>87</v>
      </c>
      <c r="F1365" s="9">
        <v>280513.0</v>
      </c>
      <c r="G1365" s="9">
        <v>1.6674994825E8</v>
      </c>
      <c r="H1365" s="9">
        <v>2.2384193667E8</v>
      </c>
      <c r="I1365" s="9">
        <v>5.072269839E7</v>
      </c>
      <c r="J1365" s="9">
        <v>5557867.98</v>
      </c>
      <c r="K1365" s="9">
        <v>7531190.0</v>
      </c>
      <c r="L1365" s="9" t="s">
        <v>59</v>
      </c>
      <c r="M1365" s="9" t="s">
        <v>55</v>
      </c>
      <c r="R1365" s="9" t="s">
        <v>115</v>
      </c>
      <c r="S1365" s="9" t="s">
        <v>115</v>
      </c>
      <c r="V1365" s="9">
        <v>892745.47</v>
      </c>
    </row>
    <row r="1366" ht="15.75" customHeight="1">
      <c r="A1366" s="9">
        <v>2193247.0</v>
      </c>
      <c r="B1366" s="9">
        <v>1.09756009E8</v>
      </c>
      <c r="C1366" s="9">
        <v>40971.0</v>
      </c>
      <c r="D1366" s="9" t="s">
        <v>52</v>
      </c>
      <c r="E1366" s="9" t="s">
        <v>87</v>
      </c>
      <c r="F1366" s="9">
        <v>280513.0</v>
      </c>
      <c r="G1366" s="9">
        <v>1.6674994825E8</v>
      </c>
      <c r="H1366" s="9">
        <v>2.2384193667E8</v>
      </c>
      <c r="I1366" s="9">
        <v>5.072269839E7</v>
      </c>
      <c r="J1366" s="9">
        <v>5557867.98</v>
      </c>
      <c r="K1366" s="9">
        <v>7531190.0</v>
      </c>
      <c r="L1366" s="9" t="s">
        <v>59</v>
      </c>
      <c r="M1366" s="9" t="s">
        <v>55</v>
      </c>
      <c r="R1366" s="9" t="s">
        <v>115</v>
      </c>
      <c r="S1366" s="9" t="s">
        <v>115</v>
      </c>
      <c r="V1366" s="9">
        <v>1087589.78</v>
      </c>
    </row>
    <row r="1367" ht="15.75" customHeight="1">
      <c r="A1367" s="9">
        <v>2193247.0</v>
      </c>
      <c r="B1367" s="9">
        <v>1.09756009E8</v>
      </c>
      <c r="C1367" s="9">
        <v>46498.0</v>
      </c>
      <c r="D1367" s="9" t="s">
        <v>52</v>
      </c>
      <c r="E1367" s="9" t="s">
        <v>87</v>
      </c>
      <c r="F1367" s="9">
        <v>280513.0</v>
      </c>
      <c r="H1367" s="9">
        <v>2.2384193667E8</v>
      </c>
      <c r="I1367" s="9">
        <v>5.072269839E7</v>
      </c>
      <c r="J1367" s="9">
        <v>5557867.98</v>
      </c>
      <c r="K1367" s="9">
        <v>7531190.0</v>
      </c>
      <c r="L1367" s="9" t="s">
        <v>59</v>
      </c>
      <c r="M1367" s="9" t="s">
        <v>55</v>
      </c>
      <c r="R1367" s="9" t="s">
        <v>115</v>
      </c>
      <c r="S1367" s="9" t="s">
        <v>115</v>
      </c>
      <c r="V1367" s="9">
        <v>1107012.22</v>
      </c>
    </row>
    <row r="1368" ht="15.75" customHeight="1">
      <c r="A1368" s="9">
        <v>2193247.0</v>
      </c>
      <c r="B1368" s="9">
        <v>1.09756009E8</v>
      </c>
      <c r="C1368" s="9">
        <v>40975.0</v>
      </c>
      <c r="D1368" s="9" t="s">
        <v>52</v>
      </c>
      <c r="E1368" s="9" t="s">
        <v>87</v>
      </c>
      <c r="F1368" s="9">
        <v>280513.0</v>
      </c>
      <c r="G1368" s="9">
        <v>1.6674994825E8</v>
      </c>
      <c r="H1368" s="9">
        <v>2.2384193667E8</v>
      </c>
      <c r="I1368" s="9">
        <v>5.072269839E7</v>
      </c>
      <c r="J1368" s="9">
        <v>5557867.98</v>
      </c>
      <c r="K1368" s="9">
        <v>7531190.0</v>
      </c>
      <c r="L1368" s="9" t="s">
        <v>59</v>
      </c>
      <c r="M1368" s="9" t="s">
        <v>55</v>
      </c>
      <c r="R1368" s="9" t="s">
        <v>115</v>
      </c>
      <c r="S1368" s="9" t="s">
        <v>115</v>
      </c>
      <c r="V1368" s="9">
        <v>1287340.08</v>
      </c>
    </row>
    <row r="1369" ht="15.75" customHeight="1">
      <c r="A1369" s="9">
        <v>2193247.0</v>
      </c>
      <c r="B1369" s="9">
        <v>1.09756009E8</v>
      </c>
      <c r="C1369" s="9">
        <v>38989.0</v>
      </c>
      <c r="D1369" s="9" t="s">
        <v>52</v>
      </c>
      <c r="E1369" s="9" t="s">
        <v>87</v>
      </c>
      <c r="F1369" s="9">
        <v>280513.0</v>
      </c>
      <c r="G1369" s="9">
        <v>1.6674994825E8</v>
      </c>
      <c r="H1369" s="9">
        <v>2.2384193667E8</v>
      </c>
      <c r="I1369" s="9">
        <v>5.072269839E7</v>
      </c>
      <c r="J1369" s="9">
        <v>5557867.98</v>
      </c>
      <c r="K1369" s="9">
        <v>7531190.0</v>
      </c>
      <c r="L1369" s="9" t="s">
        <v>59</v>
      </c>
      <c r="M1369" s="9" t="s">
        <v>55</v>
      </c>
      <c r="R1369" s="9" t="s">
        <v>115</v>
      </c>
      <c r="S1369" s="9" t="s">
        <v>115</v>
      </c>
      <c r="V1369" s="9">
        <v>1099148.62</v>
      </c>
    </row>
    <row r="1370" ht="15.75" customHeight="1">
      <c r="A1370" s="9">
        <v>2193247.0</v>
      </c>
      <c r="B1370" s="9">
        <v>1.09756009E8</v>
      </c>
      <c r="C1370" s="9">
        <v>40961.0</v>
      </c>
      <c r="D1370" s="9" t="s">
        <v>52</v>
      </c>
      <c r="E1370" s="9" t="s">
        <v>87</v>
      </c>
      <c r="F1370" s="9">
        <v>280513.0</v>
      </c>
      <c r="G1370" s="9">
        <v>1.6674994825E8</v>
      </c>
      <c r="H1370" s="9">
        <v>2.2384193667E8</v>
      </c>
      <c r="I1370" s="9">
        <v>5.072269839E7</v>
      </c>
      <c r="J1370" s="9">
        <v>5557867.98</v>
      </c>
      <c r="K1370" s="9">
        <v>7531190.0</v>
      </c>
      <c r="L1370" s="9" t="s">
        <v>59</v>
      </c>
      <c r="M1370" s="9" t="s">
        <v>55</v>
      </c>
      <c r="R1370" s="9" t="s">
        <v>115</v>
      </c>
      <c r="S1370" s="9" t="s">
        <v>115</v>
      </c>
      <c r="V1370" s="9">
        <v>991228.33</v>
      </c>
    </row>
    <row r="1371" ht="15.75" customHeight="1">
      <c r="A1371" s="9">
        <v>2193247.0</v>
      </c>
      <c r="B1371" s="9">
        <v>1.09756009E8</v>
      </c>
      <c r="C1371" s="9">
        <v>41814.0</v>
      </c>
      <c r="D1371" s="9" t="s">
        <v>52</v>
      </c>
      <c r="E1371" s="9" t="s">
        <v>87</v>
      </c>
      <c r="F1371" s="9">
        <v>280513.0</v>
      </c>
      <c r="G1371" s="9">
        <v>1.6674994825E8</v>
      </c>
      <c r="H1371" s="9">
        <v>2.2384193667E8</v>
      </c>
      <c r="I1371" s="9">
        <v>5.072269839E7</v>
      </c>
      <c r="J1371" s="9">
        <v>5557867.98</v>
      </c>
      <c r="K1371" s="9">
        <v>7531190.0</v>
      </c>
      <c r="L1371" s="9" t="s">
        <v>59</v>
      </c>
      <c r="M1371" s="9" t="s">
        <v>55</v>
      </c>
      <c r="R1371" s="9" t="s">
        <v>115</v>
      </c>
      <c r="S1371" s="9" t="s">
        <v>115</v>
      </c>
      <c r="V1371" s="9">
        <v>1368358.01</v>
      </c>
    </row>
    <row r="1372" ht="15.75" customHeight="1">
      <c r="A1372" s="9">
        <v>2142986.0</v>
      </c>
      <c r="B1372" s="9">
        <v>5865327.0</v>
      </c>
      <c r="C1372" s="9">
        <v>40168.0</v>
      </c>
      <c r="D1372" s="9" t="s">
        <v>52</v>
      </c>
      <c r="E1372" s="9" t="s">
        <v>53</v>
      </c>
      <c r="F1372" s="9">
        <v>177393.0</v>
      </c>
      <c r="G1372" s="9">
        <v>1.162529455E7</v>
      </c>
      <c r="H1372" s="9">
        <v>1.141120383E7</v>
      </c>
      <c r="I1372" s="9">
        <v>1.129291109E7</v>
      </c>
      <c r="J1372" s="9">
        <v>0.0</v>
      </c>
      <c r="K1372" s="9">
        <v>0.0</v>
      </c>
      <c r="L1372" s="9" t="s">
        <v>59</v>
      </c>
      <c r="M1372" s="9" t="s">
        <v>62</v>
      </c>
      <c r="N1372" s="9">
        <v>3870673.0</v>
      </c>
      <c r="O1372" s="9">
        <v>3860577.2</v>
      </c>
      <c r="P1372" s="9">
        <v>106639.0</v>
      </c>
      <c r="Q1372" s="9">
        <v>105500.0</v>
      </c>
      <c r="R1372" s="9" t="s">
        <v>56</v>
      </c>
      <c r="S1372" s="9" t="s">
        <v>57</v>
      </c>
      <c r="T1372" s="9" t="s">
        <v>58</v>
      </c>
    </row>
    <row r="1373" ht="15.75" customHeight="1">
      <c r="A1373" s="9">
        <v>2143120.0</v>
      </c>
      <c r="B1373" s="9">
        <v>8601517.0</v>
      </c>
      <c r="C1373" s="9">
        <v>39436.0</v>
      </c>
      <c r="D1373" s="9" t="s">
        <v>52</v>
      </c>
      <c r="E1373" s="9" t="s">
        <v>53</v>
      </c>
      <c r="F1373" s="9">
        <v>177094.0</v>
      </c>
      <c r="G1373" s="9">
        <v>1.031972777E7</v>
      </c>
      <c r="H1373" s="9">
        <v>1.031972777E7</v>
      </c>
      <c r="I1373" s="9">
        <v>1.030655918E7</v>
      </c>
      <c r="J1373" s="9">
        <v>0.0</v>
      </c>
      <c r="K1373" s="9">
        <v>0.0</v>
      </c>
      <c r="L1373" s="9" t="s">
        <v>59</v>
      </c>
      <c r="M1373" s="9" t="s">
        <v>62</v>
      </c>
      <c r="R1373" s="9" t="s">
        <v>56</v>
      </c>
      <c r="S1373" s="9" t="s">
        <v>57</v>
      </c>
      <c r="T1373" s="9" t="s">
        <v>58</v>
      </c>
      <c r="V1373" s="9">
        <v>1536590.17</v>
      </c>
      <c r="W1373" s="9">
        <v>0.0</v>
      </c>
      <c r="X1373" s="9">
        <v>0.0</v>
      </c>
    </row>
    <row r="1374" ht="15.75" customHeight="1">
      <c r="A1374" s="9">
        <v>2143556.0</v>
      </c>
      <c r="B1374" s="9">
        <v>5987566.0</v>
      </c>
      <c r="C1374" s="9">
        <v>30607.0</v>
      </c>
      <c r="D1374" s="9" t="s">
        <v>52</v>
      </c>
      <c r="E1374" s="9" t="s">
        <v>53</v>
      </c>
      <c r="F1374" s="9">
        <v>91721.0</v>
      </c>
      <c r="G1374" s="9">
        <v>5995735.62</v>
      </c>
      <c r="H1374" s="9">
        <v>5995735.62</v>
      </c>
      <c r="I1374" s="9">
        <v>5891726.41</v>
      </c>
      <c r="J1374" s="9">
        <v>0.0</v>
      </c>
      <c r="K1374" s="9">
        <v>0.0</v>
      </c>
      <c r="L1374" s="9" t="s">
        <v>69</v>
      </c>
      <c r="M1374" s="9" t="s">
        <v>55</v>
      </c>
      <c r="N1374" s="9">
        <v>5307495.6</v>
      </c>
      <c r="O1374" s="9">
        <v>5307495.6</v>
      </c>
      <c r="P1374" s="9">
        <v>327345.35</v>
      </c>
      <c r="Q1374" s="9">
        <v>327345.35</v>
      </c>
      <c r="R1374" s="9" t="s">
        <v>60</v>
      </c>
      <c r="S1374" s="9" t="s">
        <v>57</v>
      </c>
      <c r="T1374" s="9" t="s">
        <v>61</v>
      </c>
      <c r="V1374" s="9">
        <v>2993783.0</v>
      </c>
      <c r="W1374" s="9">
        <v>0.0</v>
      </c>
      <c r="X1374" s="9">
        <v>0.0</v>
      </c>
    </row>
    <row r="1375" ht="15.75" customHeight="1">
      <c r="A1375" s="9">
        <v>2144141.0</v>
      </c>
      <c r="B1375" s="9">
        <v>510284.02</v>
      </c>
      <c r="C1375" s="9">
        <v>30476.0</v>
      </c>
      <c r="D1375" s="9" t="s">
        <v>52</v>
      </c>
      <c r="E1375" s="9" t="s">
        <v>53</v>
      </c>
      <c r="F1375" s="9">
        <v>177871.0</v>
      </c>
      <c r="G1375" s="9">
        <v>502060.5</v>
      </c>
      <c r="H1375" s="9">
        <v>502060.5</v>
      </c>
      <c r="I1375" s="9">
        <v>490517.15</v>
      </c>
      <c r="J1375" s="9">
        <v>0.0</v>
      </c>
      <c r="K1375" s="9">
        <v>0.0</v>
      </c>
      <c r="L1375" s="9" t="s">
        <v>69</v>
      </c>
      <c r="M1375" s="9" t="s">
        <v>55</v>
      </c>
      <c r="N1375" s="9">
        <v>478152.86</v>
      </c>
      <c r="O1375" s="9">
        <v>478152.86</v>
      </c>
      <c r="P1375" s="9">
        <v>478152.86</v>
      </c>
      <c r="Q1375" s="9">
        <v>0.0</v>
      </c>
      <c r="R1375" s="9" t="s">
        <v>60</v>
      </c>
      <c r="S1375" s="9" t="s">
        <v>57</v>
      </c>
      <c r="T1375" s="9" t="s">
        <v>61</v>
      </c>
      <c r="V1375" s="9">
        <v>482257.15</v>
      </c>
      <c r="W1375" s="9">
        <v>8260.0</v>
      </c>
      <c r="X1375" s="9">
        <v>0.0</v>
      </c>
    </row>
    <row r="1376" ht="15.75" customHeight="1">
      <c r="A1376" s="9">
        <v>2147602.0</v>
      </c>
      <c r="B1376" s="9">
        <v>7103974.0</v>
      </c>
      <c r="C1376" s="9">
        <v>30267.0</v>
      </c>
      <c r="D1376" s="9" t="s">
        <v>52</v>
      </c>
      <c r="E1376" s="9" t="s">
        <v>53</v>
      </c>
      <c r="F1376" s="9">
        <v>189573.0</v>
      </c>
      <c r="G1376" s="9">
        <v>7205087.09</v>
      </c>
      <c r="H1376" s="9">
        <v>7205087.09</v>
      </c>
      <c r="I1376" s="9">
        <v>7198215.23</v>
      </c>
      <c r="J1376" s="9">
        <v>0.0</v>
      </c>
      <c r="K1376" s="9">
        <v>0.0</v>
      </c>
      <c r="L1376" s="9" t="s">
        <v>59</v>
      </c>
      <c r="M1376" s="9" t="s">
        <v>55</v>
      </c>
      <c r="N1376" s="9">
        <v>6872652.81</v>
      </c>
      <c r="O1376" s="9">
        <v>6872652.81</v>
      </c>
      <c r="P1376" s="9">
        <v>6872652.81</v>
      </c>
      <c r="Q1376" s="9">
        <v>175562.0</v>
      </c>
      <c r="R1376" s="9" t="s">
        <v>60</v>
      </c>
      <c r="S1376" s="9" t="s">
        <v>57</v>
      </c>
      <c r="T1376" s="9" t="s">
        <v>61</v>
      </c>
      <c r="V1376" s="9">
        <v>6872652.81</v>
      </c>
      <c r="W1376" s="9">
        <v>175562.0</v>
      </c>
      <c r="X1376" s="9">
        <v>0.0</v>
      </c>
    </row>
    <row r="1377" ht="15.75" customHeight="1">
      <c r="A1377" s="9">
        <v>2148921.0</v>
      </c>
      <c r="B1377" s="9">
        <v>6850555.0</v>
      </c>
      <c r="C1377" s="9">
        <v>29982.0</v>
      </c>
      <c r="D1377" s="9" t="s">
        <v>52</v>
      </c>
      <c r="E1377" s="9" t="s">
        <v>53</v>
      </c>
      <c r="F1377" s="9">
        <v>188421.0</v>
      </c>
      <c r="G1377" s="9">
        <v>7944442.3</v>
      </c>
      <c r="H1377" s="9">
        <v>7987842.3</v>
      </c>
      <c r="I1377" s="9">
        <v>7877541.0</v>
      </c>
      <c r="J1377" s="9">
        <v>0.0</v>
      </c>
      <c r="K1377" s="9">
        <v>0.0</v>
      </c>
      <c r="L1377" s="9" t="s">
        <v>69</v>
      </c>
      <c r="M1377" s="9" t="s">
        <v>55</v>
      </c>
      <c r="N1377" s="9">
        <v>7634191.3</v>
      </c>
      <c r="O1377" s="9">
        <v>7634191.3</v>
      </c>
      <c r="R1377" s="9" t="s">
        <v>56</v>
      </c>
      <c r="S1377" s="9" t="s">
        <v>57</v>
      </c>
      <c r="T1377" s="9" t="s">
        <v>58</v>
      </c>
      <c r="V1377" s="9">
        <v>7311538.84</v>
      </c>
      <c r="W1377" s="9">
        <v>229790.14</v>
      </c>
      <c r="X1377" s="9">
        <v>0.0</v>
      </c>
    </row>
    <row r="1378" ht="15.75" customHeight="1">
      <c r="A1378" s="9">
        <v>2148936.0</v>
      </c>
      <c r="B1378" s="9">
        <v>2704784.0</v>
      </c>
      <c r="C1378" s="9">
        <v>30890.0</v>
      </c>
      <c r="D1378" s="9" t="s">
        <v>52</v>
      </c>
      <c r="E1378" s="9" t="s">
        <v>53</v>
      </c>
      <c r="F1378" s="9">
        <v>185087.0</v>
      </c>
      <c r="G1378" s="9">
        <v>2867093.48</v>
      </c>
      <c r="H1378" s="9">
        <v>2867093.48</v>
      </c>
      <c r="I1378" s="9">
        <v>2591571.0</v>
      </c>
      <c r="J1378" s="9">
        <v>0.0</v>
      </c>
      <c r="K1378" s="9">
        <v>0.0</v>
      </c>
      <c r="L1378" s="9" t="s">
        <v>69</v>
      </c>
      <c r="M1378" s="9" t="s">
        <v>55</v>
      </c>
      <c r="N1378" s="9">
        <v>2690127.48</v>
      </c>
      <c r="O1378" s="9">
        <v>2507745.0</v>
      </c>
      <c r="R1378" s="9" t="s">
        <v>60</v>
      </c>
      <c r="S1378" s="9" t="s">
        <v>57</v>
      </c>
      <c r="T1378" s="9" t="s">
        <v>61</v>
      </c>
      <c r="V1378" s="9">
        <v>2507745.0</v>
      </c>
      <c r="W1378" s="9">
        <v>83826.0</v>
      </c>
      <c r="X1378" s="9">
        <v>0.0</v>
      </c>
    </row>
    <row r="1379" ht="15.75" customHeight="1">
      <c r="A1379" s="9">
        <v>2150944.0</v>
      </c>
      <c r="B1379" s="9">
        <v>2197442.0</v>
      </c>
      <c r="C1379" s="9">
        <v>26624.0</v>
      </c>
      <c r="D1379" s="9" t="s">
        <v>52</v>
      </c>
      <c r="E1379" s="9" t="s">
        <v>53</v>
      </c>
      <c r="F1379" s="9">
        <v>187918.0</v>
      </c>
      <c r="G1379" s="9">
        <v>1814157.32</v>
      </c>
      <c r="H1379" s="9">
        <v>1814157.32</v>
      </c>
      <c r="I1379" s="9">
        <v>1814156.32</v>
      </c>
      <c r="J1379" s="9">
        <v>0.0</v>
      </c>
      <c r="K1379" s="9">
        <v>0.0</v>
      </c>
      <c r="L1379" s="9" t="s">
        <v>69</v>
      </c>
      <c r="M1379" s="9" t="s">
        <v>55</v>
      </c>
      <c r="N1379" s="9">
        <v>1680265.6</v>
      </c>
      <c r="O1379" s="9">
        <v>1680251.64</v>
      </c>
      <c r="P1379" s="9">
        <v>52427.4</v>
      </c>
      <c r="Q1379" s="9">
        <v>52427.4</v>
      </c>
      <c r="R1379" s="9" t="s">
        <v>60</v>
      </c>
      <c r="S1379" s="9" t="s">
        <v>57</v>
      </c>
      <c r="T1379" s="9" t="s">
        <v>61</v>
      </c>
      <c r="V1379" s="9">
        <v>1814157.32</v>
      </c>
      <c r="W1379" s="9">
        <v>52427.4</v>
      </c>
      <c r="X1379" s="9">
        <v>0.0</v>
      </c>
    </row>
    <row r="1380" ht="15.75" customHeight="1">
      <c r="A1380" s="9">
        <v>2153601.0</v>
      </c>
      <c r="B1380" s="9">
        <v>5789634.0</v>
      </c>
      <c r="C1380" s="9">
        <v>26718.0</v>
      </c>
      <c r="D1380" s="9" t="s">
        <v>52</v>
      </c>
      <c r="E1380" s="9" t="s">
        <v>53</v>
      </c>
      <c r="F1380" s="9">
        <v>206499.0</v>
      </c>
      <c r="G1380" s="9">
        <v>7256418.6</v>
      </c>
      <c r="H1380" s="9">
        <v>7256418.6</v>
      </c>
      <c r="I1380" s="9">
        <v>7256395.47</v>
      </c>
      <c r="J1380" s="9">
        <v>0.0</v>
      </c>
      <c r="K1380" s="9">
        <v>0.0</v>
      </c>
      <c r="L1380" s="9" t="s">
        <v>69</v>
      </c>
      <c r="M1380" s="9" t="s">
        <v>55</v>
      </c>
      <c r="N1380" s="9">
        <v>6914170.75</v>
      </c>
      <c r="O1380" s="9">
        <v>6914170.75</v>
      </c>
      <c r="P1380" s="9">
        <v>244332.72</v>
      </c>
      <c r="Q1380" s="9">
        <v>244322.72</v>
      </c>
      <c r="R1380" s="9" t="s">
        <v>60</v>
      </c>
      <c r="S1380" s="9" t="s">
        <v>57</v>
      </c>
      <c r="T1380" s="9" t="s">
        <v>61</v>
      </c>
      <c r="V1380" s="9">
        <v>6899098.38</v>
      </c>
      <c r="W1380" s="9">
        <v>272724.72</v>
      </c>
      <c r="X1380" s="9">
        <v>0.0</v>
      </c>
    </row>
    <row r="1381" ht="15.75" customHeight="1">
      <c r="A1381" s="9">
        <v>2154335.0</v>
      </c>
      <c r="B1381" s="9">
        <v>9966003.0</v>
      </c>
      <c r="C1381" s="9">
        <v>31566.0</v>
      </c>
      <c r="D1381" s="9" t="s">
        <v>52</v>
      </c>
      <c r="E1381" s="9" t="s">
        <v>53</v>
      </c>
      <c r="F1381" s="9">
        <v>205037.0</v>
      </c>
      <c r="G1381" s="9">
        <v>1.178027428E7</v>
      </c>
      <c r="H1381" s="9">
        <v>1.028941133E7</v>
      </c>
      <c r="I1381" s="9">
        <v>9365883.32</v>
      </c>
      <c r="J1381" s="9">
        <v>0.0</v>
      </c>
      <c r="K1381" s="9">
        <v>0.0</v>
      </c>
      <c r="L1381" s="9" t="s">
        <v>59</v>
      </c>
      <c r="M1381" s="9" t="s">
        <v>55</v>
      </c>
      <c r="N1381" s="9">
        <v>1.000510407E7</v>
      </c>
      <c r="O1381" s="9">
        <v>0.0</v>
      </c>
      <c r="P1381" s="9">
        <v>423945.09</v>
      </c>
      <c r="Q1381" s="9">
        <v>423945.09</v>
      </c>
      <c r="R1381" s="9" t="s">
        <v>60</v>
      </c>
      <c r="S1381" s="9" t="s">
        <v>57</v>
      </c>
      <c r="T1381" s="9" t="s">
        <v>61</v>
      </c>
      <c r="V1381" s="9">
        <v>1.062888828E7</v>
      </c>
      <c r="W1381" s="9">
        <v>441443.61</v>
      </c>
      <c r="X1381" s="9">
        <v>0.0</v>
      </c>
    </row>
    <row r="1382" ht="15.75" customHeight="1">
      <c r="A1382" s="9">
        <v>2156741.0</v>
      </c>
      <c r="B1382" s="9">
        <v>8299335.0</v>
      </c>
      <c r="C1382" s="9">
        <v>29898.0</v>
      </c>
      <c r="D1382" s="9" t="s">
        <v>52</v>
      </c>
      <c r="E1382" s="9" t="s">
        <v>53</v>
      </c>
      <c r="F1382" s="9">
        <v>199535.0</v>
      </c>
      <c r="G1382" s="9">
        <v>6744365.18</v>
      </c>
      <c r="H1382" s="9">
        <v>6744365.18</v>
      </c>
      <c r="I1382" s="9">
        <v>6692132.52</v>
      </c>
      <c r="J1382" s="9">
        <v>0.0</v>
      </c>
      <c r="K1382" s="9">
        <v>0.0</v>
      </c>
      <c r="L1382" s="9" t="s">
        <v>69</v>
      </c>
      <c r="M1382" s="9" t="s">
        <v>55</v>
      </c>
      <c r="N1382" s="9">
        <v>6470203.99</v>
      </c>
      <c r="O1382" s="9">
        <v>6470000.0</v>
      </c>
      <c r="P1382" s="9">
        <v>0.0</v>
      </c>
      <c r="Q1382" s="9">
        <v>0.0</v>
      </c>
      <c r="R1382" s="9" t="s">
        <v>60</v>
      </c>
      <c r="S1382" s="9" t="s">
        <v>57</v>
      </c>
      <c r="T1382" s="9" t="s">
        <v>61</v>
      </c>
      <c r="V1382" s="9">
        <v>6658437.88</v>
      </c>
    </row>
    <row r="1383" ht="15.75" customHeight="1">
      <c r="A1383" s="9">
        <v>2156743.0</v>
      </c>
      <c r="B1383" s="9">
        <v>911658.0</v>
      </c>
      <c r="C1383" s="9">
        <v>30468.0</v>
      </c>
      <c r="D1383" s="9" t="s">
        <v>52</v>
      </c>
      <c r="E1383" s="9" t="s">
        <v>53</v>
      </c>
      <c r="F1383" s="9">
        <v>170052.0</v>
      </c>
      <c r="G1383" s="9">
        <v>934778.35</v>
      </c>
      <c r="H1383" s="9">
        <v>934778.35</v>
      </c>
      <c r="I1383" s="9">
        <v>926081.22</v>
      </c>
      <c r="J1383" s="9">
        <v>0.0</v>
      </c>
      <c r="K1383" s="9">
        <v>0.0</v>
      </c>
      <c r="L1383" s="9" t="s">
        <v>59</v>
      </c>
      <c r="M1383" s="9" t="s">
        <v>55</v>
      </c>
      <c r="N1383" s="9">
        <v>882783.87</v>
      </c>
      <c r="O1383" s="9">
        <v>882783.87</v>
      </c>
      <c r="P1383" s="9">
        <v>25000.0</v>
      </c>
      <c r="Q1383" s="9">
        <v>0.0</v>
      </c>
      <c r="R1383" s="9" t="s">
        <v>56</v>
      </c>
      <c r="S1383" s="9" t="s">
        <v>57</v>
      </c>
      <c r="T1383" s="9" t="s">
        <v>58</v>
      </c>
      <c r="V1383" s="9">
        <v>882783.87</v>
      </c>
      <c r="W1383" s="9">
        <v>0.0</v>
      </c>
      <c r="X1383" s="9">
        <v>0.0</v>
      </c>
    </row>
    <row r="1384" ht="15.75" customHeight="1">
      <c r="A1384" s="9">
        <v>2163527.0</v>
      </c>
      <c r="B1384" s="9">
        <v>1199287.89</v>
      </c>
      <c r="C1384" s="9">
        <v>38108.0</v>
      </c>
      <c r="D1384" s="9" t="s">
        <v>52</v>
      </c>
      <c r="E1384" s="9" t="s">
        <v>53</v>
      </c>
      <c r="F1384" s="9">
        <v>226232.0</v>
      </c>
      <c r="G1384" s="9">
        <v>1531867.09</v>
      </c>
      <c r="H1384" s="9">
        <v>1531867.09</v>
      </c>
      <c r="I1384" s="9">
        <v>1401193.2</v>
      </c>
      <c r="J1384" s="9">
        <v>0.0</v>
      </c>
      <c r="K1384" s="9">
        <v>0.0</v>
      </c>
      <c r="L1384" s="9" t="s">
        <v>59</v>
      </c>
      <c r="M1384" s="9" t="s">
        <v>74</v>
      </c>
      <c r="N1384" s="9">
        <v>86868.0</v>
      </c>
      <c r="O1384" s="9">
        <v>86868.0</v>
      </c>
      <c r="R1384" s="9" t="s">
        <v>85</v>
      </c>
      <c r="S1384" s="9" t="s">
        <v>67</v>
      </c>
      <c r="T1384" s="9" t="s">
        <v>86</v>
      </c>
    </row>
    <row r="1385" ht="15.75" customHeight="1">
      <c r="A1385" s="9">
        <v>2164061.0</v>
      </c>
      <c r="B1385" s="9">
        <v>5647832.0</v>
      </c>
      <c r="C1385" s="9">
        <v>26741.0</v>
      </c>
      <c r="D1385" s="9" t="s">
        <v>52</v>
      </c>
      <c r="E1385" s="9" t="s">
        <v>53</v>
      </c>
      <c r="F1385" s="9">
        <v>230331.0</v>
      </c>
      <c r="G1385" s="9">
        <v>6324014.79</v>
      </c>
      <c r="H1385" s="9">
        <v>6324014.79</v>
      </c>
      <c r="I1385" s="9">
        <v>6324014.79</v>
      </c>
      <c r="J1385" s="9">
        <v>0.0</v>
      </c>
      <c r="K1385" s="9">
        <v>0.0</v>
      </c>
      <c r="L1385" s="9" t="s">
        <v>59</v>
      </c>
      <c r="M1385" s="9" t="s">
        <v>55</v>
      </c>
      <c r="N1385" s="9">
        <v>5491591.05</v>
      </c>
      <c r="O1385" s="9">
        <v>5491591.05</v>
      </c>
      <c r="P1385" s="9">
        <v>141925.0</v>
      </c>
      <c r="Q1385" s="9">
        <v>141925.0</v>
      </c>
      <c r="R1385" s="9" t="s">
        <v>72</v>
      </c>
      <c r="S1385" s="9" t="s">
        <v>57</v>
      </c>
      <c r="T1385" s="9" t="s">
        <v>73</v>
      </c>
      <c r="V1385" s="9">
        <v>6132558.95</v>
      </c>
      <c r="W1385" s="9">
        <v>152455.84</v>
      </c>
      <c r="X1385" s="9">
        <v>0.0</v>
      </c>
    </row>
    <row r="1386" ht="15.75" customHeight="1">
      <c r="A1386" s="9">
        <v>2165097.0</v>
      </c>
      <c r="B1386" s="9">
        <v>7779495.0</v>
      </c>
      <c r="C1386" s="9">
        <v>26628.0</v>
      </c>
      <c r="D1386" s="9" t="s">
        <v>52</v>
      </c>
      <c r="E1386" s="9" t="s">
        <v>53</v>
      </c>
      <c r="F1386" s="9">
        <v>206461.0</v>
      </c>
      <c r="G1386" s="9">
        <v>6613812.0</v>
      </c>
      <c r="H1386" s="9">
        <v>6613812.0</v>
      </c>
      <c r="I1386" s="9">
        <v>6400383.75</v>
      </c>
      <c r="J1386" s="9">
        <v>0.0</v>
      </c>
      <c r="K1386" s="9">
        <v>0.0</v>
      </c>
      <c r="L1386" s="9" t="s">
        <v>69</v>
      </c>
      <c r="M1386" s="9" t="s">
        <v>55</v>
      </c>
      <c r="P1386" s="9">
        <v>199980.0</v>
      </c>
      <c r="Q1386" s="9">
        <v>199980.0</v>
      </c>
      <c r="R1386" s="9" t="s">
        <v>63</v>
      </c>
      <c r="S1386" s="9" t="s">
        <v>63</v>
      </c>
    </row>
    <row r="1387" ht="15.75" customHeight="1">
      <c r="A1387" s="9">
        <v>2167035.0</v>
      </c>
      <c r="B1387" s="9">
        <v>1.1316519E7</v>
      </c>
      <c r="C1387" s="9">
        <v>26956.0</v>
      </c>
      <c r="D1387" s="9" t="s">
        <v>52</v>
      </c>
      <c r="E1387" s="9" t="s">
        <v>53</v>
      </c>
      <c r="F1387" s="9">
        <v>83555.0</v>
      </c>
      <c r="G1387" s="9">
        <v>1.3958754E7</v>
      </c>
      <c r="H1387" s="9">
        <v>1.3958754E7</v>
      </c>
      <c r="I1387" s="9">
        <v>4942013.08</v>
      </c>
      <c r="J1387" s="9">
        <v>0.0</v>
      </c>
      <c r="K1387" s="9">
        <v>0.0</v>
      </c>
      <c r="L1387" s="9" t="s">
        <v>59</v>
      </c>
      <c r="M1387" s="9" t="s">
        <v>55</v>
      </c>
      <c r="N1387" s="9">
        <v>1.292914905E7</v>
      </c>
      <c r="O1387" s="9">
        <v>1.292914904E7</v>
      </c>
      <c r="P1387" s="9">
        <v>435000.0</v>
      </c>
      <c r="Q1387" s="9">
        <v>435000.0</v>
      </c>
      <c r="R1387" s="9" t="s">
        <v>75</v>
      </c>
      <c r="S1387" s="9" t="s">
        <v>57</v>
      </c>
      <c r="T1387" s="9" t="s">
        <v>76</v>
      </c>
    </row>
    <row r="1388" ht="15.75" customHeight="1">
      <c r="A1388" s="9">
        <v>2167369.0</v>
      </c>
      <c r="B1388" s="9">
        <v>1629352.0</v>
      </c>
      <c r="C1388" s="9">
        <v>30815.0</v>
      </c>
      <c r="D1388" s="9" t="s">
        <v>52</v>
      </c>
      <c r="E1388" s="9" t="s">
        <v>53</v>
      </c>
      <c r="F1388" s="9">
        <v>230841.0</v>
      </c>
      <c r="G1388" s="9">
        <v>1609621.11</v>
      </c>
      <c r="H1388" s="9">
        <v>1609621.11</v>
      </c>
      <c r="I1388" s="9">
        <v>0.0</v>
      </c>
      <c r="J1388" s="9">
        <v>0.0</v>
      </c>
      <c r="K1388" s="9">
        <v>0.0</v>
      </c>
      <c r="L1388" s="9" t="s">
        <v>54</v>
      </c>
      <c r="M1388" s="9" t="s">
        <v>55</v>
      </c>
      <c r="N1388" s="9">
        <v>1560721.11</v>
      </c>
      <c r="O1388" s="9">
        <v>1560721.11</v>
      </c>
      <c r="R1388" s="9" t="s">
        <v>75</v>
      </c>
      <c r="S1388" s="9" t="s">
        <v>57</v>
      </c>
      <c r="T1388" s="9" t="s">
        <v>76</v>
      </c>
    </row>
    <row r="1389" ht="15.75" customHeight="1">
      <c r="A1389" s="9">
        <v>2167371.0</v>
      </c>
      <c r="B1389" s="9">
        <v>9981692.0</v>
      </c>
      <c r="C1389" s="9">
        <v>29842.0</v>
      </c>
      <c r="D1389" s="9" t="s">
        <v>52</v>
      </c>
      <c r="E1389" s="9" t="s">
        <v>53</v>
      </c>
      <c r="F1389" s="9">
        <v>234817.0</v>
      </c>
      <c r="G1389" s="9">
        <v>2.3123597E7</v>
      </c>
      <c r="H1389" s="9">
        <v>2.3123597E7</v>
      </c>
      <c r="I1389" s="9">
        <v>0.0</v>
      </c>
      <c r="J1389" s="9">
        <v>0.0</v>
      </c>
      <c r="K1389" s="9">
        <v>0.0</v>
      </c>
      <c r="L1389" s="9" t="s">
        <v>54</v>
      </c>
      <c r="M1389" s="9" t="s">
        <v>65</v>
      </c>
      <c r="N1389" s="9">
        <v>98860.0</v>
      </c>
      <c r="O1389" s="9">
        <v>98860.0</v>
      </c>
      <c r="R1389" s="9" t="s">
        <v>60</v>
      </c>
      <c r="S1389" s="9" t="s">
        <v>57</v>
      </c>
      <c r="T1389" s="9" t="s">
        <v>61</v>
      </c>
      <c r="V1389" s="9">
        <v>98860.0</v>
      </c>
      <c r="W1389" s="9">
        <v>0.0</v>
      </c>
    </row>
    <row r="1390" ht="15.75" customHeight="1">
      <c r="A1390" s="9">
        <v>2173704.0</v>
      </c>
      <c r="B1390" s="9">
        <v>9451442.0</v>
      </c>
      <c r="C1390" s="9">
        <v>48219.0</v>
      </c>
      <c r="D1390" s="9" t="s">
        <v>52</v>
      </c>
      <c r="E1390" s="9" t="s">
        <v>53</v>
      </c>
      <c r="F1390" s="9">
        <v>220844.0</v>
      </c>
      <c r="G1390" s="9">
        <v>1.340062009E7</v>
      </c>
      <c r="H1390" s="9">
        <v>2.650236325E7</v>
      </c>
      <c r="I1390" s="9">
        <v>1.189663219E7</v>
      </c>
      <c r="J1390" s="9">
        <v>6286759.89</v>
      </c>
      <c r="K1390" s="9">
        <v>6439102.0</v>
      </c>
      <c r="L1390" s="9" t="s">
        <v>59</v>
      </c>
      <c r="M1390" s="9" t="s">
        <v>62</v>
      </c>
      <c r="N1390" s="9">
        <v>2.196109969E7</v>
      </c>
      <c r="O1390" s="9">
        <v>1.976498973E7</v>
      </c>
      <c r="P1390" s="9">
        <v>886912.92</v>
      </c>
      <c r="Q1390" s="9">
        <v>886876.52</v>
      </c>
      <c r="R1390" s="9" t="s">
        <v>133</v>
      </c>
      <c r="S1390" s="9" t="s">
        <v>82</v>
      </c>
      <c r="T1390" s="9" t="s">
        <v>83</v>
      </c>
      <c r="U1390" s="9" t="s">
        <v>134</v>
      </c>
    </row>
    <row r="1391" ht="15.75" customHeight="1">
      <c r="A1391" s="9">
        <v>2178684.0</v>
      </c>
      <c r="B1391" s="9">
        <v>3353841.0</v>
      </c>
      <c r="C1391" s="9">
        <v>33374.0</v>
      </c>
      <c r="D1391" s="9" t="s">
        <v>52</v>
      </c>
      <c r="E1391" s="9" t="s">
        <v>53</v>
      </c>
      <c r="F1391" s="9">
        <v>227785.0</v>
      </c>
      <c r="G1391" s="9">
        <v>4758220.53</v>
      </c>
      <c r="H1391" s="9">
        <v>4724484.08</v>
      </c>
      <c r="I1391" s="9">
        <v>4690902.13</v>
      </c>
      <c r="J1391" s="9">
        <v>0.0</v>
      </c>
      <c r="K1391" s="9">
        <v>0.0</v>
      </c>
      <c r="L1391" s="9" t="s">
        <v>59</v>
      </c>
      <c r="M1391" s="9" t="s">
        <v>55</v>
      </c>
      <c r="N1391" s="9">
        <v>4026187.0</v>
      </c>
      <c r="O1391" s="9">
        <v>3929314.0</v>
      </c>
      <c r="R1391" s="9" t="s">
        <v>72</v>
      </c>
      <c r="S1391" s="9" t="s">
        <v>57</v>
      </c>
      <c r="T1391" s="9" t="s">
        <v>73</v>
      </c>
      <c r="V1391" s="9">
        <v>3929314.0</v>
      </c>
      <c r="W1391" s="9">
        <v>56237.5</v>
      </c>
      <c r="X1391" s="9">
        <v>0.0</v>
      </c>
    </row>
    <row r="1392" ht="15.75" customHeight="1">
      <c r="A1392" s="9">
        <v>2180239.0</v>
      </c>
      <c r="B1392" s="9">
        <v>1038985.66</v>
      </c>
      <c r="C1392" s="9">
        <v>32153.0</v>
      </c>
      <c r="D1392" s="9" t="s">
        <v>52</v>
      </c>
      <c r="E1392" s="9" t="s">
        <v>53</v>
      </c>
      <c r="F1392" s="9">
        <v>257391.0</v>
      </c>
      <c r="G1392" s="9">
        <v>805615.0</v>
      </c>
      <c r="H1392" s="9">
        <v>839500.1</v>
      </c>
      <c r="I1392" s="9">
        <v>828000.1</v>
      </c>
      <c r="J1392" s="9">
        <v>0.0</v>
      </c>
      <c r="K1392" s="9">
        <v>0.0</v>
      </c>
      <c r="L1392" s="9" t="s">
        <v>59</v>
      </c>
      <c r="M1392" s="9" t="s">
        <v>55</v>
      </c>
      <c r="N1392" s="9">
        <v>749114.52</v>
      </c>
      <c r="O1392" s="9">
        <v>749114.52</v>
      </c>
      <c r="P1392" s="9">
        <v>39000.0</v>
      </c>
      <c r="Q1392" s="9">
        <v>39000.0</v>
      </c>
      <c r="R1392" s="9" t="s">
        <v>56</v>
      </c>
      <c r="S1392" s="9" t="s">
        <v>57</v>
      </c>
      <c r="T1392" s="9" t="s">
        <v>58</v>
      </c>
      <c r="V1392" s="9">
        <v>749114.52</v>
      </c>
      <c r="W1392" s="9">
        <v>0.0</v>
      </c>
      <c r="X1392" s="9">
        <v>0.0</v>
      </c>
    </row>
    <row r="1393" ht="15.75" customHeight="1">
      <c r="A1393" s="9">
        <v>2181009.0</v>
      </c>
      <c r="B1393" s="9">
        <v>3440862.0</v>
      </c>
      <c r="C1393" s="9">
        <v>32151.0</v>
      </c>
      <c r="D1393" s="9" t="s">
        <v>52</v>
      </c>
      <c r="E1393" s="9" t="s">
        <v>53</v>
      </c>
      <c r="F1393" s="9">
        <v>252715.0</v>
      </c>
      <c r="G1393" s="9">
        <v>3377997.0</v>
      </c>
      <c r="H1393" s="9">
        <v>2146831.81</v>
      </c>
      <c r="I1393" s="9">
        <v>2099029.27</v>
      </c>
      <c r="J1393" s="9">
        <v>0.0</v>
      </c>
      <c r="K1393" s="9">
        <v>0.0</v>
      </c>
      <c r="L1393" s="9" t="s">
        <v>59</v>
      </c>
      <c r="M1393" s="9" t="s">
        <v>55</v>
      </c>
      <c r="N1393" s="9">
        <v>1755624.44</v>
      </c>
      <c r="O1393" s="9">
        <v>1755624.44</v>
      </c>
      <c r="P1393" s="9">
        <v>58218.94</v>
      </c>
      <c r="Q1393" s="9">
        <v>58218.94</v>
      </c>
      <c r="R1393" s="9" t="s">
        <v>60</v>
      </c>
      <c r="S1393" s="9" t="s">
        <v>57</v>
      </c>
      <c r="T1393" s="9" t="s">
        <v>61</v>
      </c>
      <c r="V1393" s="9">
        <v>1755624.44</v>
      </c>
      <c r="W1393" s="9">
        <v>58218.94</v>
      </c>
      <c r="X1393" s="9">
        <v>0.0</v>
      </c>
    </row>
    <row r="1394" ht="15.75" customHeight="1">
      <c r="A1394" s="9">
        <v>2272409.0</v>
      </c>
      <c r="B1394" s="9">
        <v>5424710.0</v>
      </c>
      <c r="C1394" s="9">
        <v>37705.0</v>
      </c>
      <c r="D1394" s="9" t="s">
        <v>52</v>
      </c>
      <c r="E1394" s="9" t="s">
        <v>53</v>
      </c>
      <c r="F1394" s="9">
        <v>320049.0</v>
      </c>
      <c r="G1394" s="9">
        <v>7047336.86</v>
      </c>
      <c r="H1394" s="9">
        <v>7107226.86</v>
      </c>
      <c r="I1394" s="9">
        <v>6832454.47</v>
      </c>
      <c r="J1394" s="9">
        <v>0.0</v>
      </c>
      <c r="K1394" s="9">
        <v>0.0</v>
      </c>
      <c r="L1394" s="9" t="s">
        <v>69</v>
      </c>
      <c r="M1394" s="9" t="s">
        <v>55</v>
      </c>
      <c r="N1394" s="9">
        <v>6617631.6</v>
      </c>
      <c r="O1394" s="9">
        <v>6168788.61</v>
      </c>
      <c r="P1394" s="9">
        <v>264705.26</v>
      </c>
      <c r="Q1394" s="9">
        <v>246550.0</v>
      </c>
      <c r="R1394" s="9" t="s">
        <v>72</v>
      </c>
      <c r="S1394" s="9" t="s">
        <v>57</v>
      </c>
      <c r="T1394" s="9" t="s">
        <v>73</v>
      </c>
      <c r="V1394" s="9">
        <v>6239687.59</v>
      </c>
      <c r="W1394" s="9">
        <v>248120.0</v>
      </c>
      <c r="X1394" s="9">
        <v>0.0</v>
      </c>
    </row>
    <row r="1395" ht="15.75" customHeight="1">
      <c r="A1395" s="9">
        <v>2272641.0</v>
      </c>
      <c r="B1395" s="9">
        <v>3985572.0</v>
      </c>
      <c r="C1395" s="9">
        <v>40015.0</v>
      </c>
      <c r="D1395" s="9" t="s">
        <v>52</v>
      </c>
      <c r="E1395" s="9" t="s">
        <v>111</v>
      </c>
      <c r="F1395" s="9">
        <v>320126.0</v>
      </c>
      <c r="G1395" s="9">
        <v>4261985.49</v>
      </c>
      <c r="H1395" s="9">
        <v>4097954.66</v>
      </c>
      <c r="I1395" s="9">
        <v>3771772.85</v>
      </c>
      <c r="J1395" s="9">
        <v>0.0</v>
      </c>
      <c r="K1395" s="9">
        <v>0.0</v>
      </c>
      <c r="L1395" s="9" t="s">
        <v>59</v>
      </c>
      <c r="M1395" s="9" t="s">
        <v>55</v>
      </c>
      <c r="N1395" s="9">
        <v>3868180.76</v>
      </c>
      <c r="O1395" s="9">
        <v>3819758.25</v>
      </c>
      <c r="P1395" s="9">
        <v>116045.42</v>
      </c>
      <c r="Q1395" s="9">
        <v>0.0</v>
      </c>
      <c r="R1395" s="9" t="s">
        <v>72</v>
      </c>
      <c r="S1395" s="9" t="s">
        <v>57</v>
      </c>
      <c r="T1395" s="9" t="s">
        <v>73</v>
      </c>
      <c r="V1395" s="9">
        <v>3753772.83</v>
      </c>
      <c r="W1395" s="9">
        <v>0.0</v>
      </c>
    </row>
    <row r="1396" ht="15.75" customHeight="1">
      <c r="A1396" s="9">
        <v>2275217.0</v>
      </c>
      <c r="B1396" s="9">
        <v>4655610.0</v>
      </c>
      <c r="C1396" s="9">
        <v>37692.0</v>
      </c>
      <c r="D1396" s="9" t="s">
        <v>52</v>
      </c>
      <c r="E1396" s="9" t="s">
        <v>53</v>
      </c>
      <c r="F1396" s="9">
        <v>318509.0</v>
      </c>
      <c r="G1396" s="9">
        <v>4973541.74</v>
      </c>
      <c r="H1396" s="9">
        <v>4973541.74</v>
      </c>
      <c r="I1396" s="9">
        <v>4452722.84</v>
      </c>
      <c r="J1396" s="9">
        <v>0.0</v>
      </c>
      <c r="K1396" s="9">
        <v>0.0</v>
      </c>
      <c r="L1396" s="9" t="s">
        <v>59</v>
      </c>
      <c r="M1396" s="9" t="s">
        <v>55</v>
      </c>
      <c r="N1396" s="9">
        <v>4824041.74</v>
      </c>
      <c r="O1396" s="9">
        <v>4341637.57</v>
      </c>
      <c r="P1396" s="9">
        <v>135000.0</v>
      </c>
      <c r="Q1396" s="9">
        <v>135000.0</v>
      </c>
      <c r="R1396" s="9" t="s">
        <v>60</v>
      </c>
      <c r="S1396" s="9" t="s">
        <v>57</v>
      </c>
      <c r="T1396" s="9" t="s">
        <v>61</v>
      </c>
      <c r="V1396" s="9">
        <v>4317724.22</v>
      </c>
      <c r="W1396" s="9">
        <v>135000.0</v>
      </c>
      <c r="X1396" s="9">
        <v>0.0</v>
      </c>
    </row>
    <row r="1397" ht="15.75" customHeight="1">
      <c r="A1397" s="9">
        <v>2282922.0</v>
      </c>
      <c r="B1397" s="9">
        <v>1452137.0</v>
      </c>
      <c r="C1397" s="9">
        <v>40315.0</v>
      </c>
      <c r="D1397" s="9" t="s">
        <v>52</v>
      </c>
      <c r="E1397" s="9" t="s">
        <v>53</v>
      </c>
      <c r="F1397" s="9">
        <v>325283.0</v>
      </c>
      <c r="G1397" s="9">
        <v>1421413.39</v>
      </c>
      <c r="H1397" s="9">
        <v>1421413.39</v>
      </c>
      <c r="I1397" s="9">
        <v>1403462.23</v>
      </c>
      <c r="J1397" s="9">
        <v>0.0</v>
      </c>
      <c r="K1397" s="9">
        <v>0.0</v>
      </c>
      <c r="L1397" s="9" t="s">
        <v>59</v>
      </c>
      <c r="M1397" s="9" t="s">
        <v>55</v>
      </c>
      <c r="N1397" s="9">
        <v>1314385.01</v>
      </c>
      <c r="O1397" s="9">
        <v>1314385.01</v>
      </c>
      <c r="P1397" s="9">
        <v>62957.87</v>
      </c>
      <c r="Q1397" s="9">
        <v>62957.87</v>
      </c>
      <c r="R1397" s="9" t="s">
        <v>60</v>
      </c>
      <c r="S1397" s="9" t="s">
        <v>57</v>
      </c>
      <c r="T1397" s="9" t="s">
        <v>61</v>
      </c>
      <c r="V1397" s="9">
        <v>1314385.01</v>
      </c>
      <c r="W1397" s="9">
        <v>62957.87</v>
      </c>
      <c r="X1397" s="9">
        <v>0.0</v>
      </c>
    </row>
    <row r="1398" ht="15.75" customHeight="1">
      <c r="A1398" s="9">
        <v>2290108.0</v>
      </c>
      <c r="B1398" s="9">
        <v>357934.23</v>
      </c>
      <c r="C1398" s="9">
        <v>41944.0</v>
      </c>
      <c r="D1398" s="9" t="s">
        <v>52</v>
      </c>
      <c r="E1398" s="9" t="s">
        <v>53</v>
      </c>
      <c r="F1398" s="9">
        <v>331657.0</v>
      </c>
      <c r="G1398" s="9">
        <v>1842370.05</v>
      </c>
      <c r="H1398" s="9">
        <v>1430702.17</v>
      </c>
      <c r="I1398" s="9">
        <v>1314444.89</v>
      </c>
      <c r="J1398" s="9">
        <v>0.0</v>
      </c>
      <c r="K1398" s="9">
        <v>0.0</v>
      </c>
      <c r="L1398" s="9" t="s">
        <v>69</v>
      </c>
      <c r="M1398" s="9" t="s">
        <v>55</v>
      </c>
      <c r="N1398" s="9">
        <v>1332529.46</v>
      </c>
      <c r="O1398" s="9">
        <v>1242178.47</v>
      </c>
      <c r="P1398" s="9">
        <v>87172.0</v>
      </c>
      <c r="Q1398" s="9">
        <v>73874.57</v>
      </c>
      <c r="R1398" s="9" t="s">
        <v>63</v>
      </c>
      <c r="S1398" s="9" t="s">
        <v>63</v>
      </c>
    </row>
    <row r="1399" ht="15.75" customHeight="1">
      <c r="A1399" s="9">
        <v>2300185.0</v>
      </c>
      <c r="B1399" s="9">
        <v>1532225.0</v>
      </c>
      <c r="C1399" s="9">
        <v>40099.0</v>
      </c>
      <c r="D1399" s="9" t="s">
        <v>52</v>
      </c>
      <c r="E1399" s="9" t="s">
        <v>53</v>
      </c>
      <c r="F1399" s="9">
        <v>331197.0</v>
      </c>
      <c r="G1399" s="9">
        <v>2257468.35</v>
      </c>
      <c r="H1399" s="9">
        <v>2255297.0</v>
      </c>
      <c r="I1399" s="9">
        <v>2233103.13</v>
      </c>
      <c r="J1399" s="9">
        <v>0.0</v>
      </c>
      <c r="K1399" s="9">
        <v>0.0</v>
      </c>
      <c r="L1399" s="9" t="s">
        <v>69</v>
      </c>
      <c r="M1399" s="9" t="s">
        <v>55</v>
      </c>
      <c r="N1399" s="9">
        <v>2079469.0</v>
      </c>
      <c r="O1399" s="9">
        <v>2079287.52</v>
      </c>
      <c r="P1399" s="9">
        <v>128000.0</v>
      </c>
      <c r="Q1399" s="9">
        <v>128000.0</v>
      </c>
      <c r="R1399" s="9" t="s">
        <v>60</v>
      </c>
      <c r="S1399" s="9" t="s">
        <v>57</v>
      </c>
      <c r="T1399" s="9" t="s">
        <v>61</v>
      </c>
      <c r="V1399" s="9">
        <v>2038075.16</v>
      </c>
      <c r="W1399" s="9">
        <v>147200.0</v>
      </c>
      <c r="X1399" s="9">
        <v>0.0</v>
      </c>
    </row>
    <row r="1400" ht="15.75" customHeight="1">
      <c r="A1400" s="9">
        <v>2300989.0</v>
      </c>
      <c r="B1400" s="9">
        <v>1.02862E7</v>
      </c>
      <c r="C1400" s="9">
        <v>37806.0</v>
      </c>
      <c r="D1400" s="9" t="s">
        <v>52</v>
      </c>
      <c r="E1400" s="9" t="s">
        <v>53</v>
      </c>
      <c r="F1400" s="9">
        <v>339183.0</v>
      </c>
      <c r="G1400" s="9">
        <v>1.23325637E7</v>
      </c>
      <c r="H1400" s="9">
        <v>1.721426931E7</v>
      </c>
      <c r="I1400" s="9">
        <v>1.097543016E7</v>
      </c>
      <c r="J1400" s="9">
        <v>51893.8</v>
      </c>
      <c r="K1400" s="9">
        <v>2562461.0</v>
      </c>
      <c r="L1400" s="9" t="s">
        <v>59</v>
      </c>
      <c r="M1400" s="9" t="s">
        <v>55</v>
      </c>
      <c r="N1400" s="9">
        <v>1.19235637E7</v>
      </c>
      <c r="O1400" s="9">
        <v>1.19235637E7</v>
      </c>
      <c r="P1400" s="9">
        <v>352000.0</v>
      </c>
      <c r="Q1400" s="9">
        <v>334400.0</v>
      </c>
      <c r="R1400" s="9" t="s">
        <v>77</v>
      </c>
      <c r="S1400" s="9" t="s">
        <v>78</v>
      </c>
      <c r="T1400" s="9" t="s">
        <v>79</v>
      </c>
      <c r="U1400" s="9" t="s">
        <v>80</v>
      </c>
    </row>
    <row r="1401" ht="15.75" customHeight="1">
      <c r="A1401" s="9">
        <v>2302072.0</v>
      </c>
      <c r="B1401" s="9">
        <v>6132812.5</v>
      </c>
      <c r="C1401" s="9">
        <v>46814.0</v>
      </c>
      <c r="D1401" s="9" t="s">
        <v>52</v>
      </c>
      <c r="E1401" s="9" t="s">
        <v>53</v>
      </c>
      <c r="F1401" s="9">
        <v>323745.0</v>
      </c>
      <c r="G1401" s="9">
        <v>4685503.49</v>
      </c>
      <c r="H1401" s="9">
        <v>5437099.0</v>
      </c>
      <c r="I1401" s="9">
        <v>5018573.84</v>
      </c>
      <c r="J1401" s="9">
        <v>0.0</v>
      </c>
      <c r="K1401" s="9">
        <v>18969.0</v>
      </c>
      <c r="L1401" s="9" t="s">
        <v>59</v>
      </c>
      <c r="M1401" s="9" t="s">
        <v>55</v>
      </c>
      <c r="N1401" s="9">
        <v>4946275.09</v>
      </c>
      <c r="O1401" s="9">
        <v>4451647.59</v>
      </c>
      <c r="P1401" s="9">
        <v>160750.0</v>
      </c>
      <c r="Q1401" s="9">
        <v>144675.0</v>
      </c>
      <c r="R1401" s="9" t="s">
        <v>94</v>
      </c>
      <c r="S1401" s="9" t="s">
        <v>57</v>
      </c>
      <c r="T1401" s="9" t="s">
        <v>95</v>
      </c>
    </row>
    <row r="1402" ht="15.75" customHeight="1">
      <c r="A1402" s="9">
        <v>2302223.0</v>
      </c>
      <c r="B1402" s="9">
        <v>7118807.0</v>
      </c>
      <c r="C1402" s="9">
        <v>47192.0</v>
      </c>
      <c r="D1402" s="9" t="s">
        <v>52</v>
      </c>
      <c r="E1402" s="9" t="s">
        <v>53</v>
      </c>
      <c r="F1402" s="9">
        <v>341578.0</v>
      </c>
      <c r="G1402" s="9">
        <v>1.814000224E7</v>
      </c>
      <c r="H1402" s="9">
        <v>2.239911526E7</v>
      </c>
      <c r="I1402" s="9">
        <v>1.899239109E7</v>
      </c>
      <c r="J1402" s="9">
        <v>3372957.88</v>
      </c>
      <c r="K1402" s="9">
        <v>5078068.0</v>
      </c>
      <c r="L1402" s="9" t="s">
        <v>59</v>
      </c>
      <c r="M1402" s="9" t="s">
        <v>55</v>
      </c>
      <c r="N1402" s="9">
        <v>1.999539211E7</v>
      </c>
      <c r="O1402" s="9">
        <v>1.863E7</v>
      </c>
      <c r="P1402" s="9">
        <v>0.0</v>
      </c>
      <c r="Q1402" s="9">
        <v>0.0</v>
      </c>
      <c r="R1402" s="9" t="s">
        <v>81</v>
      </c>
      <c r="S1402" s="9" t="s">
        <v>82</v>
      </c>
      <c r="T1402" s="9" t="s">
        <v>83</v>
      </c>
      <c r="U1402" s="9" t="s">
        <v>84</v>
      </c>
    </row>
    <row r="1403" ht="15.75" customHeight="1">
      <c r="A1403" s="9">
        <v>2302793.0</v>
      </c>
      <c r="B1403" s="9">
        <v>1675947.0</v>
      </c>
      <c r="C1403" s="9">
        <v>44254.0</v>
      </c>
      <c r="D1403" s="9" t="s">
        <v>52</v>
      </c>
      <c r="E1403" s="9" t="s">
        <v>53</v>
      </c>
      <c r="F1403" s="9">
        <v>341890.0</v>
      </c>
      <c r="G1403" s="9">
        <v>1935752.56</v>
      </c>
      <c r="H1403" s="9">
        <v>2486570.53</v>
      </c>
      <c r="I1403" s="9">
        <v>2383056.35</v>
      </c>
      <c r="J1403" s="9">
        <v>0.0</v>
      </c>
      <c r="K1403" s="9">
        <v>0.0</v>
      </c>
      <c r="L1403" s="9" t="s">
        <v>69</v>
      </c>
      <c r="M1403" s="9" t="s">
        <v>55</v>
      </c>
      <c r="N1403" s="9">
        <v>1913436.59</v>
      </c>
      <c r="O1403" s="9">
        <v>1908758.27</v>
      </c>
      <c r="P1403" s="9">
        <v>82244.0</v>
      </c>
      <c r="Q1403" s="9">
        <v>82244.0</v>
      </c>
      <c r="R1403" s="9" t="s">
        <v>56</v>
      </c>
      <c r="S1403" s="9" t="s">
        <v>57</v>
      </c>
      <c r="T1403" s="9" t="s">
        <v>58</v>
      </c>
      <c r="V1403" s="9">
        <v>2198784.05</v>
      </c>
      <c r="W1403" s="9">
        <v>0.0</v>
      </c>
      <c r="X1403" s="9">
        <v>0.0</v>
      </c>
    </row>
    <row r="1404" ht="15.75" customHeight="1">
      <c r="A1404" s="9">
        <v>2304231.0</v>
      </c>
      <c r="B1404" s="9">
        <v>3752123.0</v>
      </c>
      <c r="C1404" s="9">
        <v>42576.0</v>
      </c>
      <c r="D1404" s="9" t="s">
        <v>52</v>
      </c>
      <c r="E1404" s="9" t="s">
        <v>53</v>
      </c>
      <c r="F1404" s="9">
        <v>343125.0</v>
      </c>
      <c r="G1404" s="9">
        <v>5772153.28</v>
      </c>
      <c r="H1404" s="9">
        <v>5003593.72</v>
      </c>
      <c r="I1404" s="9">
        <v>5003593.72</v>
      </c>
      <c r="J1404" s="9">
        <v>0.0</v>
      </c>
      <c r="K1404" s="9">
        <v>0.0</v>
      </c>
      <c r="L1404" s="9" t="s">
        <v>69</v>
      </c>
      <c r="M1404" s="9" t="s">
        <v>55</v>
      </c>
      <c r="N1404" s="9">
        <v>5508309.01</v>
      </c>
      <c r="O1404" s="9">
        <v>4733225.71</v>
      </c>
      <c r="P1404" s="9">
        <v>165249.27</v>
      </c>
      <c r="Q1404" s="9">
        <v>126037.58</v>
      </c>
      <c r="R1404" s="9" t="s">
        <v>72</v>
      </c>
      <c r="S1404" s="9" t="s">
        <v>57</v>
      </c>
      <c r="T1404" s="9" t="s">
        <v>73</v>
      </c>
    </row>
    <row r="1405" ht="15.75" customHeight="1">
      <c r="A1405" s="9">
        <v>2304612.0</v>
      </c>
      <c r="B1405" s="9">
        <v>1.0603392E7</v>
      </c>
      <c r="C1405" s="9">
        <v>37824.0</v>
      </c>
      <c r="D1405" s="9" t="s">
        <v>52</v>
      </c>
      <c r="E1405" s="9" t="s">
        <v>53</v>
      </c>
      <c r="F1405" s="9">
        <v>343481.0</v>
      </c>
      <c r="G1405" s="9">
        <v>7915546.12</v>
      </c>
      <c r="H1405" s="9">
        <v>7915546.12</v>
      </c>
      <c r="I1405" s="9">
        <v>7707596.41</v>
      </c>
      <c r="J1405" s="9">
        <v>0.0</v>
      </c>
      <c r="K1405" s="9">
        <v>0.0</v>
      </c>
      <c r="L1405" s="9" t="s">
        <v>69</v>
      </c>
      <c r="M1405" s="9" t="s">
        <v>55</v>
      </c>
      <c r="N1405" s="9">
        <v>7445269.1</v>
      </c>
      <c r="O1405" s="9">
        <v>7375496.26</v>
      </c>
      <c r="P1405" s="9">
        <v>317000.0</v>
      </c>
      <c r="Q1405" s="9">
        <v>317000.0</v>
      </c>
      <c r="R1405" s="9" t="s">
        <v>60</v>
      </c>
      <c r="S1405" s="9" t="s">
        <v>57</v>
      </c>
      <c r="T1405" s="9" t="s">
        <v>61</v>
      </c>
      <c r="V1405" s="9">
        <v>7375496.26</v>
      </c>
      <c r="W1405" s="9">
        <v>360273.02</v>
      </c>
      <c r="X1405" s="9">
        <v>0.0</v>
      </c>
    </row>
    <row r="1406" ht="15.75" customHeight="1">
      <c r="A1406" s="9">
        <v>2308509.0</v>
      </c>
      <c r="B1406" s="9">
        <v>5890839.0</v>
      </c>
      <c r="C1406" s="9">
        <v>40302.0</v>
      </c>
      <c r="D1406" s="9" t="s">
        <v>52</v>
      </c>
      <c r="E1406" s="9" t="s">
        <v>53</v>
      </c>
      <c r="F1406" s="9">
        <v>347020.0</v>
      </c>
      <c r="G1406" s="9">
        <v>1.02493702E7</v>
      </c>
      <c r="H1406" s="9">
        <v>1.029174518E7</v>
      </c>
      <c r="I1406" s="9">
        <v>9634002.54</v>
      </c>
      <c r="J1406" s="9">
        <v>0.0</v>
      </c>
      <c r="K1406" s="9">
        <v>0.0</v>
      </c>
      <c r="L1406" s="9" t="s">
        <v>59</v>
      </c>
      <c r="M1406" s="9" t="s">
        <v>55</v>
      </c>
      <c r="N1406" s="9">
        <v>9613787.64</v>
      </c>
      <c r="O1406" s="9">
        <v>9613787.64</v>
      </c>
      <c r="P1406" s="9">
        <v>495582.55</v>
      </c>
      <c r="Q1406" s="9">
        <v>495582.55</v>
      </c>
      <c r="R1406" s="9" t="s">
        <v>94</v>
      </c>
      <c r="S1406" s="9" t="s">
        <v>57</v>
      </c>
      <c r="T1406" s="9" t="s">
        <v>95</v>
      </c>
      <c r="V1406" s="9">
        <v>9027916.54</v>
      </c>
      <c r="W1406" s="9">
        <v>0.0</v>
      </c>
      <c r="X1406" s="9">
        <v>0.0</v>
      </c>
    </row>
    <row r="1407" ht="15.75" customHeight="1">
      <c r="A1407" s="9">
        <v>2309375.0</v>
      </c>
      <c r="B1407" s="9">
        <v>5464694.0</v>
      </c>
      <c r="C1407" s="9">
        <v>47195.0</v>
      </c>
      <c r="D1407" s="9" t="s">
        <v>52</v>
      </c>
      <c r="E1407" s="9" t="s">
        <v>53</v>
      </c>
      <c r="F1407" s="9">
        <v>347763.0</v>
      </c>
      <c r="G1407" s="9">
        <v>6541162.48</v>
      </c>
      <c r="H1407" s="9">
        <v>7029857.98</v>
      </c>
      <c r="I1407" s="9">
        <v>5123000.81</v>
      </c>
      <c r="J1407" s="9">
        <v>0.0</v>
      </c>
      <c r="K1407" s="9">
        <v>1123461.0</v>
      </c>
      <c r="L1407" s="9" t="s">
        <v>59</v>
      </c>
      <c r="M1407" s="9" t="s">
        <v>55</v>
      </c>
      <c r="N1407" s="9">
        <v>6570117.33</v>
      </c>
      <c r="O1407" s="9">
        <v>5913105.6</v>
      </c>
      <c r="P1407" s="9">
        <v>328183.0</v>
      </c>
      <c r="Q1407" s="9">
        <v>295364.7</v>
      </c>
      <c r="R1407" s="9" t="s">
        <v>131</v>
      </c>
      <c r="S1407" s="9" t="s">
        <v>82</v>
      </c>
      <c r="T1407" s="9" t="s">
        <v>132</v>
      </c>
    </row>
    <row r="1408" ht="15.75" customHeight="1">
      <c r="A1408" s="9">
        <v>2309845.0</v>
      </c>
      <c r="B1408" s="9">
        <v>1.19767349E8</v>
      </c>
      <c r="C1408" s="9">
        <v>31440.0</v>
      </c>
      <c r="D1408" s="9" t="s">
        <v>52</v>
      </c>
      <c r="E1408" s="9" t="s">
        <v>53</v>
      </c>
      <c r="F1408" s="9">
        <v>333149.0</v>
      </c>
      <c r="G1408" s="9">
        <v>1.19767349E8</v>
      </c>
      <c r="H1408" s="9">
        <v>1.19767349E8</v>
      </c>
      <c r="I1408" s="9">
        <v>0.0</v>
      </c>
      <c r="J1408" s="9">
        <v>0.0</v>
      </c>
      <c r="K1408" s="9">
        <v>0.0</v>
      </c>
      <c r="L1408" s="9" t="s">
        <v>54</v>
      </c>
      <c r="M1408" s="9" t="s">
        <v>116</v>
      </c>
      <c r="N1408" s="9">
        <v>623844.52</v>
      </c>
      <c r="O1408" s="9">
        <v>561460.07</v>
      </c>
      <c r="R1408" s="9" t="s">
        <v>60</v>
      </c>
      <c r="S1408" s="9" t="s">
        <v>57</v>
      </c>
      <c r="T1408" s="9" t="s">
        <v>61</v>
      </c>
      <c r="V1408" s="9">
        <v>539001.67</v>
      </c>
    </row>
    <row r="1409" ht="15.75" customHeight="1">
      <c r="A1409" s="9">
        <v>2311215.0</v>
      </c>
      <c r="B1409" s="9">
        <v>4507994.24</v>
      </c>
      <c r="C1409" s="9">
        <v>44011.0</v>
      </c>
      <c r="D1409" s="9" t="s">
        <v>52</v>
      </c>
      <c r="E1409" s="9" t="s">
        <v>53</v>
      </c>
      <c r="F1409" s="9">
        <v>348590.0</v>
      </c>
      <c r="G1409" s="9">
        <v>4507994.24</v>
      </c>
      <c r="H1409" s="9">
        <v>4228817.39</v>
      </c>
      <c r="I1409" s="9">
        <v>3959624.51</v>
      </c>
      <c r="J1409" s="9">
        <v>0.0</v>
      </c>
      <c r="K1409" s="9">
        <v>113321.0</v>
      </c>
      <c r="L1409" s="9" t="s">
        <v>59</v>
      </c>
      <c r="M1409" s="9" t="s">
        <v>55</v>
      </c>
      <c r="N1409" s="9">
        <v>4149492.0</v>
      </c>
      <c r="O1409" s="9">
        <v>3734542.8</v>
      </c>
      <c r="P1409" s="9">
        <v>264525.0</v>
      </c>
      <c r="Q1409" s="9">
        <v>238072.5</v>
      </c>
      <c r="R1409" s="9" t="s">
        <v>60</v>
      </c>
      <c r="S1409" s="9" t="s">
        <v>57</v>
      </c>
      <c r="T1409" s="9" t="s">
        <v>61</v>
      </c>
      <c r="V1409" s="9">
        <v>3807101.33</v>
      </c>
      <c r="W1409" s="9">
        <v>263547.83</v>
      </c>
      <c r="X1409" s="9">
        <v>0.0</v>
      </c>
    </row>
    <row r="1410" ht="15.75" customHeight="1">
      <c r="A1410" s="9">
        <v>2318784.0</v>
      </c>
      <c r="B1410" s="9">
        <v>4395585.0</v>
      </c>
      <c r="C1410" s="9">
        <v>37847.0</v>
      </c>
      <c r="D1410" s="9" t="s">
        <v>52</v>
      </c>
      <c r="E1410" s="9" t="s">
        <v>53</v>
      </c>
      <c r="F1410" s="9">
        <v>355776.0</v>
      </c>
      <c r="G1410" s="9">
        <v>4213057.42</v>
      </c>
      <c r="H1410" s="9">
        <v>4213057.42</v>
      </c>
      <c r="I1410" s="9">
        <v>3800363.63</v>
      </c>
      <c r="J1410" s="9">
        <v>0.0</v>
      </c>
      <c r="K1410" s="9">
        <v>0.0</v>
      </c>
      <c r="L1410" s="9" t="s">
        <v>59</v>
      </c>
      <c r="M1410" s="9" t="s">
        <v>55</v>
      </c>
      <c r="N1410" s="9">
        <v>3589394.08</v>
      </c>
      <c r="O1410" s="9">
        <v>3589394.08</v>
      </c>
      <c r="P1410" s="9">
        <v>179469.7</v>
      </c>
      <c r="Q1410" s="9">
        <v>179469.7</v>
      </c>
      <c r="R1410" s="9" t="s">
        <v>60</v>
      </c>
      <c r="S1410" s="9" t="s">
        <v>57</v>
      </c>
      <c r="T1410" s="9" t="s">
        <v>61</v>
      </c>
      <c r="V1410" s="9">
        <v>3589393.63</v>
      </c>
      <c r="W1410" s="9">
        <v>179470.0</v>
      </c>
      <c r="X1410" s="9">
        <v>0.0</v>
      </c>
    </row>
    <row r="1411" ht="15.75" customHeight="1">
      <c r="A1411" s="9">
        <v>2323266.0</v>
      </c>
      <c r="B1411" s="9">
        <v>6.2092578E7</v>
      </c>
      <c r="C1411" s="9">
        <v>40583.0</v>
      </c>
      <c r="D1411" s="9" t="s">
        <v>52</v>
      </c>
      <c r="E1411" s="9" t="s">
        <v>53</v>
      </c>
      <c r="F1411" s="9">
        <v>360161.0</v>
      </c>
      <c r="G1411" s="9">
        <v>6.2092578E7</v>
      </c>
      <c r="H1411" s="9">
        <v>2.2283769276E8</v>
      </c>
      <c r="I1411" s="9">
        <v>2417886.04</v>
      </c>
      <c r="J1411" s="9">
        <v>0.0</v>
      </c>
      <c r="K1411" s="9">
        <v>0.0</v>
      </c>
      <c r="L1411" s="9" t="s">
        <v>59</v>
      </c>
      <c r="M1411" s="9" t="s">
        <v>65</v>
      </c>
      <c r="N1411" s="9">
        <v>1687868.0</v>
      </c>
      <c r="O1411" s="9">
        <v>1687868.0</v>
      </c>
      <c r="P1411" s="9">
        <v>610484.0</v>
      </c>
      <c r="Q1411" s="9">
        <v>610484.0</v>
      </c>
      <c r="R1411" s="9" t="s">
        <v>66</v>
      </c>
      <c r="S1411" s="9" t="s">
        <v>67</v>
      </c>
      <c r="T1411" s="9" t="s">
        <v>68</v>
      </c>
    </row>
    <row r="1412" ht="15.75" customHeight="1">
      <c r="A1412" s="9">
        <v>2323515.0</v>
      </c>
      <c r="B1412" s="9">
        <v>618746.0</v>
      </c>
      <c r="C1412" s="9">
        <v>40298.0</v>
      </c>
      <c r="D1412" s="9" t="s">
        <v>52</v>
      </c>
      <c r="E1412" s="9" t="s">
        <v>53</v>
      </c>
      <c r="F1412" s="9">
        <v>309959.0</v>
      </c>
      <c r="G1412" s="9">
        <v>724927.64</v>
      </c>
      <c r="H1412" s="9">
        <v>732080.78</v>
      </c>
      <c r="I1412" s="9">
        <v>670232.22</v>
      </c>
      <c r="J1412" s="9">
        <v>0.0</v>
      </c>
      <c r="K1412" s="9">
        <v>0.0</v>
      </c>
      <c r="L1412" s="9" t="s">
        <v>69</v>
      </c>
      <c r="M1412" s="9" t="s">
        <v>55</v>
      </c>
      <c r="N1412" s="9">
        <v>659103.66</v>
      </c>
      <c r="O1412" s="9">
        <v>659103.66</v>
      </c>
      <c r="Q1412" s="9">
        <v>23870.0</v>
      </c>
      <c r="R1412" s="9" t="s">
        <v>56</v>
      </c>
      <c r="S1412" s="9" t="s">
        <v>57</v>
      </c>
      <c r="T1412" s="9" t="s">
        <v>58</v>
      </c>
      <c r="V1412" s="9">
        <v>647505.54</v>
      </c>
      <c r="W1412" s="9">
        <v>0.0</v>
      </c>
      <c r="X1412" s="9">
        <v>0.0</v>
      </c>
    </row>
    <row r="1413" ht="15.75" customHeight="1">
      <c r="A1413" s="9">
        <v>2323900.0</v>
      </c>
      <c r="B1413" s="9">
        <v>5074117.0</v>
      </c>
      <c r="C1413" s="9">
        <v>40303.0</v>
      </c>
      <c r="D1413" s="9" t="s">
        <v>52</v>
      </c>
      <c r="E1413" s="9" t="s">
        <v>53</v>
      </c>
      <c r="F1413" s="9">
        <v>360757.0</v>
      </c>
      <c r="G1413" s="9">
        <v>5802293.75</v>
      </c>
      <c r="H1413" s="9">
        <v>6184568.69</v>
      </c>
      <c r="I1413" s="9">
        <v>4896504.78</v>
      </c>
      <c r="J1413" s="9">
        <v>0.0</v>
      </c>
      <c r="K1413" s="9">
        <v>0.0</v>
      </c>
      <c r="L1413" s="9" t="s">
        <v>59</v>
      </c>
      <c r="M1413" s="9" t="s">
        <v>55</v>
      </c>
      <c r="N1413" s="9">
        <v>5496946.0</v>
      </c>
      <c r="O1413" s="9">
        <v>5496946.0</v>
      </c>
      <c r="P1413" s="9">
        <v>274847.0</v>
      </c>
      <c r="Q1413" s="9">
        <v>274847.0</v>
      </c>
      <c r="R1413" s="9" t="s">
        <v>94</v>
      </c>
      <c r="S1413" s="9" t="s">
        <v>57</v>
      </c>
      <c r="T1413" s="9" t="s">
        <v>95</v>
      </c>
    </row>
    <row r="1414" ht="15.75" customHeight="1">
      <c r="A1414" s="9">
        <v>2325168.0</v>
      </c>
      <c r="B1414" s="9">
        <v>9977224.0</v>
      </c>
      <c r="C1414" s="9">
        <v>39360.0</v>
      </c>
      <c r="D1414" s="9" t="s">
        <v>52</v>
      </c>
      <c r="E1414" s="9" t="s">
        <v>53</v>
      </c>
      <c r="F1414" s="9">
        <v>361871.0</v>
      </c>
      <c r="G1414" s="9">
        <v>1.195898296E7</v>
      </c>
      <c r="H1414" s="9">
        <v>1.195898296E7</v>
      </c>
      <c r="I1414" s="9">
        <v>1.195888249E7</v>
      </c>
      <c r="J1414" s="9">
        <v>0.0</v>
      </c>
      <c r="K1414" s="9">
        <v>0.0</v>
      </c>
      <c r="L1414" s="9" t="s">
        <v>59</v>
      </c>
      <c r="M1414" s="9" t="s">
        <v>55</v>
      </c>
      <c r="N1414" s="9">
        <v>1.135565669E7</v>
      </c>
      <c r="O1414" s="9">
        <v>1.135565669E7</v>
      </c>
      <c r="P1414" s="9">
        <v>454226.27</v>
      </c>
      <c r="Q1414" s="9">
        <v>454226.27</v>
      </c>
      <c r="R1414" s="9" t="s">
        <v>60</v>
      </c>
      <c r="S1414" s="9" t="s">
        <v>57</v>
      </c>
      <c r="T1414" s="9" t="s">
        <v>61</v>
      </c>
      <c r="V1414" s="9">
        <v>1.13620717E7</v>
      </c>
      <c r="W1414" s="9">
        <v>432810.79</v>
      </c>
      <c r="X1414" s="9">
        <v>0.0</v>
      </c>
    </row>
    <row r="1415" ht="15.75" customHeight="1">
      <c r="A1415" s="9">
        <v>2327661.0</v>
      </c>
      <c r="B1415" s="9">
        <v>9449364.0</v>
      </c>
      <c r="C1415" s="9">
        <v>37541.0</v>
      </c>
      <c r="D1415" s="9" t="s">
        <v>52</v>
      </c>
      <c r="E1415" s="9" t="s">
        <v>53</v>
      </c>
      <c r="F1415" s="9">
        <v>232798.0</v>
      </c>
      <c r="G1415" s="9">
        <v>2.1540936E7</v>
      </c>
      <c r="H1415" s="9">
        <v>1.914527585E7</v>
      </c>
      <c r="I1415" s="9">
        <v>1.909527608E7</v>
      </c>
      <c r="J1415" s="9">
        <v>0.0</v>
      </c>
      <c r="K1415" s="9">
        <v>0.0</v>
      </c>
      <c r="L1415" s="9" t="s">
        <v>69</v>
      </c>
      <c r="M1415" s="9" t="s">
        <v>55</v>
      </c>
      <c r="N1415" s="9">
        <v>1.933614569E7</v>
      </c>
      <c r="O1415" s="9">
        <v>1.918145652E7</v>
      </c>
      <c r="P1415" s="9">
        <v>968785.73</v>
      </c>
      <c r="Q1415" s="9">
        <v>968785.73</v>
      </c>
      <c r="R1415" s="9" t="s">
        <v>56</v>
      </c>
      <c r="S1415" s="9" t="s">
        <v>57</v>
      </c>
      <c r="T1415" s="9" t="s">
        <v>58</v>
      </c>
      <c r="V1415" s="9">
        <v>1.812649012E7</v>
      </c>
      <c r="W1415" s="9">
        <v>1018785.73</v>
      </c>
      <c r="X1415" s="9">
        <v>0.0</v>
      </c>
    </row>
    <row r="1416" ht="15.75" customHeight="1">
      <c r="A1416" s="9">
        <v>2281926.0</v>
      </c>
      <c r="B1416" s="9">
        <v>8910812.0</v>
      </c>
      <c r="C1416" s="9">
        <v>37739.0</v>
      </c>
      <c r="D1416" s="9" t="s">
        <v>52</v>
      </c>
      <c r="E1416" s="9" t="s">
        <v>53</v>
      </c>
      <c r="F1416" s="9">
        <v>324377.0</v>
      </c>
      <c r="G1416" s="9">
        <v>8928940.24</v>
      </c>
      <c r="H1416" s="9">
        <v>8928940.24</v>
      </c>
      <c r="I1416" s="9">
        <v>8051617.08</v>
      </c>
      <c r="J1416" s="9">
        <v>0.0</v>
      </c>
      <c r="K1416" s="9">
        <v>0.0</v>
      </c>
      <c r="L1416" s="9" t="s">
        <v>59</v>
      </c>
      <c r="M1416" s="9" t="s">
        <v>55</v>
      </c>
      <c r="N1416" s="9">
        <v>8471008.84</v>
      </c>
      <c r="O1416" s="9">
        <v>8471008.84</v>
      </c>
      <c r="P1416" s="9">
        <v>399797.04</v>
      </c>
      <c r="Q1416" s="9">
        <v>399797.04</v>
      </c>
      <c r="R1416" s="9" t="s">
        <v>60</v>
      </c>
      <c r="S1416" s="9" t="s">
        <v>57</v>
      </c>
      <c r="T1416" s="9" t="s">
        <v>61</v>
      </c>
      <c r="V1416" s="9">
        <v>7651820.51</v>
      </c>
      <c r="W1416" s="9">
        <v>399796.56</v>
      </c>
      <c r="X1416" s="9">
        <v>0.0</v>
      </c>
    </row>
    <row r="1417" ht="15.75" customHeight="1">
      <c r="A1417" s="9">
        <v>2290817.0</v>
      </c>
      <c r="B1417" s="9">
        <v>2683701.0</v>
      </c>
      <c r="C1417" s="9">
        <v>37779.0</v>
      </c>
      <c r="D1417" s="9" t="s">
        <v>52</v>
      </c>
      <c r="E1417" s="9" t="s">
        <v>53</v>
      </c>
      <c r="F1417" s="9">
        <v>332329.0</v>
      </c>
      <c r="G1417" s="9">
        <v>2897279.12</v>
      </c>
      <c r="H1417" s="9">
        <v>2897279.12</v>
      </c>
      <c r="I1417" s="9">
        <v>2888213.08</v>
      </c>
      <c r="J1417" s="9">
        <v>0.0</v>
      </c>
      <c r="K1417" s="9">
        <v>0.0</v>
      </c>
      <c r="L1417" s="9" t="s">
        <v>59</v>
      </c>
      <c r="M1417" s="9" t="s">
        <v>55</v>
      </c>
      <c r="N1417" s="9">
        <v>2621906.42</v>
      </c>
      <c r="O1417" s="9">
        <v>2621906.42</v>
      </c>
      <c r="P1417" s="9">
        <v>104876.0</v>
      </c>
      <c r="Q1417" s="9">
        <v>104876.0</v>
      </c>
      <c r="R1417" s="9" t="s">
        <v>60</v>
      </c>
      <c r="S1417" s="9" t="s">
        <v>57</v>
      </c>
      <c r="T1417" s="9" t="s">
        <v>61</v>
      </c>
      <c r="V1417" s="9">
        <v>2621960.42</v>
      </c>
      <c r="W1417" s="9">
        <v>104876.0</v>
      </c>
      <c r="X1417" s="9">
        <v>0.0</v>
      </c>
    </row>
    <row r="1418" ht="15.75" customHeight="1">
      <c r="A1418" s="9">
        <v>2291804.0</v>
      </c>
      <c r="B1418" s="9">
        <v>1.2829504E7</v>
      </c>
      <c r="C1418" s="9">
        <v>37783.0</v>
      </c>
      <c r="D1418" s="9" t="s">
        <v>52</v>
      </c>
      <c r="E1418" s="9" t="s">
        <v>53</v>
      </c>
      <c r="F1418" s="9">
        <v>333237.0</v>
      </c>
      <c r="G1418" s="9">
        <v>8971196.07</v>
      </c>
      <c r="H1418" s="9">
        <v>1.610139908E7</v>
      </c>
      <c r="I1418" s="9">
        <v>1.552113296E7</v>
      </c>
      <c r="J1418" s="9">
        <v>870772.77</v>
      </c>
      <c r="K1418" s="9">
        <v>1376876.0</v>
      </c>
      <c r="L1418" s="9" t="s">
        <v>59</v>
      </c>
      <c r="M1418" s="9" t="s">
        <v>55</v>
      </c>
      <c r="N1418" s="9">
        <v>1.39994841E7</v>
      </c>
      <c r="O1418" s="9">
        <v>1.385948926E7</v>
      </c>
      <c r="P1418" s="9">
        <v>537388.48</v>
      </c>
      <c r="Q1418" s="9">
        <v>509522.19</v>
      </c>
      <c r="R1418" s="9" t="s">
        <v>94</v>
      </c>
      <c r="S1418" s="9" t="s">
        <v>57</v>
      </c>
      <c r="T1418" s="9" t="s">
        <v>95</v>
      </c>
    </row>
    <row r="1419" ht="15.75" customHeight="1">
      <c r="A1419" s="9">
        <v>2292407.0</v>
      </c>
      <c r="B1419" s="9">
        <v>970990.84</v>
      </c>
      <c r="C1419" s="9">
        <v>39592.0</v>
      </c>
      <c r="D1419" s="9" t="s">
        <v>52</v>
      </c>
      <c r="E1419" s="9" t="s">
        <v>53</v>
      </c>
      <c r="F1419" s="9">
        <v>333764.0</v>
      </c>
      <c r="G1419" s="9">
        <v>2064281.91</v>
      </c>
      <c r="H1419" s="9">
        <v>2015366.0</v>
      </c>
      <c r="I1419" s="9">
        <v>1986664.49</v>
      </c>
      <c r="J1419" s="9">
        <v>0.0</v>
      </c>
      <c r="K1419" s="9">
        <v>0.0</v>
      </c>
      <c r="L1419" s="9" t="s">
        <v>59</v>
      </c>
      <c r="M1419" s="9" t="s">
        <v>55</v>
      </c>
      <c r="N1419" s="9">
        <v>1956665.32</v>
      </c>
      <c r="O1419" s="9">
        <v>1919488.68</v>
      </c>
      <c r="P1419" s="9">
        <v>58699.96</v>
      </c>
      <c r="Q1419" s="9">
        <v>58699.96</v>
      </c>
      <c r="R1419" s="9" t="s">
        <v>60</v>
      </c>
      <c r="S1419" s="9" t="s">
        <v>57</v>
      </c>
      <c r="T1419" s="9" t="s">
        <v>61</v>
      </c>
      <c r="V1419" s="9">
        <v>1929396.82</v>
      </c>
      <c r="W1419" s="9">
        <v>58699.96</v>
      </c>
      <c r="X1419" s="9">
        <v>0.0</v>
      </c>
    </row>
    <row r="1420" ht="15.75" customHeight="1">
      <c r="A1420" s="9">
        <v>2292939.0</v>
      </c>
      <c r="B1420" s="9">
        <v>929920.91</v>
      </c>
      <c r="C1420" s="9">
        <v>42574.0</v>
      </c>
      <c r="D1420" s="9" t="s">
        <v>52</v>
      </c>
      <c r="E1420" s="9" t="s">
        <v>53</v>
      </c>
      <c r="F1420" s="9">
        <v>334237.0</v>
      </c>
      <c r="G1420" s="9">
        <v>965397.65</v>
      </c>
      <c r="H1420" s="9">
        <v>988309.67</v>
      </c>
      <c r="I1420" s="9">
        <v>939899.88</v>
      </c>
      <c r="J1420" s="9">
        <v>0.0</v>
      </c>
      <c r="K1420" s="9">
        <v>0.0</v>
      </c>
      <c r="L1420" s="9" t="s">
        <v>69</v>
      </c>
      <c r="M1420" s="9" t="s">
        <v>55</v>
      </c>
      <c r="N1420" s="9">
        <v>928035.13</v>
      </c>
      <c r="O1420" s="9">
        <v>835231.62</v>
      </c>
      <c r="P1420" s="9">
        <v>82965.25</v>
      </c>
      <c r="Q1420" s="9">
        <v>74668.73</v>
      </c>
      <c r="R1420" s="9" t="s">
        <v>56</v>
      </c>
      <c r="S1420" s="9" t="s">
        <v>57</v>
      </c>
      <c r="T1420" s="9" t="s">
        <v>58</v>
      </c>
      <c r="V1420" s="9">
        <v>884487.24</v>
      </c>
      <c r="W1420" s="9">
        <v>80822.43</v>
      </c>
      <c r="X1420" s="9">
        <v>0.0</v>
      </c>
    </row>
    <row r="1421" ht="15.75" customHeight="1">
      <c r="A1421" s="9">
        <v>2296215.0</v>
      </c>
      <c r="B1421" s="9">
        <v>1202925.0</v>
      </c>
      <c r="C1421" s="9">
        <v>36966.0</v>
      </c>
      <c r="D1421" s="9" t="s">
        <v>52</v>
      </c>
      <c r="E1421" s="9" t="s">
        <v>53</v>
      </c>
      <c r="F1421" s="9">
        <v>323632.0</v>
      </c>
      <c r="G1421" s="9">
        <v>985400.12</v>
      </c>
      <c r="H1421" s="9">
        <v>985400.12</v>
      </c>
      <c r="I1421" s="9">
        <v>893643.24</v>
      </c>
      <c r="J1421" s="9">
        <v>0.0</v>
      </c>
      <c r="K1421" s="9">
        <v>0.0</v>
      </c>
      <c r="L1421" s="9" t="s">
        <v>59</v>
      </c>
      <c r="M1421" s="9" t="s">
        <v>55</v>
      </c>
      <c r="N1421" s="9">
        <v>925808.36</v>
      </c>
      <c r="O1421" s="9">
        <v>784583.36</v>
      </c>
      <c r="R1421" s="9" t="s">
        <v>56</v>
      </c>
      <c r="S1421" s="9" t="s">
        <v>57</v>
      </c>
      <c r="T1421" s="9" t="s">
        <v>58</v>
      </c>
      <c r="V1421" s="9">
        <v>828336.74</v>
      </c>
      <c r="W1421" s="9">
        <v>0.0</v>
      </c>
      <c r="X1421" s="9">
        <v>0.0</v>
      </c>
    </row>
    <row r="1422" ht="15.75" customHeight="1">
      <c r="A1422" s="9">
        <v>2300077.0</v>
      </c>
      <c r="B1422" s="9">
        <v>7.1252158E7</v>
      </c>
      <c r="C1422" s="9">
        <v>40299.0</v>
      </c>
      <c r="D1422" s="9" t="s">
        <v>52</v>
      </c>
      <c r="E1422" s="9" t="s">
        <v>53</v>
      </c>
      <c r="F1422" s="9">
        <v>322711.0</v>
      </c>
      <c r="G1422" s="9">
        <v>1.8281916854E8</v>
      </c>
      <c r="H1422" s="9">
        <v>2.2988936636E8</v>
      </c>
      <c r="I1422" s="9">
        <v>2.2988936636E8</v>
      </c>
      <c r="J1422" s="9">
        <v>0.0</v>
      </c>
      <c r="K1422" s="9">
        <v>0.0</v>
      </c>
      <c r="L1422" s="9" t="s">
        <v>69</v>
      </c>
      <c r="M1422" s="9" t="s">
        <v>55</v>
      </c>
      <c r="N1422" s="9">
        <v>1.7446258915E8</v>
      </c>
      <c r="O1422" s="9">
        <v>1.7446258915E8</v>
      </c>
      <c r="P1422" s="9">
        <v>6016910.49</v>
      </c>
      <c r="Q1422" s="9">
        <v>6016910.49</v>
      </c>
      <c r="R1422" s="9" t="s">
        <v>56</v>
      </c>
      <c r="S1422" s="9" t="s">
        <v>57</v>
      </c>
      <c r="T1422" s="9" t="s">
        <v>58</v>
      </c>
      <c r="V1422" s="9">
        <v>2.0901688417E8</v>
      </c>
      <c r="W1422" s="9">
        <v>1.003745995E7</v>
      </c>
      <c r="X1422" s="9">
        <v>0.0</v>
      </c>
    </row>
    <row r="1423" ht="15.75" customHeight="1">
      <c r="A1423" s="9">
        <v>2300996.0</v>
      </c>
      <c r="B1423" s="9">
        <v>1.9719626E7</v>
      </c>
      <c r="C1423" s="9">
        <v>37807.0</v>
      </c>
      <c r="D1423" s="9" t="s">
        <v>52</v>
      </c>
      <c r="E1423" s="9" t="s">
        <v>53</v>
      </c>
      <c r="F1423" s="9">
        <v>339220.0</v>
      </c>
      <c r="G1423" s="9">
        <v>3.252248214E7</v>
      </c>
      <c r="H1423" s="9">
        <v>3.801658296E7</v>
      </c>
      <c r="I1423" s="9">
        <v>3.586896905E7</v>
      </c>
      <c r="J1423" s="9">
        <v>867743.05</v>
      </c>
      <c r="K1423" s="9">
        <v>3108858.0</v>
      </c>
      <c r="L1423" s="9" t="s">
        <v>59</v>
      </c>
      <c r="M1423" s="9" t="s">
        <v>55</v>
      </c>
      <c r="N1423" s="9">
        <v>3.077455736E7</v>
      </c>
      <c r="O1423" s="9">
        <v>3.077455736E7</v>
      </c>
      <c r="P1423" s="9">
        <v>960738.41</v>
      </c>
      <c r="Q1423" s="9">
        <v>399666.06</v>
      </c>
      <c r="R1423" s="9" t="s">
        <v>106</v>
      </c>
      <c r="S1423" s="9" t="s">
        <v>82</v>
      </c>
      <c r="T1423" s="9" t="s">
        <v>107</v>
      </c>
      <c r="U1423" s="9" t="s">
        <v>108</v>
      </c>
    </row>
    <row r="1424" ht="15.75" customHeight="1">
      <c r="A1424" s="9">
        <v>2303200.0</v>
      </c>
      <c r="B1424" s="9">
        <v>3328440.0</v>
      </c>
      <c r="C1424" s="9">
        <v>39593.0</v>
      </c>
      <c r="D1424" s="9" t="s">
        <v>52</v>
      </c>
      <c r="E1424" s="9" t="s">
        <v>53</v>
      </c>
      <c r="F1424" s="9">
        <v>336523.0</v>
      </c>
      <c r="G1424" s="9">
        <v>2430105.36</v>
      </c>
      <c r="H1424" s="9">
        <v>2430105.36</v>
      </c>
      <c r="I1424" s="9">
        <v>2355721.96</v>
      </c>
      <c r="J1424" s="9">
        <v>0.0</v>
      </c>
      <c r="K1424" s="9">
        <v>0.0</v>
      </c>
      <c r="L1424" s="9" t="s">
        <v>69</v>
      </c>
      <c r="M1424" s="9" t="s">
        <v>55</v>
      </c>
      <c r="N1424" s="9">
        <v>2223381.38</v>
      </c>
      <c r="O1424" s="9">
        <v>2001043.24</v>
      </c>
      <c r="P1424" s="9">
        <v>114691.74</v>
      </c>
      <c r="Q1424" s="9">
        <v>114691.74</v>
      </c>
      <c r="R1424" s="9" t="s">
        <v>72</v>
      </c>
      <c r="S1424" s="9" t="s">
        <v>57</v>
      </c>
      <c r="T1424" s="9" t="s">
        <v>73</v>
      </c>
      <c r="V1424" s="9">
        <v>2232228.92</v>
      </c>
      <c r="W1424" s="9">
        <v>11469.17</v>
      </c>
      <c r="X1424" s="9">
        <v>0.0</v>
      </c>
    </row>
    <row r="1425" ht="15.75" customHeight="1">
      <c r="A1425" s="9">
        <v>2304889.0</v>
      </c>
      <c r="B1425" s="9">
        <v>1.784267E7</v>
      </c>
      <c r="C1425" s="9">
        <v>45531.0</v>
      </c>
      <c r="D1425" s="9" t="s">
        <v>52</v>
      </c>
      <c r="E1425" s="9" t="s">
        <v>87</v>
      </c>
      <c r="F1425" s="9">
        <v>343733.0</v>
      </c>
      <c r="H1425" s="9">
        <v>4.820264957E7</v>
      </c>
      <c r="I1425" s="9">
        <v>4.340891082E7</v>
      </c>
      <c r="J1425" s="9">
        <v>1.04016255E7</v>
      </c>
      <c r="K1425" s="9">
        <v>1.1707268E7</v>
      </c>
      <c r="L1425" s="9" t="s">
        <v>59</v>
      </c>
      <c r="M1425" s="9" t="s">
        <v>55</v>
      </c>
      <c r="N1425" s="9">
        <v>3.381786249E7</v>
      </c>
      <c r="O1425" s="9">
        <v>3.381786249E7</v>
      </c>
      <c r="P1425" s="9">
        <v>1572196.0</v>
      </c>
      <c r="Q1425" s="9">
        <v>1414976.4</v>
      </c>
      <c r="R1425" s="9" t="s">
        <v>129</v>
      </c>
      <c r="S1425" s="9" t="s">
        <v>78</v>
      </c>
      <c r="T1425" s="9" t="s">
        <v>79</v>
      </c>
      <c r="U1425" s="9" t="s">
        <v>130</v>
      </c>
    </row>
    <row r="1426" ht="15.75" customHeight="1">
      <c r="A1426" s="9">
        <v>2308516.0</v>
      </c>
      <c r="B1426" s="9">
        <v>5535474.0</v>
      </c>
      <c r="C1426" s="9">
        <v>37834.0</v>
      </c>
      <c r="D1426" s="9" t="s">
        <v>52</v>
      </c>
      <c r="E1426" s="9" t="s">
        <v>53</v>
      </c>
      <c r="F1426" s="9">
        <v>347027.0</v>
      </c>
      <c r="G1426" s="9">
        <v>5937932.27</v>
      </c>
      <c r="H1426" s="9">
        <v>5937932.27</v>
      </c>
      <c r="I1426" s="9">
        <v>5905270.16</v>
      </c>
      <c r="J1426" s="9">
        <v>0.0</v>
      </c>
      <c r="K1426" s="9">
        <v>0.0</v>
      </c>
      <c r="L1426" s="9" t="s">
        <v>59</v>
      </c>
      <c r="M1426" s="9" t="s">
        <v>55</v>
      </c>
      <c r="N1426" s="9">
        <v>5621185.41</v>
      </c>
      <c r="O1426" s="9">
        <v>5621185.41</v>
      </c>
      <c r="P1426" s="9">
        <v>246400.0</v>
      </c>
      <c r="Q1426" s="9">
        <v>246400.0</v>
      </c>
      <c r="R1426" s="9" t="s">
        <v>60</v>
      </c>
      <c r="S1426" s="9" t="s">
        <v>57</v>
      </c>
      <c r="T1426" s="9" t="s">
        <v>61</v>
      </c>
      <c r="V1426" s="9">
        <v>5665032.27</v>
      </c>
      <c r="W1426" s="9">
        <v>246400.0</v>
      </c>
      <c r="X1426" s="9">
        <v>0.0</v>
      </c>
    </row>
    <row r="1427" ht="15.75" customHeight="1">
      <c r="A1427" s="9">
        <v>2311974.0</v>
      </c>
      <c r="B1427" s="9">
        <v>1693651.0</v>
      </c>
      <c r="C1427" s="9">
        <v>40100.0</v>
      </c>
      <c r="D1427" s="9" t="s">
        <v>52</v>
      </c>
      <c r="E1427" s="9" t="s">
        <v>53</v>
      </c>
      <c r="F1427" s="9">
        <v>349155.0</v>
      </c>
      <c r="G1427" s="9">
        <v>3667826.42</v>
      </c>
      <c r="H1427" s="9">
        <v>3667826.42</v>
      </c>
      <c r="I1427" s="9">
        <v>3630997.44</v>
      </c>
      <c r="J1427" s="9">
        <v>0.0</v>
      </c>
      <c r="K1427" s="9">
        <v>0.0</v>
      </c>
      <c r="L1427" s="9" t="s">
        <v>69</v>
      </c>
      <c r="M1427" s="9" t="s">
        <v>55</v>
      </c>
      <c r="N1427" s="9">
        <v>3423053.2</v>
      </c>
      <c r="O1427" s="9">
        <v>3335700.55</v>
      </c>
      <c r="P1427" s="9">
        <v>214773.0</v>
      </c>
      <c r="Q1427" s="9">
        <v>214773.0</v>
      </c>
      <c r="R1427" s="9" t="s">
        <v>70</v>
      </c>
      <c r="S1427" s="9" t="s">
        <v>57</v>
      </c>
      <c r="T1427" s="9" t="s">
        <v>71</v>
      </c>
    </row>
    <row r="1428" ht="15.75" customHeight="1">
      <c r="A1428" s="9">
        <v>2313913.0</v>
      </c>
      <c r="B1428" s="9">
        <v>4611467.0</v>
      </c>
      <c r="C1428" s="9">
        <v>47196.0</v>
      </c>
      <c r="D1428" s="9" t="s">
        <v>52</v>
      </c>
      <c r="E1428" s="9" t="s">
        <v>53</v>
      </c>
      <c r="F1428" s="9">
        <v>351526.0</v>
      </c>
      <c r="G1428" s="9">
        <v>2.381029419E7</v>
      </c>
      <c r="H1428" s="9">
        <v>2.67981339E7</v>
      </c>
      <c r="I1428" s="9">
        <v>2.192852282E7</v>
      </c>
      <c r="J1428" s="9">
        <v>5854625.67</v>
      </c>
      <c r="K1428" s="9">
        <v>1.0155287E7</v>
      </c>
      <c r="L1428" s="9" t="s">
        <v>59</v>
      </c>
      <c r="M1428" s="9" t="s">
        <v>55</v>
      </c>
      <c r="N1428" s="9">
        <v>2.474952218E7</v>
      </c>
      <c r="O1428" s="9">
        <v>2.472800086E7</v>
      </c>
      <c r="P1428" s="9">
        <v>1237476.11</v>
      </c>
      <c r="Q1428" s="9">
        <v>1215500.0</v>
      </c>
      <c r="R1428" s="9" t="s">
        <v>135</v>
      </c>
      <c r="S1428" s="9" t="s">
        <v>82</v>
      </c>
      <c r="T1428" s="9" t="s">
        <v>83</v>
      </c>
      <c r="U1428" s="9" t="s">
        <v>136</v>
      </c>
    </row>
    <row r="1429" ht="15.75" customHeight="1">
      <c r="A1429" s="9">
        <v>2324878.0</v>
      </c>
      <c r="B1429" s="9">
        <v>7509557.0</v>
      </c>
      <c r="C1429" s="9">
        <v>47201.0</v>
      </c>
      <c r="D1429" s="9" t="s">
        <v>52</v>
      </c>
      <c r="E1429" s="9" t="s">
        <v>53</v>
      </c>
      <c r="F1429" s="9">
        <v>361609.0</v>
      </c>
      <c r="G1429" s="9">
        <v>7754822.71</v>
      </c>
      <c r="H1429" s="9">
        <v>8387092.49</v>
      </c>
      <c r="I1429" s="9">
        <v>8076240.14</v>
      </c>
      <c r="J1429" s="9">
        <v>7405.3</v>
      </c>
      <c r="K1429" s="9">
        <v>147795.0</v>
      </c>
      <c r="L1429" s="9" t="s">
        <v>59</v>
      </c>
      <c r="M1429" s="9" t="s">
        <v>55</v>
      </c>
      <c r="N1429" s="9">
        <v>7799179.89</v>
      </c>
      <c r="O1429" s="9">
        <v>7635606.99</v>
      </c>
      <c r="P1429" s="9">
        <v>379465.3</v>
      </c>
      <c r="Q1429" s="9">
        <v>364345.2</v>
      </c>
      <c r="R1429" s="9" t="s">
        <v>72</v>
      </c>
      <c r="S1429" s="9" t="s">
        <v>57</v>
      </c>
      <c r="T1429" s="9" t="s">
        <v>73</v>
      </c>
      <c r="V1429" s="9">
        <v>7642606.84</v>
      </c>
      <c r="W1429" s="9">
        <v>369633.3</v>
      </c>
      <c r="X1429" s="9">
        <v>0.0</v>
      </c>
    </row>
    <row r="1430" ht="15.75" customHeight="1">
      <c r="A1430" s="9">
        <v>2325346.0</v>
      </c>
      <c r="B1430" s="9">
        <v>6729596.0</v>
      </c>
      <c r="C1430" s="9">
        <v>47202.0</v>
      </c>
      <c r="D1430" s="9" t="s">
        <v>52</v>
      </c>
      <c r="E1430" s="9" t="s">
        <v>53</v>
      </c>
      <c r="F1430" s="9">
        <v>362043.0</v>
      </c>
      <c r="G1430" s="9">
        <v>7724211.71</v>
      </c>
      <c r="H1430" s="9">
        <v>7736941.19</v>
      </c>
      <c r="I1430" s="9">
        <v>7075610.68</v>
      </c>
      <c r="J1430" s="9">
        <v>551849.57</v>
      </c>
      <c r="K1430" s="9">
        <v>628324.0</v>
      </c>
      <c r="L1430" s="9" t="s">
        <v>59</v>
      </c>
      <c r="M1430" s="9" t="s">
        <v>55</v>
      </c>
      <c r="N1430" s="9">
        <v>7334209.26</v>
      </c>
      <c r="O1430" s="9">
        <v>7273247.37</v>
      </c>
      <c r="P1430" s="9">
        <v>338731.94</v>
      </c>
      <c r="Q1430" s="9">
        <v>304858.75</v>
      </c>
      <c r="R1430" s="9" t="s">
        <v>56</v>
      </c>
      <c r="S1430" s="9" t="s">
        <v>57</v>
      </c>
      <c r="T1430" s="9" t="s">
        <v>58</v>
      </c>
      <c r="V1430" s="9">
        <v>7407053.64</v>
      </c>
      <c r="W1430" s="9">
        <v>0.0</v>
      </c>
      <c r="X1430" s="9">
        <v>0.0</v>
      </c>
    </row>
    <row r="1431" ht="15.75" customHeight="1">
      <c r="A1431" s="9">
        <v>2326481.0</v>
      </c>
      <c r="B1431" s="9">
        <v>2828170.0</v>
      </c>
      <c r="C1431" s="9">
        <v>40611.0</v>
      </c>
      <c r="D1431" s="9" t="s">
        <v>52</v>
      </c>
      <c r="E1431" s="9" t="s">
        <v>53</v>
      </c>
      <c r="F1431" s="9">
        <v>363005.0</v>
      </c>
      <c r="G1431" s="9">
        <v>2112389.2</v>
      </c>
      <c r="H1431" s="9">
        <v>2112389.2</v>
      </c>
      <c r="I1431" s="9">
        <v>0.0</v>
      </c>
      <c r="J1431" s="9">
        <v>0.0</v>
      </c>
      <c r="K1431" s="9">
        <v>0.0</v>
      </c>
      <c r="L1431" s="9" t="s">
        <v>69</v>
      </c>
      <c r="M1431" s="9" t="s">
        <v>55</v>
      </c>
      <c r="R1431" s="9" t="s">
        <v>60</v>
      </c>
      <c r="S1431" s="9" t="s">
        <v>57</v>
      </c>
      <c r="T1431" s="9" t="s">
        <v>61</v>
      </c>
      <c r="V1431" s="9">
        <v>1989669.59</v>
      </c>
      <c r="W1431" s="9">
        <v>0.0</v>
      </c>
      <c r="X1431" s="9">
        <v>0.0</v>
      </c>
    </row>
    <row r="1432" ht="15.75" customHeight="1">
      <c r="A1432" s="9">
        <v>2326664.0</v>
      </c>
      <c r="B1432" s="9">
        <v>1227216.5</v>
      </c>
      <c r="C1432" s="9">
        <v>44264.0</v>
      </c>
      <c r="D1432" s="9" t="s">
        <v>52</v>
      </c>
      <c r="E1432" s="9" t="s">
        <v>53</v>
      </c>
      <c r="F1432" s="9">
        <v>363180.0</v>
      </c>
      <c r="G1432" s="9">
        <v>1478696.0</v>
      </c>
      <c r="H1432" s="9">
        <v>1559499.06</v>
      </c>
      <c r="I1432" s="9">
        <v>1236078.0</v>
      </c>
      <c r="J1432" s="9">
        <v>0.0</v>
      </c>
      <c r="K1432" s="9">
        <v>0.0</v>
      </c>
      <c r="L1432" s="9" t="s">
        <v>59</v>
      </c>
      <c r="M1432" s="9" t="s">
        <v>55</v>
      </c>
      <c r="N1432" s="9">
        <v>1336549.0</v>
      </c>
      <c r="O1432" s="9">
        <v>1202894.1</v>
      </c>
      <c r="P1432" s="9">
        <v>101000.0</v>
      </c>
      <c r="Q1432" s="9">
        <v>100000.0</v>
      </c>
      <c r="R1432" s="9" t="s">
        <v>60</v>
      </c>
      <c r="S1432" s="9" t="s">
        <v>57</v>
      </c>
      <c r="T1432" s="9" t="s">
        <v>61</v>
      </c>
      <c r="V1432" s="9">
        <v>1350809.57</v>
      </c>
      <c r="W1432" s="9">
        <v>100000.0</v>
      </c>
      <c r="X1432" s="9">
        <v>0.0</v>
      </c>
    </row>
    <row r="1433" ht="15.75" customHeight="1">
      <c r="A1433" s="9">
        <v>2327367.0</v>
      </c>
      <c r="B1433" s="9">
        <v>2320856.0</v>
      </c>
      <c r="C1433" s="9">
        <v>40605.0</v>
      </c>
      <c r="D1433" s="9" t="s">
        <v>52</v>
      </c>
      <c r="E1433" s="9" t="s">
        <v>53</v>
      </c>
      <c r="F1433" s="9">
        <v>363805.0</v>
      </c>
      <c r="G1433" s="9">
        <v>3220124.25</v>
      </c>
      <c r="H1433" s="9">
        <v>3086537.1</v>
      </c>
      <c r="I1433" s="9">
        <v>3086537.1</v>
      </c>
      <c r="J1433" s="9">
        <v>0.0</v>
      </c>
      <c r="K1433" s="9">
        <v>0.0</v>
      </c>
      <c r="L1433" s="9" t="s">
        <v>69</v>
      </c>
      <c r="M1433" s="9" t="s">
        <v>55</v>
      </c>
      <c r="N1433" s="9">
        <v>3056244.07</v>
      </c>
      <c r="O1433" s="9">
        <v>3056244.07</v>
      </c>
      <c r="P1433" s="9">
        <v>132700.0</v>
      </c>
      <c r="Q1433" s="9">
        <v>132700.0</v>
      </c>
      <c r="R1433" s="9" t="s">
        <v>60</v>
      </c>
      <c r="S1433" s="9" t="s">
        <v>57</v>
      </c>
      <c r="T1433" s="9" t="s">
        <v>61</v>
      </c>
      <c r="V1433" s="9">
        <v>3055857.55</v>
      </c>
      <c r="W1433" s="9">
        <v>0.0</v>
      </c>
      <c r="X1433" s="9">
        <v>0.0</v>
      </c>
    </row>
    <row r="1434" ht="15.75" customHeight="1">
      <c r="A1434" s="9">
        <v>2327685.0</v>
      </c>
      <c r="B1434" s="9">
        <v>3982380.0</v>
      </c>
      <c r="C1434" s="9">
        <v>40104.0</v>
      </c>
      <c r="D1434" s="9" t="s">
        <v>52</v>
      </c>
      <c r="E1434" s="9" t="s">
        <v>53</v>
      </c>
      <c r="F1434" s="9">
        <v>364097.0</v>
      </c>
      <c r="G1434" s="9">
        <v>3651678.16</v>
      </c>
      <c r="H1434" s="9">
        <v>3651678.16</v>
      </c>
      <c r="I1434" s="9">
        <v>3364881.63</v>
      </c>
      <c r="J1434" s="9">
        <v>0.0</v>
      </c>
      <c r="K1434" s="9">
        <v>0.0</v>
      </c>
      <c r="L1434" s="9" t="s">
        <v>59</v>
      </c>
      <c r="M1434" s="9" t="s">
        <v>55</v>
      </c>
      <c r="N1434" s="9">
        <v>3496774.91</v>
      </c>
      <c r="O1434" s="9">
        <v>3259690.31</v>
      </c>
      <c r="P1434" s="9">
        <v>104903.25</v>
      </c>
      <c r="Q1434" s="9">
        <v>97700.0</v>
      </c>
      <c r="R1434" s="9" t="s">
        <v>60</v>
      </c>
      <c r="S1434" s="9" t="s">
        <v>57</v>
      </c>
      <c r="T1434" s="9" t="s">
        <v>61</v>
      </c>
      <c r="V1434" s="9">
        <v>3259681.63</v>
      </c>
      <c r="W1434" s="9">
        <v>97700.0</v>
      </c>
      <c r="X1434" s="9">
        <v>0.0</v>
      </c>
    </row>
    <row r="1435" ht="15.75" customHeight="1">
      <c r="A1435" s="9">
        <v>2328472.0</v>
      </c>
      <c r="B1435" s="9">
        <v>5785294.0</v>
      </c>
      <c r="C1435" s="9">
        <v>44251.0</v>
      </c>
      <c r="D1435" s="9" t="s">
        <v>52</v>
      </c>
      <c r="E1435" s="9" t="s">
        <v>53</v>
      </c>
      <c r="F1435" s="9">
        <v>364823.0</v>
      </c>
      <c r="G1435" s="9">
        <v>5366039.88</v>
      </c>
      <c r="H1435" s="9">
        <v>5735096.65</v>
      </c>
      <c r="I1435" s="9">
        <v>5235611.32</v>
      </c>
      <c r="J1435" s="9">
        <v>0.0</v>
      </c>
      <c r="K1435" s="9">
        <v>0.0</v>
      </c>
      <c r="L1435" s="9" t="s">
        <v>59</v>
      </c>
      <c r="M1435" s="9" t="s">
        <v>55</v>
      </c>
      <c r="N1435" s="9">
        <v>5147908.0</v>
      </c>
      <c r="O1435" s="9">
        <v>4633117.2</v>
      </c>
      <c r="P1435" s="9">
        <v>218131.7</v>
      </c>
      <c r="Q1435" s="9">
        <v>196318.53</v>
      </c>
      <c r="R1435" s="9" t="s">
        <v>56</v>
      </c>
      <c r="S1435" s="9" t="s">
        <v>57</v>
      </c>
      <c r="T1435" s="9" t="s">
        <v>58</v>
      </c>
      <c r="V1435" s="9">
        <v>5276929.18</v>
      </c>
      <c r="W1435" s="9">
        <v>0.0</v>
      </c>
      <c r="X1435" s="9">
        <v>0.0</v>
      </c>
    </row>
    <row r="1436" ht="15.75" customHeight="1">
      <c r="A1436" s="9">
        <v>2331093.0</v>
      </c>
      <c r="B1436" s="9">
        <v>5.3380307E7</v>
      </c>
      <c r="C1436" s="9">
        <v>46788.0</v>
      </c>
      <c r="D1436" s="9" t="s">
        <v>52</v>
      </c>
      <c r="E1436" s="9" t="s">
        <v>126</v>
      </c>
      <c r="F1436" s="9">
        <v>369626.0</v>
      </c>
      <c r="H1436" s="9">
        <v>1.2377098395E8</v>
      </c>
      <c r="I1436" s="9">
        <v>1.1869955848E8</v>
      </c>
      <c r="J1436" s="9">
        <v>3.580366851E7</v>
      </c>
      <c r="K1436" s="9">
        <v>3.8085826E7</v>
      </c>
      <c r="L1436" s="9" t="s">
        <v>59</v>
      </c>
      <c r="M1436" s="9" t="s">
        <v>62</v>
      </c>
      <c r="N1436" s="9">
        <v>9.133629099E7</v>
      </c>
      <c r="O1436" s="9">
        <v>8.839077939E7</v>
      </c>
      <c r="P1436" s="9">
        <v>9712143.0</v>
      </c>
      <c r="Q1436" s="9">
        <v>4597970.4</v>
      </c>
      <c r="R1436" s="9" t="s">
        <v>131</v>
      </c>
      <c r="S1436" s="9" t="s">
        <v>82</v>
      </c>
      <c r="T1436" s="9" t="s">
        <v>132</v>
      </c>
    </row>
    <row r="1437" ht="15.75" customHeight="1">
      <c r="A1437" s="9">
        <v>2331397.0</v>
      </c>
      <c r="B1437" s="9">
        <v>2958957.0</v>
      </c>
      <c r="C1437" s="9">
        <v>44250.0</v>
      </c>
      <c r="D1437" s="9" t="s">
        <v>52</v>
      </c>
      <c r="E1437" s="9" t="s">
        <v>53</v>
      </c>
      <c r="F1437" s="9">
        <v>370736.0</v>
      </c>
      <c r="G1437" s="9">
        <v>2714150.71</v>
      </c>
      <c r="H1437" s="9">
        <v>3088068.77</v>
      </c>
      <c r="I1437" s="9">
        <v>3085998.91</v>
      </c>
      <c r="J1437" s="9">
        <v>0.0</v>
      </c>
      <c r="K1437" s="9">
        <v>0.0</v>
      </c>
      <c r="L1437" s="9" t="s">
        <v>69</v>
      </c>
      <c r="M1437" s="9" t="s">
        <v>55</v>
      </c>
      <c r="N1437" s="9">
        <v>2741140.89</v>
      </c>
      <c r="O1437" s="9">
        <v>2467026.81</v>
      </c>
      <c r="P1437" s="9">
        <v>102792.78</v>
      </c>
      <c r="Q1437" s="9">
        <v>92518.91</v>
      </c>
      <c r="R1437" s="9" t="s">
        <v>60</v>
      </c>
      <c r="S1437" s="9" t="s">
        <v>57</v>
      </c>
      <c r="T1437" s="9" t="s">
        <v>61</v>
      </c>
      <c r="V1437" s="9">
        <v>2467026.64</v>
      </c>
      <c r="W1437" s="9">
        <v>106088.29</v>
      </c>
      <c r="X1437" s="9">
        <v>0.0</v>
      </c>
    </row>
    <row r="1438" ht="15.75" customHeight="1">
      <c r="A1438" s="9">
        <v>2228515.0</v>
      </c>
      <c r="B1438" s="9">
        <v>63452.0</v>
      </c>
      <c r="C1438" s="9">
        <v>30538.0</v>
      </c>
      <c r="D1438" s="9" t="s">
        <v>52</v>
      </c>
      <c r="E1438" s="9" t="s">
        <v>53</v>
      </c>
      <c r="F1438" s="9">
        <v>19340.0</v>
      </c>
      <c r="G1438" s="9">
        <v>63452.0</v>
      </c>
      <c r="H1438" s="9">
        <v>63452.0</v>
      </c>
      <c r="I1438" s="9">
        <v>0.0</v>
      </c>
      <c r="J1438" s="9">
        <v>0.0</v>
      </c>
      <c r="K1438" s="9">
        <v>0.0</v>
      </c>
      <c r="L1438" s="9" t="s">
        <v>54</v>
      </c>
      <c r="M1438" s="9" t="s">
        <v>55</v>
      </c>
      <c r="N1438" s="9">
        <v>0.0</v>
      </c>
      <c r="O1438" s="9">
        <v>0.0</v>
      </c>
      <c r="R1438" s="9" t="s">
        <v>60</v>
      </c>
      <c r="S1438" s="9" t="s">
        <v>57</v>
      </c>
      <c r="T1438" s="9" t="s">
        <v>61</v>
      </c>
    </row>
    <row r="1439" ht="15.75" customHeight="1">
      <c r="A1439" s="9">
        <v>2235046.0</v>
      </c>
      <c r="B1439" s="9">
        <v>3.6476971E7</v>
      </c>
      <c r="C1439" s="9">
        <v>45043.0</v>
      </c>
      <c r="D1439" s="9" t="s">
        <v>52</v>
      </c>
      <c r="E1439" s="9" t="s">
        <v>53</v>
      </c>
      <c r="F1439" s="9">
        <v>264495.0</v>
      </c>
      <c r="G1439" s="9">
        <v>3.37524673E7</v>
      </c>
      <c r="H1439" s="9">
        <v>7.967289713E7</v>
      </c>
      <c r="I1439" s="9">
        <v>3.314930828E7</v>
      </c>
      <c r="J1439" s="9">
        <v>140059.0</v>
      </c>
      <c r="K1439" s="9">
        <v>2085897.0</v>
      </c>
      <c r="L1439" s="9" t="s">
        <v>59</v>
      </c>
      <c r="M1439" s="9" t="s">
        <v>62</v>
      </c>
      <c r="N1439" s="9">
        <v>4.90406927E7</v>
      </c>
      <c r="O1439" s="9">
        <v>4.90406927E7</v>
      </c>
      <c r="P1439" s="9">
        <v>3439896.89</v>
      </c>
      <c r="Q1439" s="9">
        <v>3095907.21</v>
      </c>
      <c r="R1439" s="9" t="s">
        <v>77</v>
      </c>
      <c r="S1439" s="9" t="s">
        <v>78</v>
      </c>
      <c r="T1439" s="9" t="s">
        <v>79</v>
      </c>
      <c r="U1439" s="9" t="s">
        <v>80</v>
      </c>
    </row>
    <row r="1440" ht="15.75" customHeight="1">
      <c r="A1440" s="9">
        <v>2235217.0</v>
      </c>
      <c r="B1440" s="9">
        <v>8437206.0</v>
      </c>
      <c r="C1440" s="9">
        <v>40094.0</v>
      </c>
      <c r="D1440" s="9" t="s">
        <v>52</v>
      </c>
      <c r="E1440" s="9" t="s">
        <v>53</v>
      </c>
      <c r="F1440" s="9">
        <v>230824.0</v>
      </c>
      <c r="G1440" s="9">
        <v>2.436246204E7</v>
      </c>
      <c r="H1440" s="9">
        <v>2.270513575E7</v>
      </c>
      <c r="I1440" s="9">
        <v>2.175621228E7</v>
      </c>
      <c r="J1440" s="9">
        <v>72572.12</v>
      </c>
      <c r="K1440" s="9">
        <v>191940.0</v>
      </c>
      <c r="L1440" s="9" t="s">
        <v>59</v>
      </c>
      <c r="M1440" s="9" t="s">
        <v>55</v>
      </c>
      <c r="N1440" s="9">
        <v>1.890935178E7</v>
      </c>
      <c r="O1440" s="9">
        <v>1.890435178E7</v>
      </c>
      <c r="P1440" s="9">
        <v>891530.51</v>
      </c>
      <c r="Q1440" s="9">
        <v>802377.46</v>
      </c>
      <c r="R1440" s="9" t="s">
        <v>106</v>
      </c>
      <c r="S1440" s="9" t="s">
        <v>82</v>
      </c>
      <c r="T1440" s="9" t="s">
        <v>107</v>
      </c>
      <c r="U1440" s="9" t="s">
        <v>108</v>
      </c>
    </row>
    <row r="1441" ht="15.75" customHeight="1">
      <c r="A1441" s="9">
        <v>2243337.0</v>
      </c>
      <c r="B1441" s="9">
        <v>7581313.0</v>
      </c>
      <c r="C1441" s="9">
        <v>37634.0</v>
      </c>
      <c r="D1441" s="9" t="s">
        <v>52</v>
      </c>
      <c r="E1441" s="9" t="s">
        <v>53</v>
      </c>
      <c r="F1441" s="9">
        <v>288964.0</v>
      </c>
      <c r="G1441" s="9">
        <v>7055859.09</v>
      </c>
      <c r="H1441" s="9">
        <v>7055859.09</v>
      </c>
      <c r="I1441" s="9">
        <v>6905859.33</v>
      </c>
      <c r="J1441" s="9">
        <v>0.0</v>
      </c>
      <c r="K1441" s="9">
        <v>0.0</v>
      </c>
      <c r="L1441" s="9" t="s">
        <v>59</v>
      </c>
      <c r="M1441" s="9" t="s">
        <v>55</v>
      </c>
      <c r="N1441" s="9">
        <v>6577008.66</v>
      </c>
      <c r="O1441" s="9">
        <v>6577008.66</v>
      </c>
      <c r="P1441" s="9">
        <v>328850.43</v>
      </c>
      <c r="Q1441" s="9">
        <v>328850.43</v>
      </c>
      <c r="R1441" s="9" t="s">
        <v>60</v>
      </c>
      <c r="S1441" s="9" t="s">
        <v>57</v>
      </c>
      <c r="T1441" s="9" t="s">
        <v>61</v>
      </c>
      <c r="V1441" s="9">
        <v>6634381.85</v>
      </c>
      <c r="W1441" s="9">
        <v>328850.34</v>
      </c>
      <c r="X1441" s="9">
        <v>0.0</v>
      </c>
    </row>
    <row r="1442" ht="15.75" customHeight="1">
      <c r="A1442" s="9">
        <v>2248517.0</v>
      </c>
      <c r="B1442" s="9">
        <v>3731429.0</v>
      </c>
      <c r="C1442" s="9">
        <v>33414.0</v>
      </c>
      <c r="D1442" s="9" t="s">
        <v>52</v>
      </c>
      <c r="E1442" s="9" t="s">
        <v>53</v>
      </c>
      <c r="F1442" s="9">
        <v>308532.0</v>
      </c>
      <c r="G1442" s="9">
        <v>3462377.48</v>
      </c>
      <c r="H1442" s="9">
        <v>3462377.48</v>
      </c>
      <c r="I1442" s="9">
        <v>3282893.54</v>
      </c>
      <c r="J1442" s="9">
        <v>0.0</v>
      </c>
      <c r="K1442" s="9">
        <v>0.0</v>
      </c>
      <c r="L1442" s="9" t="s">
        <v>59</v>
      </c>
      <c r="M1442" s="9" t="s">
        <v>55</v>
      </c>
      <c r="N1442" s="9">
        <v>3190994.18</v>
      </c>
      <c r="O1442" s="9">
        <v>3190994.18</v>
      </c>
      <c r="P1442" s="9">
        <v>168000.0</v>
      </c>
      <c r="Q1442" s="9">
        <v>0.0</v>
      </c>
      <c r="R1442" s="9" t="s">
        <v>72</v>
      </c>
      <c r="S1442" s="9" t="s">
        <v>57</v>
      </c>
      <c r="T1442" s="9" t="s">
        <v>73</v>
      </c>
      <c r="V1442" s="9">
        <v>3190993.54</v>
      </c>
      <c r="W1442" s="9">
        <v>0.0</v>
      </c>
      <c r="X1442" s="9">
        <v>0.0</v>
      </c>
    </row>
    <row r="1443" ht="15.75" customHeight="1">
      <c r="A1443" s="9">
        <v>2251993.0</v>
      </c>
      <c r="B1443" s="9">
        <v>1393305.0</v>
      </c>
      <c r="C1443" s="9">
        <v>40013.0</v>
      </c>
      <c r="D1443" s="9" t="s">
        <v>52</v>
      </c>
      <c r="E1443" s="9" t="s">
        <v>111</v>
      </c>
      <c r="F1443" s="9">
        <v>241433.0</v>
      </c>
      <c r="G1443" s="9">
        <v>2997976.1</v>
      </c>
      <c r="H1443" s="9">
        <v>3041412.0</v>
      </c>
      <c r="I1443" s="9">
        <v>3041410.36</v>
      </c>
      <c r="J1443" s="9">
        <v>0.0</v>
      </c>
      <c r="K1443" s="9">
        <v>0.0</v>
      </c>
      <c r="L1443" s="9" t="s">
        <v>59</v>
      </c>
      <c r="M1443" s="9" t="s">
        <v>55</v>
      </c>
      <c r="N1443" s="9">
        <v>2801846.82</v>
      </c>
      <c r="O1443" s="9">
        <v>2789185.54</v>
      </c>
      <c r="P1443" s="9">
        <v>196129.28</v>
      </c>
      <c r="Q1443" s="9">
        <v>196129.28</v>
      </c>
      <c r="R1443" s="9" t="s">
        <v>72</v>
      </c>
      <c r="S1443" s="9" t="s">
        <v>57</v>
      </c>
      <c r="T1443" s="9" t="s">
        <v>73</v>
      </c>
      <c r="V1443" s="9">
        <v>2842240.28</v>
      </c>
      <c r="W1443" s="9">
        <v>0.0</v>
      </c>
    </row>
    <row r="1444" ht="15.75" customHeight="1">
      <c r="A1444" s="9">
        <v>2260867.0</v>
      </c>
      <c r="B1444" s="9">
        <v>2.1206682E8</v>
      </c>
      <c r="C1444" s="9">
        <v>48223.0</v>
      </c>
      <c r="D1444" s="9" t="s">
        <v>52</v>
      </c>
      <c r="E1444" s="9" t="s">
        <v>64</v>
      </c>
      <c r="F1444" s="9">
        <v>274554.0</v>
      </c>
      <c r="H1444" s="9">
        <v>4.4514020053E8</v>
      </c>
      <c r="I1444" s="9">
        <v>3.0363383252E8</v>
      </c>
      <c r="J1444" s="9">
        <v>891096.54</v>
      </c>
      <c r="K1444" s="9">
        <v>1767218.0</v>
      </c>
      <c r="L1444" s="9" t="s">
        <v>59</v>
      </c>
      <c r="M1444" s="9" t="s">
        <v>74</v>
      </c>
      <c r="N1444" s="9">
        <v>0.0</v>
      </c>
      <c r="O1444" s="9">
        <v>5528958.44</v>
      </c>
      <c r="P1444" s="9">
        <v>0.0</v>
      </c>
      <c r="Q1444" s="9">
        <v>2649999.63</v>
      </c>
      <c r="R1444" s="9" t="s">
        <v>66</v>
      </c>
      <c r="S1444" s="9" t="s">
        <v>67</v>
      </c>
      <c r="T1444" s="9" t="s">
        <v>68</v>
      </c>
    </row>
    <row r="1445" ht="15.75" customHeight="1">
      <c r="A1445" s="9">
        <v>2267487.0</v>
      </c>
      <c r="B1445" s="9">
        <v>7148639.0</v>
      </c>
      <c r="C1445" s="9">
        <v>41116.0</v>
      </c>
      <c r="D1445" s="9" t="s">
        <v>52</v>
      </c>
      <c r="E1445" s="9" t="s">
        <v>53</v>
      </c>
      <c r="F1445" s="9">
        <v>318376.0</v>
      </c>
      <c r="G1445" s="9">
        <v>9271997.88</v>
      </c>
      <c r="H1445" s="9">
        <v>5161932.32</v>
      </c>
      <c r="I1445" s="9">
        <v>4839759.24</v>
      </c>
      <c r="J1445" s="9">
        <v>0.0</v>
      </c>
      <c r="K1445" s="9">
        <v>0.0</v>
      </c>
      <c r="L1445" s="9" t="s">
        <v>59</v>
      </c>
      <c r="M1445" s="9" t="s">
        <v>55</v>
      </c>
      <c r="N1445" s="9">
        <v>8673602.74</v>
      </c>
      <c r="O1445" s="9">
        <v>8673602.74</v>
      </c>
      <c r="P1445" s="9">
        <v>433680.14</v>
      </c>
      <c r="Q1445" s="9">
        <v>433680.14</v>
      </c>
      <c r="R1445" s="9" t="s">
        <v>77</v>
      </c>
      <c r="S1445" s="9" t="s">
        <v>78</v>
      </c>
      <c r="T1445" s="9" t="s">
        <v>79</v>
      </c>
      <c r="U1445" s="9" t="s">
        <v>80</v>
      </c>
    </row>
    <row r="1446" ht="15.75" customHeight="1">
      <c r="A1446" s="9">
        <v>2270946.0</v>
      </c>
      <c r="B1446" s="9">
        <v>8272155.0</v>
      </c>
      <c r="C1446" s="9">
        <v>44300.0</v>
      </c>
      <c r="D1446" s="9" t="s">
        <v>52</v>
      </c>
      <c r="E1446" s="9" t="s">
        <v>53</v>
      </c>
      <c r="F1446" s="9">
        <v>319188.0</v>
      </c>
      <c r="G1446" s="9">
        <v>4249613.54</v>
      </c>
      <c r="H1446" s="9">
        <v>6474371.85</v>
      </c>
      <c r="I1446" s="9">
        <v>5763023.66</v>
      </c>
      <c r="J1446" s="9">
        <v>0.0</v>
      </c>
      <c r="K1446" s="9">
        <v>0.0</v>
      </c>
      <c r="L1446" s="9" t="s">
        <v>59</v>
      </c>
      <c r="M1446" s="9" t="s">
        <v>62</v>
      </c>
      <c r="N1446" s="9">
        <v>4267431.58</v>
      </c>
      <c r="O1446" s="9">
        <v>3840688.43</v>
      </c>
      <c r="P1446" s="9">
        <v>82943.5</v>
      </c>
      <c r="Q1446" s="9">
        <v>82943.5</v>
      </c>
      <c r="R1446" s="9" t="s">
        <v>56</v>
      </c>
      <c r="S1446" s="9" t="s">
        <v>57</v>
      </c>
      <c r="T1446" s="9" t="s">
        <v>58</v>
      </c>
      <c r="V1446" s="9">
        <v>4156963.6</v>
      </c>
      <c r="W1446" s="9">
        <v>0.0</v>
      </c>
      <c r="X1446" s="9">
        <v>0.0</v>
      </c>
    </row>
    <row r="1447" ht="15.75" customHeight="1">
      <c r="A1447" s="9">
        <v>2271464.0</v>
      </c>
      <c r="B1447" s="9">
        <v>9613591.0</v>
      </c>
      <c r="C1447" s="9">
        <v>40314.0</v>
      </c>
      <c r="D1447" s="9" t="s">
        <v>52</v>
      </c>
      <c r="E1447" s="9" t="s">
        <v>53</v>
      </c>
      <c r="F1447" s="9">
        <v>319751.0</v>
      </c>
      <c r="G1447" s="9">
        <v>8713768.26</v>
      </c>
      <c r="H1447" s="9">
        <v>8713768.26</v>
      </c>
      <c r="I1447" s="9">
        <v>8712000.51</v>
      </c>
      <c r="J1447" s="9">
        <v>0.0</v>
      </c>
      <c r="K1447" s="9">
        <v>0.0</v>
      </c>
      <c r="L1447" s="9" t="s">
        <v>59</v>
      </c>
      <c r="M1447" s="9" t="s">
        <v>55</v>
      </c>
      <c r="N1447" s="9">
        <v>8393925.53</v>
      </c>
      <c r="O1447" s="9">
        <v>8393925.53</v>
      </c>
      <c r="P1447" s="9">
        <v>309342.0</v>
      </c>
      <c r="Q1447" s="9">
        <v>309342.0</v>
      </c>
      <c r="R1447" s="9" t="s">
        <v>60</v>
      </c>
      <c r="S1447" s="9" t="s">
        <v>57</v>
      </c>
      <c r="T1447" s="9" t="s">
        <v>61</v>
      </c>
      <c r="V1447" s="9">
        <v>8667748.08</v>
      </c>
      <c r="W1447" s="9">
        <v>309342.0</v>
      </c>
      <c r="X1447" s="9">
        <v>0.0</v>
      </c>
    </row>
    <row r="1448" ht="15.75" customHeight="1">
      <c r="A1448" s="9">
        <v>2274607.0</v>
      </c>
      <c r="B1448" s="9">
        <v>4.3467792E7</v>
      </c>
      <c r="C1448" s="9">
        <v>48884.0</v>
      </c>
      <c r="D1448" s="9" t="s">
        <v>52</v>
      </c>
      <c r="E1448" s="9" t="s">
        <v>53</v>
      </c>
      <c r="F1448" s="9">
        <v>119202.0</v>
      </c>
      <c r="G1448" s="9">
        <v>9.417376558E7</v>
      </c>
      <c r="H1448" s="9">
        <v>9.609357036E7</v>
      </c>
      <c r="I1448" s="9">
        <v>3.683481428E7</v>
      </c>
      <c r="J1448" s="9">
        <v>56200.0</v>
      </c>
      <c r="K1448" s="9">
        <v>5.6233662E7</v>
      </c>
      <c r="L1448" s="9" t="s">
        <v>59</v>
      </c>
      <c r="M1448" s="9" t="s">
        <v>74</v>
      </c>
      <c r="R1448" s="9" t="s">
        <v>100</v>
      </c>
      <c r="S1448" s="9" t="s">
        <v>101</v>
      </c>
      <c r="T1448" s="9" t="s">
        <v>102</v>
      </c>
    </row>
    <row r="1449" ht="15.75" customHeight="1">
      <c r="A1449" s="9">
        <v>2285571.0</v>
      </c>
      <c r="B1449" s="9">
        <v>8145393.0</v>
      </c>
      <c r="C1449" s="9">
        <v>39591.0</v>
      </c>
      <c r="D1449" s="9" t="s">
        <v>52</v>
      </c>
      <c r="E1449" s="9" t="s">
        <v>53</v>
      </c>
      <c r="F1449" s="9">
        <v>327679.0</v>
      </c>
      <c r="G1449" s="9">
        <v>8636108.08</v>
      </c>
      <c r="H1449" s="9">
        <v>9003542.9</v>
      </c>
      <c r="I1449" s="9">
        <v>9003542.9</v>
      </c>
      <c r="J1449" s="9">
        <v>0.0</v>
      </c>
      <c r="K1449" s="9">
        <v>0.0</v>
      </c>
      <c r="L1449" s="9" t="s">
        <v>69</v>
      </c>
      <c r="M1449" s="9" t="s">
        <v>55</v>
      </c>
      <c r="N1449" s="9">
        <v>8140314.94</v>
      </c>
      <c r="O1449" s="9">
        <v>8140314.94</v>
      </c>
      <c r="P1449" s="9">
        <v>395000.0</v>
      </c>
      <c r="Q1449" s="9">
        <v>395000.0</v>
      </c>
      <c r="R1449" s="9" t="s">
        <v>94</v>
      </c>
      <c r="S1449" s="9" t="s">
        <v>57</v>
      </c>
      <c r="T1449" s="9" t="s">
        <v>95</v>
      </c>
    </row>
    <row r="1450" ht="15.75" customHeight="1">
      <c r="A1450" s="9">
        <v>2287175.0</v>
      </c>
      <c r="B1450" s="9">
        <v>1.71180154E8</v>
      </c>
      <c r="C1450" s="9">
        <v>31452.0</v>
      </c>
      <c r="D1450" s="9" t="s">
        <v>52</v>
      </c>
      <c r="E1450" s="9" t="s">
        <v>53</v>
      </c>
      <c r="F1450" s="9">
        <v>329029.0</v>
      </c>
      <c r="G1450" s="9">
        <v>1.71180154E8</v>
      </c>
      <c r="H1450" s="9">
        <v>1.71180154E8</v>
      </c>
      <c r="I1450" s="9">
        <v>0.0</v>
      </c>
      <c r="J1450" s="9">
        <v>0.0</v>
      </c>
      <c r="K1450" s="9">
        <v>0.0</v>
      </c>
      <c r="L1450" s="9" t="s">
        <v>54</v>
      </c>
      <c r="M1450" s="9" t="s">
        <v>116</v>
      </c>
      <c r="N1450" s="9">
        <v>1354500.0</v>
      </c>
      <c r="O1450" s="9">
        <v>1218250.0</v>
      </c>
      <c r="R1450" s="9" t="s">
        <v>60</v>
      </c>
      <c r="S1450" s="9" t="s">
        <v>57</v>
      </c>
      <c r="T1450" s="9" t="s">
        <v>61</v>
      </c>
      <c r="V1450" s="9">
        <v>1169520.0</v>
      </c>
    </row>
    <row r="1451" ht="15.75" customHeight="1">
      <c r="A1451" s="9">
        <v>2291955.0</v>
      </c>
      <c r="B1451" s="9">
        <v>1.9819934E7</v>
      </c>
      <c r="C1451" s="9">
        <v>37784.0</v>
      </c>
      <c r="D1451" s="9" t="s">
        <v>52</v>
      </c>
      <c r="E1451" s="9" t="s">
        <v>53</v>
      </c>
      <c r="F1451" s="9">
        <v>333380.0</v>
      </c>
      <c r="G1451" s="9">
        <v>1.994421486E7</v>
      </c>
      <c r="H1451" s="9">
        <v>2.479973214E7</v>
      </c>
      <c r="I1451" s="9">
        <v>1.591904327E7</v>
      </c>
      <c r="J1451" s="9">
        <v>0.0</v>
      </c>
      <c r="K1451" s="9">
        <v>0.0</v>
      </c>
      <c r="L1451" s="9" t="s">
        <v>59</v>
      </c>
      <c r="M1451" s="9" t="s">
        <v>55</v>
      </c>
      <c r="N1451" s="9">
        <v>1.915134901E7</v>
      </c>
      <c r="O1451" s="9">
        <v>1.915134901E7</v>
      </c>
      <c r="P1451" s="9">
        <v>593691.82</v>
      </c>
      <c r="Q1451" s="9">
        <v>593691.82</v>
      </c>
      <c r="R1451" s="9" t="s">
        <v>96</v>
      </c>
      <c r="S1451" s="9" t="s">
        <v>78</v>
      </c>
      <c r="T1451" s="9" t="s">
        <v>79</v>
      </c>
      <c r="U1451" s="9" t="s">
        <v>97</v>
      </c>
    </row>
    <row r="1452" ht="15.75" customHeight="1">
      <c r="A1452" s="9">
        <v>2294041.0</v>
      </c>
      <c r="B1452" s="9">
        <v>1063628.5</v>
      </c>
      <c r="C1452" s="9">
        <v>40016.0</v>
      </c>
      <c r="D1452" s="9" t="s">
        <v>52</v>
      </c>
      <c r="E1452" s="9" t="s">
        <v>111</v>
      </c>
      <c r="F1452" s="9">
        <v>335813.0</v>
      </c>
      <c r="G1452" s="9">
        <v>3457522.12</v>
      </c>
      <c r="H1452" s="9">
        <v>3343441.53</v>
      </c>
      <c r="I1452" s="9">
        <v>3045219.8</v>
      </c>
      <c r="J1452" s="9">
        <v>0.0</v>
      </c>
      <c r="K1452" s="9">
        <v>0.0</v>
      </c>
      <c r="L1452" s="9" t="s">
        <v>59</v>
      </c>
      <c r="M1452" s="9" t="s">
        <v>55</v>
      </c>
      <c r="N1452" s="9">
        <v>3066341.79</v>
      </c>
      <c r="O1452" s="9">
        <v>3004317.17</v>
      </c>
      <c r="P1452" s="9">
        <v>259964.04</v>
      </c>
      <c r="Q1452" s="9">
        <v>259868.8</v>
      </c>
      <c r="R1452" s="9" t="s">
        <v>56</v>
      </c>
      <c r="S1452" s="9" t="s">
        <v>57</v>
      </c>
      <c r="T1452" s="9" t="s">
        <v>58</v>
      </c>
    </row>
    <row r="1453" ht="15.75" customHeight="1">
      <c r="A1453" s="9">
        <v>2297267.0</v>
      </c>
      <c r="B1453" s="9">
        <v>2384547.0</v>
      </c>
      <c r="C1453" s="9">
        <v>40316.0</v>
      </c>
      <c r="D1453" s="9" t="s">
        <v>52</v>
      </c>
      <c r="E1453" s="9" t="s">
        <v>53</v>
      </c>
      <c r="F1453" s="9">
        <v>340677.0</v>
      </c>
      <c r="G1453" s="9">
        <v>3393356.0</v>
      </c>
      <c r="H1453" s="9">
        <v>3501601.62</v>
      </c>
      <c r="I1453" s="9">
        <v>3501601.33</v>
      </c>
      <c r="J1453" s="9">
        <v>0.0</v>
      </c>
      <c r="K1453" s="9">
        <v>0.0</v>
      </c>
      <c r="L1453" s="9" t="s">
        <v>59</v>
      </c>
      <c r="M1453" s="9" t="s">
        <v>55</v>
      </c>
      <c r="N1453" s="9">
        <v>3152210.03</v>
      </c>
      <c r="O1453" s="9">
        <v>3151405.83</v>
      </c>
      <c r="P1453" s="9">
        <v>116146.0</v>
      </c>
      <c r="Q1453" s="9">
        <v>116146.0</v>
      </c>
      <c r="R1453" s="9" t="s">
        <v>60</v>
      </c>
      <c r="S1453" s="9" t="s">
        <v>57</v>
      </c>
      <c r="T1453" s="9" t="s">
        <v>61</v>
      </c>
      <c r="V1453" s="9">
        <v>3151405.82</v>
      </c>
      <c r="W1453" s="9">
        <v>117378.95</v>
      </c>
      <c r="X1453" s="9">
        <v>0.0</v>
      </c>
    </row>
    <row r="1454" ht="15.75" customHeight="1">
      <c r="A1454" s="9">
        <v>2300479.0</v>
      </c>
      <c r="B1454" s="9">
        <v>2.4227785E7</v>
      </c>
      <c r="C1454" s="9">
        <v>39540.0</v>
      </c>
      <c r="D1454" s="9" t="s">
        <v>52</v>
      </c>
      <c r="E1454" s="9" t="s">
        <v>53</v>
      </c>
      <c r="F1454" s="9">
        <v>336907.0</v>
      </c>
      <c r="G1454" s="9">
        <v>2.944749869E7</v>
      </c>
      <c r="H1454" s="9">
        <v>3.140004675E7</v>
      </c>
      <c r="I1454" s="9">
        <v>1.478010659E7</v>
      </c>
      <c r="J1454" s="9">
        <v>0.0</v>
      </c>
      <c r="K1454" s="9">
        <v>0.0</v>
      </c>
      <c r="L1454" s="9" t="s">
        <v>59</v>
      </c>
      <c r="M1454" s="9" t="s">
        <v>55</v>
      </c>
      <c r="N1454" s="9">
        <v>2.701105903E7</v>
      </c>
      <c r="O1454" s="9">
        <v>2.701105903E7</v>
      </c>
      <c r="P1454" s="9">
        <v>955800.0</v>
      </c>
      <c r="Q1454" s="9">
        <v>891000.0</v>
      </c>
      <c r="R1454" s="9" t="s">
        <v>77</v>
      </c>
      <c r="S1454" s="9" t="s">
        <v>78</v>
      </c>
      <c r="T1454" s="9" t="s">
        <v>79</v>
      </c>
      <c r="U1454" s="9" t="s">
        <v>80</v>
      </c>
    </row>
    <row r="1455" ht="15.75" customHeight="1">
      <c r="A1455" s="9">
        <v>2300694.0</v>
      </c>
      <c r="B1455" s="9">
        <v>6595041.98</v>
      </c>
      <c r="C1455" s="9">
        <v>44008.0</v>
      </c>
      <c r="D1455" s="9" t="s">
        <v>52</v>
      </c>
      <c r="E1455" s="9" t="s">
        <v>53</v>
      </c>
      <c r="F1455" s="9">
        <v>337890.0</v>
      </c>
      <c r="G1455" s="9">
        <v>6595041.98</v>
      </c>
      <c r="H1455" s="9">
        <v>7457960.75</v>
      </c>
      <c r="I1455" s="9">
        <v>7457960.75</v>
      </c>
      <c r="J1455" s="9">
        <v>0.0</v>
      </c>
      <c r="K1455" s="9">
        <v>0.0</v>
      </c>
      <c r="L1455" s="9" t="s">
        <v>69</v>
      </c>
      <c r="M1455" s="9" t="s">
        <v>55</v>
      </c>
      <c r="N1455" s="9">
        <v>7391851.86</v>
      </c>
      <c r="O1455" s="9">
        <v>6890000.0</v>
      </c>
      <c r="P1455" s="9">
        <v>221750.0</v>
      </c>
      <c r="Q1455" s="9">
        <v>169131.36</v>
      </c>
      <c r="R1455" s="9" t="s">
        <v>72</v>
      </c>
      <c r="S1455" s="9" t="s">
        <v>57</v>
      </c>
      <c r="T1455" s="9" t="s">
        <v>73</v>
      </c>
      <c r="V1455" s="9">
        <v>7288829.39</v>
      </c>
      <c r="W1455" s="9">
        <v>169131.36</v>
      </c>
      <c r="X1455" s="9">
        <v>0.0</v>
      </c>
    </row>
    <row r="1456" ht="15.75" customHeight="1">
      <c r="A1456" s="9">
        <v>2307114.0</v>
      </c>
      <c r="B1456" s="9">
        <v>4793352.0</v>
      </c>
      <c r="C1456" s="9">
        <v>39359.0</v>
      </c>
      <c r="D1456" s="9" t="s">
        <v>52</v>
      </c>
      <c r="E1456" s="9" t="s">
        <v>53</v>
      </c>
      <c r="F1456" s="9">
        <v>345806.0</v>
      </c>
      <c r="G1456" s="9">
        <v>4511510.08</v>
      </c>
      <c r="H1456" s="9">
        <v>4511510.08</v>
      </c>
      <c r="I1456" s="9">
        <v>4419005.23</v>
      </c>
      <c r="J1456" s="9">
        <v>0.0</v>
      </c>
      <c r="K1456" s="9">
        <v>0.0</v>
      </c>
      <c r="L1456" s="9" t="s">
        <v>69</v>
      </c>
      <c r="M1456" s="9" t="s">
        <v>55</v>
      </c>
      <c r="N1456" s="9">
        <v>4201596.0</v>
      </c>
      <c r="O1456" s="9">
        <v>3916742.0</v>
      </c>
      <c r="P1456" s="9">
        <v>229914.0</v>
      </c>
      <c r="Q1456" s="9">
        <v>214326.6</v>
      </c>
      <c r="R1456" s="9" t="s">
        <v>60</v>
      </c>
      <c r="S1456" s="9" t="s">
        <v>57</v>
      </c>
      <c r="T1456" s="9" t="s">
        <v>61</v>
      </c>
      <c r="V1456" s="9">
        <v>4246453.28</v>
      </c>
      <c r="W1456" s="9">
        <v>214326.6</v>
      </c>
      <c r="X1456" s="9">
        <v>0.0</v>
      </c>
    </row>
    <row r="1457" ht="15.75" customHeight="1">
      <c r="A1457" s="9">
        <v>2307596.0</v>
      </c>
      <c r="B1457" s="9">
        <v>2251248.0</v>
      </c>
      <c r="C1457" s="9">
        <v>40601.0</v>
      </c>
      <c r="D1457" s="9" t="s">
        <v>52</v>
      </c>
      <c r="E1457" s="9" t="s">
        <v>53</v>
      </c>
      <c r="F1457" s="9">
        <v>346229.0</v>
      </c>
      <c r="G1457" s="9">
        <v>3333197.54</v>
      </c>
      <c r="H1457" s="9">
        <v>3333197.54</v>
      </c>
      <c r="I1457" s="9">
        <v>3274183.78</v>
      </c>
      <c r="J1457" s="9">
        <v>0.0</v>
      </c>
      <c r="K1457" s="9">
        <v>0.0</v>
      </c>
      <c r="L1457" s="9" t="s">
        <v>69</v>
      </c>
      <c r="M1457" s="9" t="s">
        <v>55</v>
      </c>
      <c r="N1457" s="9">
        <v>3174228.4</v>
      </c>
      <c r="O1457" s="9">
        <v>3174228.4</v>
      </c>
      <c r="P1457" s="9">
        <v>126969.14</v>
      </c>
      <c r="Q1457" s="9">
        <v>126969.14</v>
      </c>
      <c r="R1457" s="9" t="s">
        <v>60</v>
      </c>
      <c r="S1457" s="9" t="s">
        <v>57</v>
      </c>
      <c r="T1457" s="9" t="s">
        <v>61</v>
      </c>
      <c r="V1457" s="9">
        <v>3089047.31</v>
      </c>
      <c r="W1457" s="9">
        <v>144603.64</v>
      </c>
      <c r="X1457" s="9">
        <v>0.0</v>
      </c>
    </row>
    <row r="1458" ht="15.75" customHeight="1">
      <c r="A1458" s="9">
        <v>2309153.0</v>
      </c>
      <c r="B1458" s="9">
        <v>2.1089698E7</v>
      </c>
      <c r="C1458" s="9">
        <v>47188.0</v>
      </c>
      <c r="D1458" s="9" t="s">
        <v>52</v>
      </c>
      <c r="E1458" s="9" t="s">
        <v>53</v>
      </c>
      <c r="F1458" s="9">
        <v>278102.0</v>
      </c>
      <c r="G1458" s="9">
        <v>5.697144765E7</v>
      </c>
      <c r="H1458" s="9">
        <v>5.929019645E7</v>
      </c>
      <c r="I1458" s="9">
        <v>1.775672903E7</v>
      </c>
      <c r="J1458" s="9">
        <v>1.766872903E7</v>
      </c>
      <c r="K1458" s="9">
        <v>5.7875211E7</v>
      </c>
      <c r="L1458" s="9" t="s">
        <v>59</v>
      </c>
      <c r="M1458" s="9" t="s">
        <v>55</v>
      </c>
      <c r="N1458" s="9">
        <v>5.710755944E7</v>
      </c>
      <c r="O1458" s="9">
        <v>5.699615669E7</v>
      </c>
      <c r="P1458" s="9">
        <v>2022001.69</v>
      </c>
      <c r="Q1458" s="9">
        <v>1679289.54</v>
      </c>
      <c r="R1458" s="9" t="s">
        <v>81</v>
      </c>
      <c r="S1458" s="9" t="s">
        <v>82</v>
      </c>
      <c r="T1458" s="9" t="s">
        <v>83</v>
      </c>
      <c r="U1458" s="9" t="s">
        <v>84</v>
      </c>
    </row>
    <row r="1459" ht="15.75" customHeight="1">
      <c r="A1459" s="9">
        <v>2193247.0</v>
      </c>
      <c r="B1459" s="9">
        <v>1.09756009E8</v>
      </c>
      <c r="C1459" s="9">
        <v>45739.0</v>
      </c>
      <c r="D1459" s="9" t="s">
        <v>52</v>
      </c>
      <c r="E1459" s="9" t="s">
        <v>87</v>
      </c>
      <c r="F1459" s="9">
        <v>280513.0</v>
      </c>
      <c r="H1459" s="9">
        <v>2.2384193667E8</v>
      </c>
      <c r="I1459" s="9">
        <v>5.072269839E7</v>
      </c>
      <c r="J1459" s="9">
        <v>5557867.98</v>
      </c>
      <c r="K1459" s="9">
        <v>7531190.0</v>
      </c>
      <c r="L1459" s="9" t="s">
        <v>59</v>
      </c>
      <c r="M1459" s="9" t="s">
        <v>55</v>
      </c>
      <c r="R1459" s="9" t="s">
        <v>115</v>
      </c>
      <c r="S1459" s="9" t="s">
        <v>115</v>
      </c>
      <c r="V1459" s="9">
        <v>2002721.36</v>
      </c>
    </row>
    <row r="1460" ht="15.75" customHeight="1">
      <c r="A1460" s="9">
        <v>2193247.0</v>
      </c>
      <c r="B1460" s="9">
        <v>1.09756009E8</v>
      </c>
      <c r="C1460" s="9">
        <v>45071.0</v>
      </c>
      <c r="D1460" s="9" t="s">
        <v>52</v>
      </c>
      <c r="E1460" s="9" t="s">
        <v>87</v>
      </c>
      <c r="F1460" s="9">
        <v>280513.0</v>
      </c>
      <c r="H1460" s="9">
        <v>2.2384193667E8</v>
      </c>
      <c r="I1460" s="9">
        <v>5.072269839E7</v>
      </c>
      <c r="J1460" s="9">
        <v>5557867.98</v>
      </c>
      <c r="K1460" s="9">
        <v>7531190.0</v>
      </c>
      <c r="L1460" s="9" t="s">
        <v>59</v>
      </c>
      <c r="M1460" s="9" t="s">
        <v>55</v>
      </c>
      <c r="R1460" s="9" t="s">
        <v>115</v>
      </c>
      <c r="S1460" s="9" t="s">
        <v>115</v>
      </c>
      <c r="V1460" s="9">
        <v>1844998.61</v>
      </c>
    </row>
    <row r="1461" ht="15.75" customHeight="1">
      <c r="A1461" s="9">
        <v>2193247.0</v>
      </c>
      <c r="B1461" s="9">
        <v>1.09756009E8</v>
      </c>
      <c r="C1461" s="9">
        <v>38537.0</v>
      </c>
      <c r="D1461" s="9" t="s">
        <v>52</v>
      </c>
      <c r="E1461" s="9" t="s">
        <v>87</v>
      </c>
      <c r="F1461" s="9">
        <v>280513.0</v>
      </c>
      <c r="G1461" s="9">
        <v>1.6674994825E8</v>
      </c>
      <c r="H1461" s="9">
        <v>2.2384193667E8</v>
      </c>
      <c r="I1461" s="9">
        <v>5.072269839E7</v>
      </c>
      <c r="J1461" s="9">
        <v>5557867.98</v>
      </c>
      <c r="K1461" s="9">
        <v>7531190.0</v>
      </c>
      <c r="L1461" s="9" t="s">
        <v>59</v>
      </c>
      <c r="M1461" s="9" t="s">
        <v>55</v>
      </c>
      <c r="R1461" s="9" t="s">
        <v>115</v>
      </c>
      <c r="S1461" s="9" t="s">
        <v>115</v>
      </c>
      <c r="V1461" s="9">
        <v>1060476.42</v>
      </c>
    </row>
    <row r="1462" ht="15.75" customHeight="1">
      <c r="A1462" s="9">
        <v>2193247.0</v>
      </c>
      <c r="B1462" s="9">
        <v>1.09756009E8</v>
      </c>
      <c r="C1462" s="9">
        <v>40977.0</v>
      </c>
      <c r="D1462" s="9" t="s">
        <v>52</v>
      </c>
      <c r="E1462" s="9" t="s">
        <v>87</v>
      </c>
      <c r="F1462" s="9">
        <v>280513.0</v>
      </c>
      <c r="G1462" s="9">
        <v>1.6674994825E8</v>
      </c>
      <c r="H1462" s="9">
        <v>2.2384193667E8</v>
      </c>
      <c r="I1462" s="9">
        <v>5.072269839E7</v>
      </c>
      <c r="J1462" s="9">
        <v>5557867.98</v>
      </c>
      <c r="K1462" s="9">
        <v>7531190.0</v>
      </c>
      <c r="L1462" s="9" t="s">
        <v>59</v>
      </c>
      <c r="M1462" s="9" t="s">
        <v>55</v>
      </c>
      <c r="R1462" s="9" t="s">
        <v>115</v>
      </c>
      <c r="S1462" s="9" t="s">
        <v>115</v>
      </c>
      <c r="V1462" s="9">
        <v>673101.35</v>
      </c>
    </row>
    <row r="1463" ht="15.75" customHeight="1">
      <c r="A1463" s="9">
        <v>2193247.0</v>
      </c>
      <c r="B1463" s="9">
        <v>1.09756009E8</v>
      </c>
      <c r="C1463" s="9">
        <v>45738.0</v>
      </c>
      <c r="D1463" s="9" t="s">
        <v>52</v>
      </c>
      <c r="E1463" s="9" t="s">
        <v>87</v>
      </c>
      <c r="F1463" s="9">
        <v>280513.0</v>
      </c>
      <c r="H1463" s="9">
        <v>2.2384193667E8</v>
      </c>
      <c r="I1463" s="9">
        <v>5.072269839E7</v>
      </c>
      <c r="J1463" s="9">
        <v>5557867.98</v>
      </c>
      <c r="K1463" s="9">
        <v>7531190.0</v>
      </c>
      <c r="L1463" s="9" t="s">
        <v>59</v>
      </c>
      <c r="M1463" s="9" t="s">
        <v>55</v>
      </c>
      <c r="R1463" s="9" t="s">
        <v>115</v>
      </c>
      <c r="S1463" s="9" t="s">
        <v>115</v>
      </c>
      <c r="V1463" s="9">
        <v>1097048.72</v>
      </c>
    </row>
    <row r="1464" ht="15.75" customHeight="1">
      <c r="A1464" s="9">
        <v>2193247.0</v>
      </c>
      <c r="B1464" s="9">
        <v>1.09756009E8</v>
      </c>
      <c r="C1464" s="9">
        <v>45070.0</v>
      </c>
      <c r="D1464" s="9" t="s">
        <v>52</v>
      </c>
      <c r="E1464" s="9" t="s">
        <v>87</v>
      </c>
      <c r="F1464" s="9">
        <v>280513.0</v>
      </c>
      <c r="H1464" s="9">
        <v>2.2384193667E8</v>
      </c>
      <c r="I1464" s="9">
        <v>5.072269839E7</v>
      </c>
      <c r="J1464" s="9">
        <v>5557867.98</v>
      </c>
      <c r="K1464" s="9">
        <v>7531190.0</v>
      </c>
      <c r="L1464" s="9" t="s">
        <v>59</v>
      </c>
      <c r="M1464" s="9" t="s">
        <v>55</v>
      </c>
      <c r="R1464" s="9" t="s">
        <v>115</v>
      </c>
      <c r="S1464" s="9" t="s">
        <v>115</v>
      </c>
    </row>
    <row r="1465" ht="15.75" customHeight="1">
      <c r="A1465" s="9">
        <v>2193247.0</v>
      </c>
      <c r="B1465" s="9">
        <v>1.09756009E8</v>
      </c>
      <c r="C1465" s="9">
        <v>36680.0</v>
      </c>
      <c r="D1465" s="9" t="s">
        <v>52</v>
      </c>
      <c r="E1465" s="9" t="s">
        <v>87</v>
      </c>
      <c r="F1465" s="9">
        <v>280513.0</v>
      </c>
      <c r="G1465" s="9">
        <v>1.6674994825E8</v>
      </c>
      <c r="H1465" s="9">
        <v>2.2384193667E8</v>
      </c>
      <c r="I1465" s="9">
        <v>5.072269839E7</v>
      </c>
      <c r="J1465" s="9">
        <v>5557867.98</v>
      </c>
      <c r="K1465" s="9">
        <v>7531190.0</v>
      </c>
      <c r="L1465" s="9" t="s">
        <v>59</v>
      </c>
      <c r="M1465" s="9" t="s">
        <v>55</v>
      </c>
      <c r="R1465" s="9" t="s">
        <v>115</v>
      </c>
      <c r="S1465" s="9" t="s">
        <v>115</v>
      </c>
    </row>
    <row r="1466" ht="15.75" customHeight="1">
      <c r="A1466" s="9">
        <v>2193247.0</v>
      </c>
      <c r="B1466" s="9">
        <v>1.09756009E8</v>
      </c>
      <c r="C1466" s="9">
        <v>40960.0</v>
      </c>
      <c r="D1466" s="9" t="s">
        <v>52</v>
      </c>
      <c r="E1466" s="9" t="s">
        <v>87</v>
      </c>
      <c r="F1466" s="9">
        <v>280513.0</v>
      </c>
      <c r="G1466" s="9">
        <v>1.6674994825E8</v>
      </c>
      <c r="H1466" s="9">
        <v>2.2384193667E8</v>
      </c>
      <c r="I1466" s="9">
        <v>5.072269839E7</v>
      </c>
      <c r="J1466" s="9">
        <v>5557867.98</v>
      </c>
      <c r="K1466" s="9">
        <v>7531190.0</v>
      </c>
      <c r="L1466" s="9" t="s">
        <v>59</v>
      </c>
      <c r="M1466" s="9" t="s">
        <v>55</v>
      </c>
      <c r="R1466" s="9" t="s">
        <v>115</v>
      </c>
      <c r="S1466" s="9" t="s">
        <v>115</v>
      </c>
      <c r="V1466" s="9">
        <v>787145.07</v>
      </c>
    </row>
    <row r="1467" ht="15.75" customHeight="1">
      <c r="A1467" s="9">
        <v>2193247.0</v>
      </c>
      <c r="B1467" s="9">
        <v>1.09756009E8</v>
      </c>
      <c r="C1467" s="9">
        <v>36692.0</v>
      </c>
      <c r="D1467" s="9" t="s">
        <v>52</v>
      </c>
      <c r="E1467" s="9" t="s">
        <v>87</v>
      </c>
      <c r="F1467" s="9">
        <v>280513.0</v>
      </c>
      <c r="G1467" s="9">
        <v>1.6674994825E8</v>
      </c>
      <c r="H1467" s="9">
        <v>2.2384193667E8</v>
      </c>
      <c r="I1467" s="9">
        <v>5.072269839E7</v>
      </c>
      <c r="J1467" s="9">
        <v>5557867.98</v>
      </c>
      <c r="K1467" s="9">
        <v>7531190.0</v>
      </c>
      <c r="L1467" s="9" t="s">
        <v>59</v>
      </c>
      <c r="M1467" s="9" t="s">
        <v>55</v>
      </c>
      <c r="R1467" s="9" t="s">
        <v>115</v>
      </c>
      <c r="S1467" s="9" t="s">
        <v>115</v>
      </c>
    </row>
    <row r="1468" ht="15.75" customHeight="1">
      <c r="A1468" s="9">
        <v>2193247.0</v>
      </c>
      <c r="B1468" s="9">
        <v>1.09756009E8</v>
      </c>
      <c r="C1468" s="9">
        <v>36674.0</v>
      </c>
      <c r="D1468" s="9" t="s">
        <v>52</v>
      </c>
      <c r="E1468" s="9" t="s">
        <v>87</v>
      </c>
      <c r="F1468" s="9">
        <v>280513.0</v>
      </c>
      <c r="G1468" s="9">
        <v>1.6674994825E8</v>
      </c>
      <c r="H1468" s="9">
        <v>2.2384193667E8</v>
      </c>
      <c r="I1468" s="9">
        <v>5.072269839E7</v>
      </c>
      <c r="J1468" s="9">
        <v>5557867.98</v>
      </c>
      <c r="K1468" s="9">
        <v>7531190.0</v>
      </c>
      <c r="L1468" s="9" t="s">
        <v>59</v>
      </c>
      <c r="M1468" s="9" t="s">
        <v>55</v>
      </c>
      <c r="R1468" s="9" t="s">
        <v>115</v>
      </c>
      <c r="S1468" s="9" t="s">
        <v>115</v>
      </c>
      <c r="V1468" s="9">
        <v>776719.15</v>
      </c>
    </row>
    <row r="1469" ht="15.75" customHeight="1">
      <c r="A1469" s="9">
        <v>2193247.0</v>
      </c>
      <c r="B1469" s="9">
        <v>1.09756009E8</v>
      </c>
      <c r="C1469" s="9">
        <v>45061.0</v>
      </c>
      <c r="D1469" s="9" t="s">
        <v>52</v>
      </c>
      <c r="E1469" s="9" t="s">
        <v>87</v>
      </c>
      <c r="F1469" s="9">
        <v>280513.0</v>
      </c>
      <c r="H1469" s="9">
        <v>2.2384193667E8</v>
      </c>
      <c r="I1469" s="9">
        <v>5.072269839E7</v>
      </c>
      <c r="J1469" s="9">
        <v>5557867.98</v>
      </c>
      <c r="K1469" s="9">
        <v>7531190.0</v>
      </c>
      <c r="L1469" s="9" t="s">
        <v>59</v>
      </c>
      <c r="M1469" s="9" t="s">
        <v>55</v>
      </c>
      <c r="R1469" s="9" t="s">
        <v>115</v>
      </c>
      <c r="S1469" s="9" t="s">
        <v>115</v>
      </c>
    </row>
    <row r="1470" ht="15.75" customHeight="1">
      <c r="A1470" s="9">
        <v>2193247.0</v>
      </c>
      <c r="B1470" s="9">
        <v>1.09756009E8</v>
      </c>
      <c r="C1470" s="9">
        <v>36691.0</v>
      </c>
      <c r="D1470" s="9" t="s">
        <v>52</v>
      </c>
      <c r="E1470" s="9" t="s">
        <v>87</v>
      </c>
      <c r="F1470" s="9">
        <v>280513.0</v>
      </c>
      <c r="G1470" s="9">
        <v>1.6674994825E8</v>
      </c>
      <c r="H1470" s="9">
        <v>2.2384193667E8</v>
      </c>
      <c r="I1470" s="9">
        <v>5.072269839E7</v>
      </c>
      <c r="J1470" s="9">
        <v>5557867.98</v>
      </c>
      <c r="K1470" s="9">
        <v>7531190.0</v>
      </c>
      <c r="L1470" s="9" t="s">
        <v>59</v>
      </c>
      <c r="M1470" s="9" t="s">
        <v>55</v>
      </c>
      <c r="R1470" s="9" t="s">
        <v>56</v>
      </c>
      <c r="S1470" s="9" t="s">
        <v>57</v>
      </c>
      <c r="T1470" s="9" t="s">
        <v>58</v>
      </c>
    </row>
    <row r="1471" ht="15.75" customHeight="1">
      <c r="A1471" s="9">
        <v>2193247.0</v>
      </c>
      <c r="B1471" s="9">
        <v>1.09756009E8</v>
      </c>
      <c r="C1471" s="9">
        <v>42385.0</v>
      </c>
      <c r="D1471" s="9" t="s">
        <v>52</v>
      </c>
      <c r="E1471" s="9" t="s">
        <v>87</v>
      </c>
      <c r="F1471" s="9">
        <v>280513.0</v>
      </c>
      <c r="H1471" s="9">
        <v>2.2384193667E8</v>
      </c>
      <c r="I1471" s="9">
        <v>5.072269839E7</v>
      </c>
      <c r="J1471" s="9">
        <v>5557867.98</v>
      </c>
      <c r="K1471" s="9">
        <v>7531190.0</v>
      </c>
      <c r="L1471" s="9" t="s">
        <v>59</v>
      </c>
      <c r="M1471" s="9" t="s">
        <v>55</v>
      </c>
      <c r="R1471" s="9" t="s">
        <v>115</v>
      </c>
      <c r="S1471" s="9" t="s">
        <v>115</v>
      </c>
      <c r="V1471" s="9">
        <v>1504932.59</v>
      </c>
    </row>
    <row r="1472" ht="15.75" customHeight="1">
      <c r="A1472" s="9">
        <v>2193247.0</v>
      </c>
      <c r="B1472" s="9">
        <v>1.09756009E8</v>
      </c>
      <c r="C1472" s="9">
        <v>36678.0</v>
      </c>
      <c r="D1472" s="9" t="s">
        <v>52</v>
      </c>
      <c r="E1472" s="9" t="s">
        <v>87</v>
      </c>
      <c r="F1472" s="9">
        <v>280513.0</v>
      </c>
      <c r="G1472" s="9">
        <v>1.6674994825E8</v>
      </c>
      <c r="H1472" s="9">
        <v>2.2384193667E8</v>
      </c>
      <c r="I1472" s="9">
        <v>5.072269839E7</v>
      </c>
      <c r="J1472" s="9">
        <v>5557867.98</v>
      </c>
      <c r="K1472" s="9">
        <v>7531190.0</v>
      </c>
      <c r="L1472" s="9" t="s">
        <v>59</v>
      </c>
      <c r="M1472" s="9" t="s">
        <v>55</v>
      </c>
      <c r="R1472" s="9" t="s">
        <v>115</v>
      </c>
      <c r="S1472" s="9" t="s">
        <v>115</v>
      </c>
      <c r="V1472" s="9">
        <v>1667974.36</v>
      </c>
    </row>
    <row r="1473" ht="15.75" customHeight="1">
      <c r="A1473" s="9">
        <v>2193247.0</v>
      </c>
      <c r="B1473" s="9">
        <v>1.09756009E8</v>
      </c>
      <c r="C1473" s="9">
        <v>38984.0</v>
      </c>
      <c r="D1473" s="9" t="s">
        <v>52</v>
      </c>
      <c r="E1473" s="9" t="s">
        <v>87</v>
      </c>
      <c r="F1473" s="9">
        <v>280513.0</v>
      </c>
      <c r="G1473" s="9">
        <v>1.6674994825E8</v>
      </c>
      <c r="H1473" s="9">
        <v>2.2384193667E8</v>
      </c>
      <c r="I1473" s="9">
        <v>5.072269839E7</v>
      </c>
      <c r="J1473" s="9">
        <v>5557867.98</v>
      </c>
      <c r="K1473" s="9">
        <v>7531190.0</v>
      </c>
      <c r="L1473" s="9" t="s">
        <v>59</v>
      </c>
      <c r="M1473" s="9" t="s">
        <v>55</v>
      </c>
      <c r="R1473" s="9" t="s">
        <v>115</v>
      </c>
      <c r="S1473" s="9" t="s">
        <v>115</v>
      </c>
      <c r="V1473" s="9">
        <v>1314326.18</v>
      </c>
    </row>
    <row r="1474" ht="15.75" customHeight="1">
      <c r="A1474" s="9">
        <v>2193247.0</v>
      </c>
      <c r="B1474" s="9">
        <v>1.09756009E8</v>
      </c>
      <c r="C1474" s="9">
        <v>41617.0</v>
      </c>
      <c r="D1474" s="9" t="s">
        <v>52</v>
      </c>
      <c r="E1474" s="9" t="s">
        <v>87</v>
      </c>
      <c r="F1474" s="9">
        <v>280513.0</v>
      </c>
      <c r="G1474" s="9">
        <v>1.6674994825E8</v>
      </c>
      <c r="H1474" s="9">
        <v>2.2384193667E8</v>
      </c>
      <c r="I1474" s="9">
        <v>5.072269839E7</v>
      </c>
      <c r="J1474" s="9">
        <v>5557867.98</v>
      </c>
      <c r="K1474" s="9">
        <v>7531190.0</v>
      </c>
      <c r="L1474" s="9" t="s">
        <v>59</v>
      </c>
      <c r="M1474" s="9" t="s">
        <v>55</v>
      </c>
      <c r="R1474" s="9" t="s">
        <v>115</v>
      </c>
      <c r="S1474" s="9" t="s">
        <v>115</v>
      </c>
      <c r="V1474" s="9">
        <v>1383261.25</v>
      </c>
    </row>
    <row r="1475" ht="15.75" customHeight="1">
      <c r="A1475" s="9">
        <v>2193247.0</v>
      </c>
      <c r="B1475" s="9">
        <v>1.09756009E8</v>
      </c>
      <c r="C1475" s="9">
        <v>46497.0</v>
      </c>
      <c r="D1475" s="9" t="s">
        <v>52</v>
      </c>
      <c r="E1475" s="9" t="s">
        <v>87</v>
      </c>
      <c r="F1475" s="9">
        <v>280513.0</v>
      </c>
      <c r="H1475" s="9">
        <v>2.2384193667E8</v>
      </c>
      <c r="I1475" s="9">
        <v>5.072269839E7</v>
      </c>
      <c r="J1475" s="9">
        <v>5557867.98</v>
      </c>
      <c r="K1475" s="9">
        <v>7531190.0</v>
      </c>
      <c r="L1475" s="9" t="s">
        <v>59</v>
      </c>
      <c r="M1475" s="9" t="s">
        <v>55</v>
      </c>
      <c r="R1475" s="9" t="s">
        <v>115</v>
      </c>
      <c r="S1475" s="9" t="s">
        <v>115</v>
      </c>
      <c r="V1475" s="9">
        <v>0.0</v>
      </c>
    </row>
    <row r="1476" ht="15.75" customHeight="1">
      <c r="A1476" s="9">
        <v>2193247.0</v>
      </c>
      <c r="B1476" s="9">
        <v>1.09756009E8</v>
      </c>
      <c r="C1476" s="9">
        <v>45068.0</v>
      </c>
      <c r="D1476" s="9" t="s">
        <v>52</v>
      </c>
      <c r="E1476" s="9" t="s">
        <v>87</v>
      </c>
      <c r="F1476" s="9">
        <v>280513.0</v>
      </c>
      <c r="H1476" s="9">
        <v>2.2384193667E8</v>
      </c>
      <c r="I1476" s="9">
        <v>5.072269839E7</v>
      </c>
      <c r="J1476" s="9">
        <v>5557867.98</v>
      </c>
      <c r="K1476" s="9">
        <v>7531190.0</v>
      </c>
      <c r="L1476" s="9" t="s">
        <v>59</v>
      </c>
      <c r="M1476" s="9" t="s">
        <v>55</v>
      </c>
      <c r="R1476" s="9" t="s">
        <v>115</v>
      </c>
      <c r="S1476" s="9" t="s">
        <v>115</v>
      </c>
    </row>
    <row r="1477" ht="15.75" customHeight="1">
      <c r="A1477" s="9">
        <v>2193247.0</v>
      </c>
      <c r="B1477" s="9">
        <v>1.09756009E8</v>
      </c>
      <c r="C1477" s="9">
        <v>43464.0</v>
      </c>
      <c r="D1477" s="9" t="s">
        <v>52</v>
      </c>
      <c r="E1477" s="9" t="s">
        <v>87</v>
      </c>
      <c r="F1477" s="9">
        <v>280513.0</v>
      </c>
      <c r="H1477" s="9">
        <v>2.2384193667E8</v>
      </c>
      <c r="I1477" s="9">
        <v>5.072269839E7</v>
      </c>
      <c r="J1477" s="9">
        <v>5557867.98</v>
      </c>
      <c r="K1477" s="9">
        <v>7531190.0</v>
      </c>
      <c r="L1477" s="9" t="s">
        <v>59</v>
      </c>
      <c r="M1477" s="9" t="s">
        <v>55</v>
      </c>
      <c r="R1477" s="9" t="s">
        <v>115</v>
      </c>
      <c r="S1477" s="9" t="s">
        <v>115</v>
      </c>
      <c r="V1477" s="9">
        <v>1768625.385</v>
      </c>
    </row>
    <row r="1478" ht="15.75" customHeight="1">
      <c r="A1478" s="9">
        <v>2193247.0</v>
      </c>
      <c r="B1478" s="9">
        <v>1.09756009E8</v>
      </c>
      <c r="C1478" s="9">
        <v>42383.0</v>
      </c>
      <c r="D1478" s="9" t="s">
        <v>52</v>
      </c>
      <c r="E1478" s="9" t="s">
        <v>87</v>
      </c>
      <c r="F1478" s="9">
        <v>280513.0</v>
      </c>
      <c r="H1478" s="9">
        <v>2.2384193667E8</v>
      </c>
      <c r="I1478" s="9">
        <v>5.072269839E7</v>
      </c>
      <c r="J1478" s="9">
        <v>5557867.98</v>
      </c>
      <c r="K1478" s="9">
        <v>7531190.0</v>
      </c>
      <c r="L1478" s="9" t="s">
        <v>59</v>
      </c>
      <c r="M1478" s="9" t="s">
        <v>55</v>
      </c>
      <c r="R1478" s="9" t="s">
        <v>115</v>
      </c>
      <c r="S1478" s="9" t="s">
        <v>115</v>
      </c>
    </row>
    <row r="1479" ht="15.75" customHeight="1">
      <c r="A1479" s="9">
        <v>2193247.0</v>
      </c>
      <c r="B1479" s="9">
        <v>1.09756009E8</v>
      </c>
      <c r="C1479" s="9">
        <v>42387.0</v>
      </c>
      <c r="D1479" s="9" t="s">
        <v>52</v>
      </c>
      <c r="E1479" s="9" t="s">
        <v>87</v>
      </c>
      <c r="F1479" s="9">
        <v>280513.0</v>
      </c>
      <c r="H1479" s="9">
        <v>2.2384193667E8</v>
      </c>
      <c r="I1479" s="9">
        <v>5.072269839E7</v>
      </c>
      <c r="J1479" s="9">
        <v>5557867.98</v>
      </c>
      <c r="K1479" s="9">
        <v>7531190.0</v>
      </c>
      <c r="L1479" s="9" t="s">
        <v>59</v>
      </c>
      <c r="M1479" s="9" t="s">
        <v>55</v>
      </c>
      <c r="R1479" s="9" t="s">
        <v>115</v>
      </c>
      <c r="S1479" s="9" t="s">
        <v>115</v>
      </c>
      <c r="V1479" s="9">
        <v>1725498.86</v>
      </c>
    </row>
    <row r="1480" ht="15.75" customHeight="1">
      <c r="A1480" s="9">
        <v>2193247.0</v>
      </c>
      <c r="B1480" s="9">
        <v>1.09756009E8</v>
      </c>
      <c r="C1480" s="9">
        <v>42388.0</v>
      </c>
      <c r="D1480" s="9" t="s">
        <v>52</v>
      </c>
      <c r="E1480" s="9" t="s">
        <v>87</v>
      </c>
      <c r="F1480" s="9">
        <v>280513.0</v>
      </c>
      <c r="H1480" s="9">
        <v>2.2384193667E8</v>
      </c>
      <c r="I1480" s="9">
        <v>5.072269839E7</v>
      </c>
      <c r="J1480" s="9">
        <v>5557867.98</v>
      </c>
      <c r="K1480" s="9">
        <v>7531190.0</v>
      </c>
      <c r="L1480" s="9" t="s">
        <v>59</v>
      </c>
      <c r="M1480" s="9" t="s">
        <v>55</v>
      </c>
      <c r="R1480" s="9" t="s">
        <v>115</v>
      </c>
      <c r="S1480" s="9" t="s">
        <v>115</v>
      </c>
    </row>
    <row r="1481" ht="15.75" customHeight="1">
      <c r="A1481" s="9">
        <v>2193247.0</v>
      </c>
      <c r="B1481" s="9">
        <v>1.09756009E8</v>
      </c>
      <c r="C1481" s="9">
        <v>40969.0</v>
      </c>
      <c r="D1481" s="9" t="s">
        <v>52</v>
      </c>
      <c r="E1481" s="9" t="s">
        <v>87</v>
      </c>
      <c r="F1481" s="9">
        <v>280513.0</v>
      </c>
      <c r="G1481" s="9">
        <v>1.6674994825E8</v>
      </c>
      <c r="H1481" s="9">
        <v>2.2384193667E8</v>
      </c>
      <c r="I1481" s="9">
        <v>5.072269839E7</v>
      </c>
      <c r="J1481" s="9">
        <v>5557867.98</v>
      </c>
      <c r="K1481" s="9">
        <v>7531190.0</v>
      </c>
      <c r="L1481" s="9" t="s">
        <v>59</v>
      </c>
      <c r="M1481" s="9" t="s">
        <v>55</v>
      </c>
      <c r="R1481" s="9" t="s">
        <v>115</v>
      </c>
      <c r="S1481" s="9" t="s">
        <v>115</v>
      </c>
      <c r="V1481" s="9">
        <v>1289040.87</v>
      </c>
    </row>
    <row r="1482" ht="15.75" customHeight="1">
      <c r="A1482" s="9">
        <v>2193247.0</v>
      </c>
      <c r="B1482" s="9">
        <v>0.0</v>
      </c>
      <c r="C1482" s="9">
        <v>42391.0</v>
      </c>
      <c r="D1482" s="9" t="s">
        <v>52</v>
      </c>
      <c r="E1482" s="9" t="s">
        <v>87</v>
      </c>
      <c r="F1482" s="9">
        <v>280513.0</v>
      </c>
      <c r="H1482" s="9">
        <v>2.2384193667E8</v>
      </c>
      <c r="I1482" s="9">
        <v>5.072269839E7</v>
      </c>
      <c r="J1482" s="9">
        <v>5557867.98</v>
      </c>
      <c r="K1482" s="9">
        <v>7531190.0</v>
      </c>
      <c r="L1482" s="9" t="s">
        <v>59</v>
      </c>
      <c r="M1482" s="9" t="s">
        <v>55</v>
      </c>
      <c r="R1482" s="9" t="s">
        <v>115</v>
      </c>
      <c r="S1482" s="9" t="s">
        <v>115</v>
      </c>
      <c r="V1482" s="9">
        <v>2310628.05</v>
      </c>
    </row>
    <row r="1483" ht="15.75" customHeight="1">
      <c r="A1483" s="9">
        <v>2193247.0</v>
      </c>
      <c r="B1483" s="9">
        <v>1.09756009E8</v>
      </c>
      <c r="C1483" s="9">
        <v>36690.0</v>
      </c>
      <c r="D1483" s="9" t="s">
        <v>52</v>
      </c>
      <c r="E1483" s="9" t="s">
        <v>87</v>
      </c>
      <c r="F1483" s="9">
        <v>280513.0</v>
      </c>
      <c r="G1483" s="9">
        <v>1.6674994825E8</v>
      </c>
      <c r="H1483" s="9">
        <v>2.2384193667E8</v>
      </c>
      <c r="I1483" s="9">
        <v>5.072269839E7</v>
      </c>
      <c r="J1483" s="9">
        <v>5557867.98</v>
      </c>
      <c r="K1483" s="9">
        <v>7531190.0</v>
      </c>
      <c r="L1483" s="9" t="s">
        <v>59</v>
      </c>
      <c r="M1483" s="9" t="s">
        <v>55</v>
      </c>
      <c r="R1483" s="9" t="s">
        <v>115</v>
      </c>
      <c r="S1483" s="9" t="s">
        <v>115</v>
      </c>
    </row>
    <row r="1484" ht="15.75" customHeight="1">
      <c r="A1484" s="9">
        <v>2185570.0</v>
      </c>
      <c r="B1484" s="9">
        <v>4522310.0</v>
      </c>
      <c r="C1484" s="9">
        <v>32316.0</v>
      </c>
      <c r="D1484" s="9" t="s">
        <v>52</v>
      </c>
      <c r="E1484" s="9" t="s">
        <v>53</v>
      </c>
      <c r="F1484" s="9">
        <v>274697.0</v>
      </c>
      <c r="G1484" s="9">
        <v>4541758.3</v>
      </c>
      <c r="H1484" s="9">
        <v>4541758.3</v>
      </c>
      <c r="I1484" s="9">
        <v>4388307.36</v>
      </c>
      <c r="J1484" s="9">
        <v>0.0</v>
      </c>
      <c r="K1484" s="9">
        <v>0.0</v>
      </c>
      <c r="L1484" s="9" t="s">
        <v>59</v>
      </c>
      <c r="M1484" s="9" t="s">
        <v>55</v>
      </c>
      <c r="N1484" s="9">
        <v>3439183.9</v>
      </c>
      <c r="O1484" s="9">
        <v>3439183.9</v>
      </c>
      <c r="P1484" s="9">
        <v>171959.2</v>
      </c>
      <c r="Q1484" s="9">
        <v>171959.2</v>
      </c>
      <c r="R1484" s="9" t="s">
        <v>60</v>
      </c>
      <c r="S1484" s="9" t="s">
        <v>57</v>
      </c>
      <c r="T1484" s="9" t="s">
        <v>61</v>
      </c>
      <c r="V1484" s="9">
        <v>4079256.25</v>
      </c>
      <c r="W1484" s="9">
        <v>197753.08</v>
      </c>
      <c r="X1484" s="9">
        <v>0.0</v>
      </c>
    </row>
    <row r="1485" ht="15.75" customHeight="1">
      <c r="A1485" s="9">
        <v>2188095.0</v>
      </c>
      <c r="B1485" s="9">
        <v>3525126.0</v>
      </c>
      <c r="C1485" s="9">
        <v>32165.0</v>
      </c>
      <c r="D1485" s="9" t="s">
        <v>52</v>
      </c>
      <c r="E1485" s="9" t="s">
        <v>53</v>
      </c>
      <c r="F1485" s="9">
        <v>275110.0</v>
      </c>
      <c r="G1485" s="9">
        <v>3863260.71</v>
      </c>
      <c r="H1485" s="9">
        <v>3863260.71</v>
      </c>
      <c r="I1485" s="9">
        <v>3782284.36</v>
      </c>
      <c r="J1485" s="9">
        <v>0.0</v>
      </c>
      <c r="K1485" s="9">
        <v>0.0</v>
      </c>
      <c r="L1485" s="9" t="s">
        <v>69</v>
      </c>
      <c r="M1485" s="9" t="s">
        <v>55</v>
      </c>
      <c r="N1485" s="9">
        <v>3278971.56</v>
      </c>
      <c r="O1485" s="9">
        <v>3056660.0</v>
      </c>
      <c r="P1485" s="9">
        <v>163948.58</v>
      </c>
      <c r="Q1485" s="9">
        <v>138939.47</v>
      </c>
      <c r="R1485" s="9" t="s">
        <v>60</v>
      </c>
      <c r="S1485" s="9" t="s">
        <v>57</v>
      </c>
      <c r="T1485" s="9" t="s">
        <v>61</v>
      </c>
      <c r="V1485" s="9">
        <v>3544360.7</v>
      </c>
      <c r="W1485" s="9">
        <v>171937.57</v>
      </c>
      <c r="X1485" s="9">
        <v>0.0</v>
      </c>
    </row>
    <row r="1486" ht="15.75" customHeight="1">
      <c r="A1486" s="9">
        <v>2188346.0</v>
      </c>
      <c r="B1486" s="9">
        <v>2440591.0</v>
      </c>
      <c r="C1486" s="9">
        <v>32161.0</v>
      </c>
      <c r="D1486" s="9" t="s">
        <v>52</v>
      </c>
      <c r="E1486" s="9" t="s">
        <v>53</v>
      </c>
      <c r="F1486" s="9">
        <v>269537.0</v>
      </c>
      <c r="G1486" s="9">
        <v>3183911.75</v>
      </c>
      <c r="H1486" s="9">
        <v>3183911.75</v>
      </c>
      <c r="I1486" s="9">
        <v>3182782.93</v>
      </c>
      <c r="J1486" s="9">
        <v>0.0</v>
      </c>
      <c r="K1486" s="9">
        <v>0.0</v>
      </c>
      <c r="L1486" s="9" t="s">
        <v>59</v>
      </c>
      <c r="M1486" s="9" t="s">
        <v>55</v>
      </c>
      <c r="N1486" s="9">
        <v>2856775.33</v>
      </c>
      <c r="O1486" s="9">
        <v>2856775.33</v>
      </c>
      <c r="P1486" s="9">
        <v>142010.0</v>
      </c>
      <c r="Q1486" s="9">
        <v>142010.0</v>
      </c>
      <c r="R1486" s="9" t="s">
        <v>60</v>
      </c>
      <c r="S1486" s="9" t="s">
        <v>57</v>
      </c>
      <c r="T1486" s="9" t="s">
        <v>61</v>
      </c>
      <c r="V1486" s="9">
        <v>2954471.43</v>
      </c>
      <c r="W1486" s="9">
        <v>163311.5</v>
      </c>
      <c r="X1486" s="9">
        <v>0.0</v>
      </c>
    </row>
    <row r="1487" ht="15.75" customHeight="1">
      <c r="A1487" s="9">
        <v>2189665.0</v>
      </c>
      <c r="B1487" s="9">
        <v>4783279.0</v>
      </c>
      <c r="C1487" s="9">
        <v>44341.0</v>
      </c>
      <c r="D1487" s="9" t="s">
        <v>52</v>
      </c>
      <c r="E1487" s="9" t="s">
        <v>53</v>
      </c>
      <c r="F1487" s="9">
        <v>227026.0</v>
      </c>
      <c r="G1487" s="9">
        <v>5447799.9</v>
      </c>
      <c r="H1487" s="9">
        <v>5447799.9</v>
      </c>
      <c r="I1487" s="9">
        <v>4478675.34</v>
      </c>
      <c r="J1487" s="9">
        <v>0.0</v>
      </c>
      <c r="K1487" s="9">
        <v>0.0</v>
      </c>
      <c r="L1487" s="9" t="s">
        <v>59</v>
      </c>
      <c r="M1487" s="9" t="s">
        <v>62</v>
      </c>
      <c r="N1487" s="9">
        <v>1127431.8</v>
      </c>
      <c r="O1487" s="9">
        <v>1014688.62</v>
      </c>
      <c r="R1487" s="9" t="s">
        <v>56</v>
      </c>
      <c r="S1487" s="9" t="s">
        <v>57</v>
      </c>
      <c r="T1487" s="9" t="s">
        <v>58</v>
      </c>
    </row>
    <row r="1488" ht="15.75" customHeight="1">
      <c r="A1488" s="9">
        <v>2190201.0</v>
      </c>
      <c r="B1488" s="9">
        <v>3.3537851E7</v>
      </c>
      <c r="C1488" s="9">
        <v>40593.0</v>
      </c>
      <c r="D1488" s="9" t="s">
        <v>52</v>
      </c>
      <c r="E1488" s="9" t="s">
        <v>53</v>
      </c>
      <c r="F1488" s="9">
        <v>246531.0</v>
      </c>
      <c r="G1488" s="9">
        <v>4.01895E7</v>
      </c>
      <c r="H1488" s="9">
        <v>4.32776826E7</v>
      </c>
      <c r="I1488" s="9">
        <v>3.224472293E7</v>
      </c>
      <c r="J1488" s="9">
        <v>42800.0</v>
      </c>
      <c r="K1488" s="9">
        <v>52800.0</v>
      </c>
      <c r="L1488" s="9" t="s">
        <v>59</v>
      </c>
      <c r="M1488" s="9" t="s">
        <v>55</v>
      </c>
      <c r="N1488" s="9">
        <v>3.665515955E7</v>
      </c>
      <c r="O1488" s="9">
        <v>3.665515955E7</v>
      </c>
      <c r="P1488" s="9">
        <v>1237376.94</v>
      </c>
      <c r="Q1488" s="9">
        <v>1237376.94</v>
      </c>
      <c r="R1488" s="9" t="s">
        <v>77</v>
      </c>
      <c r="S1488" s="9" t="s">
        <v>78</v>
      </c>
      <c r="T1488" s="9" t="s">
        <v>79</v>
      </c>
      <c r="U1488" s="9" t="s">
        <v>80</v>
      </c>
    </row>
    <row r="1489" ht="15.75" customHeight="1">
      <c r="A1489" s="9">
        <v>2190369.0</v>
      </c>
      <c r="B1489" s="9">
        <v>6371482.0</v>
      </c>
      <c r="C1489" s="9">
        <v>40284.0</v>
      </c>
      <c r="D1489" s="9" t="s">
        <v>52</v>
      </c>
      <c r="E1489" s="9" t="s">
        <v>53</v>
      </c>
      <c r="F1489" s="9">
        <v>141253.0</v>
      </c>
      <c r="G1489" s="9">
        <v>1.037006707E7</v>
      </c>
      <c r="H1489" s="9">
        <v>1.026411705E7</v>
      </c>
      <c r="I1489" s="9">
        <v>9530541.25</v>
      </c>
      <c r="J1489" s="9">
        <v>0.0</v>
      </c>
      <c r="K1489" s="9">
        <v>0.0</v>
      </c>
      <c r="L1489" s="9" t="s">
        <v>59</v>
      </c>
      <c r="M1489" s="9" t="s">
        <v>55</v>
      </c>
      <c r="N1489" s="9">
        <v>9546084.49</v>
      </c>
      <c r="O1489" s="9">
        <v>9405318.18</v>
      </c>
      <c r="P1489" s="9">
        <v>668225.91</v>
      </c>
      <c r="Q1489" s="9">
        <v>628132.36</v>
      </c>
      <c r="R1489" s="9" t="s">
        <v>94</v>
      </c>
      <c r="S1489" s="9" t="s">
        <v>57</v>
      </c>
      <c r="T1489" s="9" t="s">
        <v>95</v>
      </c>
    </row>
    <row r="1490" ht="15.75" customHeight="1">
      <c r="A1490" s="9">
        <v>2196551.0</v>
      </c>
      <c r="B1490" s="9">
        <v>7346253.19</v>
      </c>
      <c r="C1490" s="9">
        <v>43998.0</v>
      </c>
      <c r="D1490" s="9" t="s">
        <v>52</v>
      </c>
      <c r="E1490" s="9" t="s">
        <v>53</v>
      </c>
      <c r="F1490" s="9">
        <v>262915.0</v>
      </c>
      <c r="G1490" s="9">
        <v>7346253.19</v>
      </c>
      <c r="H1490" s="9">
        <v>7498706.67</v>
      </c>
      <c r="I1490" s="9">
        <v>6814849.59</v>
      </c>
      <c r="J1490" s="9">
        <v>0.0</v>
      </c>
      <c r="K1490" s="9">
        <v>0.0</v>
      </c>
      <c r="L1490" s="9" t="s">
        <v>59</v>
      </c>
      <c r="M1490" s="9" t="s">
        <v>55</v>
      </c>
      <c r="N1490" s="9">
        <v>7550608.05</v>
      </c>
      <c r="O1490" s="9">
        <v>6795547.25</v>
      </c>
      <c r="P1490" s="9">
        <v>206751.04</v>
      </c>
      <c r="Q1490" s="9">
        <v>186076.0</v>
      </c>
      <c r="R1490" s="9" t="s">
        <v>70</v>
      </c>
      <c r="S1490" s="9" t="s">
        <v>57</v>
      </c>
      <c r="T1490" s="9" t="s">
        <v>71</v>
      </c>
    </row>
    <row r="1491" ht="15.75" customHeight="1">
      <c r="A1491" s="9">
        <v>2200678.0</v>
      </c>
      <c r="B1491" s="9">
        <v>863942.09</v>
      </c>
      <c r="C1491" s="9">
        <v>44246.0</v>
      </c>
      <c r="D1491" s="9" t="s">
        <v>52</v>
      </c>
      <c r="E1491" s="9" t="s">
        <v>53</v>
      </c>
      <c r="F1491" s="9">
        <v>206175.0</v>
      </c>
      <c r="G1491" s="9">
        <v>1086098.38</v>
      </c>
      <c r="H1491" s="9">
        <v>1556315.28</v>
      </c>
      <c r="I1491" s="9">
        <v>1475547.86</v>
      </c>
      <c r="J1491" s="9">
        <v>0.0</v>
      </c>
      <c r="K1491" s="9">
        <v>0.0</v>
      </c>
      <c r="L1491" s="9" t="s">
        <v>59</v>
      </c>
      <c r="M1491" s="9" t="s">
        <v>55</v>
      </c>
      <c r="N1491" s="9">
        <v>1298460.35</v>
      </c>
      <c r="O1491" s="9">
        <v>1298460.35</v>
      </c>
      <c r="P1491" s="9">
        <v>0.0</v>
      </c>
      <c r="Q1491" s="9">
        <v>0.0</v>
      </c>
      <c r="R1491" s="9" t="s">
        <v>56</v>
      </c>
      <c r="S1491" s="9" t="s">
        <v>57</v>
      </c>
      <c r="T1491" s="9" t="s">
        <v>58</v>
      </c>
      <c r="V1491" s="9">
        <v>1527546.84</v>
      </c>
      <c r="W1491" s="9">
        <v>0.0</v>
      </c>
      <c r="X1491" s="9">
        <v>0.0</v>
      </c>
    </row>
    <row r="1492" ht="15.75" customHeight="1">
      <c r="A1492" s="9">
        <v>2203888.0</v>
      </c>
      <c r="B1492" s="9">
        <v>2663102.0</v>
      </c>
      <c r="C1492" s="9">
        <v>40590.0</v>
      </c>
      <c r="D1492" s="9" t="s">
        <v>52</v>
      </c>
      <c r="E1492" s="9" t="s">
        <v>53</v>
      </c>
      <c r="F1492" s="9">
        <v>212719.0</v>
      </c>
      <c r="G1492" s="9">
        <v>3723588.89</v>
      </c>
      <c r="H1492" s="9">
        <v>4838616.89</v>
      </c>
      <c r="I1492" s="9">
        <v>2402502.79</v>
      </c>
      <c r="J1492" s="9">
        <v>0.0</v>
      </c>
      <c r="K1492" s="9">
        <v>65738.0</v>
      </c>
      <c r="L1492" s="9" t="s">
        <v>59</v>
      </c>
      <c r="M1492" s="9" t="s">
        <v>55</v>
      </c>
      <c r="N1492" s="9">
        <v>3580434.55</v>
      </c>
      <c r="O1492" s="9">
        <v>3580433.09</v>
      </c>
      <c r="P1492" s="9">
        <v>118154.0</v>
      </c>
      <c r="Q1492" s="9">
        <v>106338.6</v>
      </c>
      <c r="R1492" s="9" t="s">
        <v>77</v>
      </c>
      <c r="S1492" s="9" t="s">
        <v>78</v>
      </c>
      <c r="T1492" s="9" t="s">
        <v>79</v>
      </c>
      <c r="U1492" s="9" t="s">
        <v>80</v>
      </c>
    </row>
    <row r="1493" ht="15.75" customHeight="1">
      <c r="A1493" s="9">
        <v>2204290.0</v>
      </c>
      <c r="B1493" s="9">
        <v>2606802.0</v>
      </c>
      <c r="C1493" s="9">
        <v>26763.0</v>
      </c>
      <c r="D1493" s="9" t="s">
        <v>52</v>
      </c>
      <c r="E1493" s="9" t="s">
        <v>53</v>
      </c>
      <c r="F1493" s="9">
        <v>194263.0</v>
      </c>
      <c r="G1493" s="9">
        <v>3056868.61</v>
      </c>
      <c r="H1493" s="9">
        <v>3056868.61</v>
      </c>
      <c r="I1493" s="9">
        <v>3056269.36</v>
      </c>
      <c r="J1493" s="9">
        <v>0.0</v>
      </c>
      <c r="K1493" s="9">
        <v>0.0</v>
      </c>
      <c r="L1493" s="9" t="s">
        <v>59</v>
      </c>
      <c r="M1493" s="9" t="s">
        <v>55</v>
      </c>
      <c r="N1493" s="9">
        <v>2895019.0</v>
      </c>
      <c r="O1493" s="9">
        <v>2895019.0</v>
      </c>
      <c r="P1493" s="9">
        <v>86850.0</v>
      </c>
      <c r="Q1493" s="9">
        <v>86850.0</v>
      </c>
      <c r="R1493" s="9" t="s">
        <v>60</v>
      </c>
      <c r="S1493" s="9" t="s">
        <v>57</v>
      </c>
      <c r="T1493" s="9" t="s">
        <v>61</v>
      </c>
      <c r="V1493" s="9">
        <v>2942844.86</v>
      </c>
      <c r="W1493" s="9">
        <v>99877.6</v>
      </c>
      <c r="X1493" s="9">
        <v>0.0</v>
      </c>
    </row>
    <row r="1494" ht="15.75" customHeight="1">
      <c r="A1494" s="9">
        <v>2215569.0</v>
      </c>
      <c r="B1494" s="9">
        <v>1.53204824E8</v>
      </c>
      <c r="C1494" s="9">
        <v>32274.0</v>
      </c>
      <c r="D1494" s="9" t="s">
        <v>52</v>
      </c>
      <c r="E1494" s="9" t="s">
        <v>53</v>
      </c>
      <c r="F1494" s="9">
        <v>204046.0</v>
      </c>
      <c r="G1494" s="9">
        <v>0.0</v>
      </c>
      <c r="M1494" s="9" t="s">
        <v>65</v>
      </c>
      <c r="N1494" s="9">
        <v>3789640.0</v>
      </c>
      <c r="O1494" s="9">
        <v>3789640.0</v>
      </c>
      <c r="P1494" s="9">
        <v>739296.0</v>
      </c>
      <c r="Q1494" s="9">
        <v>739296.0</v>
      </c>
      <c r="R1494" s="9" t="s">
        <v>72</v>
      </c>
      <c r="S1494" s="9" t="s">
        <v>57</v>
      </c>
      <c r="T1494" s="9" t="s">
        <v>73</v>
      </c>
      <c r="V1494" s="9">
        <v>3789640.0</v>
      </c>
      <c r="W1494" s="9">
        <v>739296.0</v>
      </c>
    </row>
    <row r="1495" ht="15.75" customHeight="1">
      <c r="A1495" s="9">
        <v>2215752.0</v>
      </c>
      <c r="B1495" s="9">
        <v>1.3132206E7</v>
      </c>
      <c r="C1495" s="9">
        <v>41939.0</v>
      </c>
      <c r="D1495" s="9" t="s">
        <v>52</v>
      </c>
      <c r="E1495" s="9" t="s">
        <v>53</v>
      </c>
      <c r="F1495" s="9">
        <v>196823.0</v>
      </c>
      <c r="G1495" s="9">
        <v>1.072017892E7</v>
      </c>
      <c r="H1495" s="9">
        <v>1.158258705E7</v>
      </c>
      <c r="I1495" s="9">
        <v>1.158258705E7</v>
      </c>
      <c r="J1495" s="9">
        <v>0.0</v>
      </c>
      <c r="K1495" s="9">
        <v>0.0</v>
      </c>
      <c r="L1495" s="9" t="s">
        <v>69</v>
      </c>
      <c r="M1495" s="9" t="s">
        <v>55</v>
      </c>
      <c r="N1495" s="9">
        <v>1.017324896E7</v>
      </c>
      <c r="O1495" s="9">
        <v>9483000.0</v>
      </c>
      <c r="P1495" s="9">
        <v>406930.0</v>
      </c>
      <c r="Q1495" s="9">
        <v>361680.0</v>
      </c>
      <c r="R1495" s="9" t="s">
        <v>56</v>
      </c>
      <c r="S1495" s="9" t="s">
        <v>57</v>
      </c>
      <c r="T1495" s="9" t="s">
        <v>58</v>
      </c>
    </row>
    <row r="1496" ht="15.75" customHeight="1">
      <c r="A1496" s="9">
        <v>2215805.0</v>
      </c>
      <c r="B1496" s="9">
        <v>9614564.0</v>
      </c>
      <c r="C1496" s="9">
        <v>32272.0</v>
      </c>
      <c r="D1496" s="9" t="s">
        <v>52</v>
      </c>
      <c r="E1496" s="9" t="s">
        <v>53</v>
      </c>
      <c r="F1496" s="9">
        <v>201752.0</v>
      </c>
      <c r="G1496" s="9">
        <v>8157034.0</v>
      </c>
      <c r="H1496" s="9">
        <v>8157034.0</v>
      </c>
      <c r="I1496" s="9">
        <v>8140216.3</v>
      </c>
      <c r="J1496" s="9">
        <v>0.0</v>
      </c>
      <c r="K1496" s="9">
        <v>0.0</v>
      </c>
      <c r="L1496" s="9" t="s">
        <v>69</v>
      </c>
      <c r="M1496" s="9" t="s">
        <v>55</v>
      </c>
      <c r="N1496" s="9">
        <v>7682032.38</v>
      </c>
      <c r="O1496" s="9">
        <v>7682032.38</v>
      </c>
      <c r="P1496" s="9">
        <v>384101.62</v>
      </c>
      <c r="Q1496" s="9">
        <v>380000.0</v>
      </c>
      <c r="R1496" s="9" t="s">
        <v>60</v>
      </c>
      <c r="S1496" s="9" t="s">
        <v>57</v>
      </c>
      <c r="T1496" s="9" t="s">
        <v>61</v>
      </c>
      <c r="V1496" s="9">
        <v>7682032.38</v>
      </c>
      <c r="W1496" s="9">
        <v>380000.0</v>
      </c>
      <c r="X1496" s="9">
        <v>0.0</v>
      </c>
    </row>
    <row r="1497" ht="15.75" customHeight="1">
      <c r="A1497" s="9">
        <v>2217007.0</v>
      </c>
      <c r="B1497" s="9">
        <v>6390059.0</v>
      </c>
      <c r="C1497" s="9">
        <v>39331.0</v>
      </c>
      <c r="D1497" s="9" t="s">
        <v>52</v>
      </c>
      <c r="E1497" s="9" t="s">
        <v>53</v>
      </c>
      <c r="F1497" s="9">
        <v>212408.0</v>
      </c>
      <c r="G1497" s="9">
        <v>7223277.62</v>
      </c>
      <c r="H1497" s="9">
        <v>6350831.99</v>
      </c>
      <c r="I1497" s="9">
        <v>6658768.0</v>
      </c>
      <c r="J1497" s="9">
        <v>51477.0</v>
      </c>
      <c r="K1497" s="9">
        <v>54080.0</v>
      </c>
      <c r="L1497" s="9" t="s">
        <v>59</v>
      </c>
      <c r="M1497" s="9" t="s">
        <v>55</v>
      </c>
      <c r="N1497" s="9">
        <v>6294090.0</v>
      </c>
      <c r="O1497" s="9">
        <v>6465858.24</v>
      </c>
      <c r="P1497" s="9">
        <v>613368.25</v>
      </c>
      <c r="Q1497" s="9">
        <v>615078.36</v>
      </c>
      <c r="R1497" s="9" t="s">
        <v>94</v>
      </c>
      <c r="S1497" s="9" t="s">
        <v>57</v>
      </c>
      <c r="T1497" s="9" t="s">
        <v>95</v>
      </c>
    </row>
    <row r="1498" ht="15.75" customHeight="1">
      <c r="A1498" s="9">
        <v>2225246.0</v>
      </c>
      <c r="B1498" s="9">
        <v>6761352.0</v>
      </c>
      <c r="C1498" s="9">
        <v>26743.0</v>
      </c>
      <c r="D1498" s="9" t="s">
        <v>52</v>
      </c>
      <c r="E1498" s="9" t="s">
        <v>53</v>
      </c>
      <c r="F1498" s="9">
        <v>244231.0</v>
      </c>
      <c r="G1498" s="9">
        <v>7012330.0</v>
      </c>
      <c r="H1498" s="9">
        <v>6998490.83</v>
      </c>
      <c r="I1498" s="9">
        <v>6998490.83</v>
      </c>
      <c r="J1498" s="9">
        <v>0.0</v>
      </c>
      <c r="K1498" s="9">
        <v>0.0</v>
      </c>
      <c r="L1498" s="9" t="s">
        <v>59</v>
      </c>
      <c r="M1498" s="9" t="s">
        <v>55</v>
      </c>
      <c r="N1498" s="9">
        <v>6609207.67</v>
      </c>
      <c r="O1498" s="9">
        <v>6609200.0</v>
      </c>
      <c r="P1498" s="9">
        <v>228121.0</v>
      </c>
      <c r="Q1498" s="9">
        <v>228121.0</v>
      </c>
      <c r="R1498" s="9" t="s">
        <v>60</v>
      </c>
      <c r="S1498" s="9" t="s">
        <v>57</v>
      </c>
      <c r="T1498" s="9" t="s">
        <v>61</v>
      </c>
      <c r="V1498" s="9">
        <v>6609200.0</v>
      </c>
      <c r="W1498" s="9">
        <v>233121.0</v>
      </c>
      <c r="X1498" s="9">
        <v>0.0</v>
      </c>
    </row>
    <row r="1499" ht="15.75" customHeight="1">
      <c r="A1499" s="9">
        <v>2225348.0</v>
      </c>
      <c r="B1499" s="9">
        <v>3.7494607E7</v>
      </c>
      <c r="C1499" s="9">
        <v>39546.0</v>
      </c>
      <c r="D1499" s="9" t="s">
        <v>52</v>
      </c>
      <c r="E1499" s="9" t="s">
        <v>53</v>
      </c>
      <c r="F1499" s="9">
        <v>129616.0</v>
      </c>
      <c r="G1499" s="9">
        <v>6.843490453E7</v>
      </c>
      <c r="H1499" s="9">
        <v>8.53088358E7</v>
      </c>
      <c r="I1499" s="9">
        <v>6.784416821E7</v>
      </c>
      <c r="J1499" s="9">
        <v>205943.89</v>
      </c>
      <c r="K1499" s="9">
        <v>2192549.0</v>
      </c>
      <c r="L1499" s="9" t="s">
        <v>59</v>
      </c>
      <c r="M1499" s="9" t="s">
        <v>55</v>
      </c>
      <c r="N1499" s="9">
        <v>6.4052767E7</v>
      </c>
      <c r="O1499" s="9">
        <v>6.405276622E7</v>
      </c>
      <c r="P1499" s="9">
        <v>3202639.0</v>
      </c>
      <c r="Q1499" s="9">
        <v>3202638.31</v>
      </c>
      <c r="R1499" s="9" t="s">
        <v>137</v>
      </c>
      <c r="S1499" s="9" t="s">
        <v>82</v>
      </c>
      <c r="T1499" s="9" t="s">
        <v>107</v>
      </c>
      <c r="U1499" s="9" t="s">
        <v>138</v>
      </c>
    </row>
    <row r="1500" ht="15.75" customHeight="1">
      <c r="A1500" s="9">
        <v>2225729.0</v>
      </c>
      <c r="B1500" s="9">
        <v>1490007.0</v>
      </c>
      <c r="C1500" s="9">
        <v>30166.0</v>
      </c>
      <c r="D1500" s="9" t="s">
        <v>52</v>
      </c>
      <c r="E1500" s="9" t="s">
        <v>53</v>
      </c>
      <c r="F1500" s="9">
        <v>10343.0</v>
      </c>
      <c r="G1500" s="9">
        <v>1490007.0</v>
      </c>
      <c r="H1500" s="9">
        <v>1490007.0</v>
      </c>
      <c r="I1500" s="9">
        <v>6800.0</v>
      </c>
      <c r="J1500" s="9">
        <v>0.0</v>
      </c>
      <c r="K1500" s="9">
        <v>0.0</v>
      </c>
      <c r="L1500" s="9" t="s">
        <v>139</v>
      </c>
      <c r="M1500" s="9" t="s">
        <v>55</v>
      </c>
      <c r="N1500" s="9">
        <v>1510000.0</v>
      </c>
      <c r="O1500" s="9">
        <v>1348203.6</v>
      </c>
      <c r="P1500" s="9">
        <v>45160.5</v>
      </c>
      <c r="Q1500" s="9">
        <v>40644.45</v>
      </c>
      <c r="R1500" s="9" t="s">
        <v>60</v>
      </c>
      <c r="S1500" s="9" t="s">
        <v>57</v>
      </c>
      <c r="T1500" s="9" t="s">
        <v>61</v>
      </c>
      <c r="V1500" s="9">
        <v>1348203.6</v>
      </c>
      <c r="W1500" s="9">
        <v>40644.45</v>
      </c>
      <c r="X1500" s="9">
        <v>0.0</v>
      </c>
    </row>
    <row r="1501" ht="15.75" customHeight="1">
      <c r="A1501" s="9">
        <v>2226067.0</v>
      </c>
      <c r="B1501" s="9">
        <v>1554952.0</v>
      </c>
      <c r="C1501" s="9">
        <v>30143.0</v>
      </c>
      <c r="D1501" s="9" t="s">
        <v>52</v>
      </c>
      <c r="E1501" s="9" t="s">
        <v>53</v>
      </c>
      <c r="F1501" s="9">
        <v>30316.0</v>
      </c>
      <c r="G1501" s="9">
        <v>1554952.0</v>
      </c>
      <c r="H1501" s="9">
        <v>1554952.0</v>
      </c>
      <c r="I1501" s="9">
        <v>0.0</v>
      </c>
      <c r="J1501" s="9">
        <v>0.0</v>
      </c>
      <c r="K1501" s="9">
        <v>0.0</v>
      </c>
      <c r="L1501" s="9" t="s">
        <v>54</v>
      </c>
      <c r="M1501" s="9" t="s">
        <v>55</v>
      </c>
      <c r="N1501" s="9">
        <v>1523342.45</v>
      </c>
      <c r="O1501" s="9">
        <v>1653905.83</v>
      </c>
      <c r="P1501" s="9">
        <v>1523342.45</v>
      </c>
      <c r="Q1501" s="9">
        <v>76000.0</v>
      </c>
      <c r="R1501" s="9" t="s">
        <v>60</v>
      </c>
      <c r="S1501" s="9" t="s">
        <v>57</v>
      </c>
      <c r="T1501" s="9" t="s">
        <v>61</v>
      </c>
      <c r="V1501" s="9">
        <v>1653905.85</v>
      </c>
      <c r="W1501" s="9">
        <v>0.0</v>
      </c>
      <c r="X1501" s="9">
        <v>0.0</v>
      </c>
    </row>
    <row r="1502" ht="15.75" customHeight="1">
      <c r="A1502" s="9">
        <v>2226801.0</v>
      </c>
      <c r="B1502" s="9">
        <v>1.2483027E7</v>
      </c>
      <c r="C1502" s="9">
        <v>29808.0</v>
      </c>
      <c r="D1502" s="9" t="s">
        <v>52</v>
      </c>
      <c r="E1502" s="9" t="s">
        <v>53</v>
      </c>
      <c r="F1502" s="9">
        <v>53557.0</v>
      </c>
      <c r="G1502" s="9">
        <v>1.2483027E7</v>
      </c>
      <c r="H1502" s="9">
        <v>1.2483027E7</v>
      </c>
      <c r="I1502" s="9">
        <v>0.0</v>
      </c>
      <c r="J1502" s="9">
        <v>0.0</v>
      </c>
      <c r="K1502" s="9">
        <v>0.0</v>
      </c>
      <c r="L1502" s="9" t="s">
        <v>54</v>
      </c>
      <c r="M1502" s="9" t="s">
        <v>65</v>
      </c>
      <c r="N1502" s="9">
        <v>0.0</v>
      </c>
      <c r="O1502" s="9">
        <v>0.0</v>
      </c>
      <c r="R1502" s="9" t="s">
        <v>60</v>
      </c>
      <c r="S1502" s="9" t="s">
        <v>57</v>
      </c>
      <c r="T1502" s="9" t="s">
        <v>61</v>
      </c>
    </row>
    <row r="1503" ht="15.75" customHeight="1">
      <c r="A1503" s="9">
        <v>2229439.0</v>
      </c>
      <c r="B1503" s="9">
        <v>1.3980059E7</v>
      </c>
      <c r="C1503" s="9">
        <v>39150.0</v>
      </c>
      <c r="D1503" s="9" t="s">
        <v>52</v>
      </c>
      <c r="E1503" s="9" t="s">
        <v>52</v>
      </c>
      <c r="F1503" s="9">
        <v>52537.0</v>
      </c>
      <c r="G1503" s="9">
        <v>1.3980059E7</v>
      </c>
      <c r="H1503" s="9">
        <v>1.3980059E7</v>
      </c>
      <c r="I1503" s="9">
        <v>0.0</v>
      </c>
      <c r="J1503" s="9">
        <v>0.0</v>
      </c>
      <c r="K1503" s="9">
        <v>0.0</v>
      </c>
      <c r="L1503" s="9" t="s">
        <v>54</v>
      </c>
      <c r="M1503" s="9" t="s">
        <v>116</v>
      </c>
      <c r="R1503" s="9" t="s">
        <v>117</v>
      </c>
      <c r="S1503" s="9" t="s">
        <v>57</v>
      </c>
      <c r="T1503" s="9" t="s">
        <v>118</v>
      </c>
    </row>
    <row r="1504" ht="15.75" customHeight="1">
      <c r="A1504" s="9">
        <v>2229807.0</v>
      </c>
      <c r="B1504" s="9">
        <v>1408174.0</v>
      </c>
      <c r="C1504" s="9">
        <v>30169.0</v>
      </c>
      <c r="D1504" s="9" t="s">
        <v>52</v>
      </c>
      <c r="E1504" s="9" t="s">
        <v>53</v>
      </c>
      <c r="F1504" s="9">
        <v>8419.0</v>
      </c>
      <c r="G1504" s="9">
        <v>1408174.0</v>
      </c>
      <c r="H1504" s="9">
        <v>1408174.0</v>
      </c>
      <c r="I1504" s="9">
        <v>0.0</v>
      </c>
      <c r="J1504" s="9">
        <v>0.0</v>
      </c>
      <c r="K1504" s="9">
        <v>0.0</v>
      </c>
      <c r="L1504" s="9" t="s">
        <v>54</v>
      </c>
      <c r="M1504" s="9" t="s">
        <v>55</v>
      </c>
      <c r="N1504" s="9">
        <v>1408174.0</v>
      </c>
      <c r="O1504" s="9">
        <v>1408174.0</v>
      </c>
      <c r="P1504" s="9">
        <v>18000.0</v>
      </c>
      <c r="Q1504" s="9">
        <v>18000.0</v>
      </c>
      <c r="R1504" s="9" t="s">
        <v>60</v>
      </c>
      <c r="S1504" s="9" t="s">
        <v>57</v>
      </c>
      <c r="T1504" s="9" t="s">
        <v>61</v>
      </c>
      <c r="V1504" s="9">
        <v>1408174.0</v>
      </c>
      <c r="W1504" s="9">
        <v>17890.42</v>
      </c>
      <c r="X1504" s="9">
        <v>0.0</v>
      </c>
    </row>
    <row r="1505" ht="15.75" customHeight="1">
      <c r="A1505" s="9">
        <v>2234202.0</v>
      </c>
      <c r="B1505" s="9">
        <v>4642243.0</v>
      </c>
      <c r="C1505" s="9">
        <v>33448.0</v>
      </c>
      <c r="D1505" s="9" t="s">
        <v>52</v>
      </c>
      <c r="E1505" s="9" t="s">
        <v>53</v>
      </c>
      <c r="F1505" s="9">
        <v>256846.0</v>
      </c>
      <c r="G1505" s="9">
        <v>4649781.19</v>
      </c>
      <c r="H1505" s="9">
        <v>4649781.19</v>
      </c>
      <c r="I1505" s="9">
        <v>4627213.01</v>
      </c>
      <c r="J1505" s="9">
        <v>0.0</v>
      </c>
      <c r="K1505" s="9">
        <v>0.0</v>
      </c>
      <c r="L1505" s="9" t="s">
        <v>59</v>
      </c>
      <c r="M1505" s="9" t="s">
        <v>55</v>
      </c>
      <c r="N1505" s="9">
        <v>4278395.58</v>
      </c>
      <c r="O1505" s="9">
        <v>4278000.0</v>
      </c>
      <c r="P1505" s="9">
        <v>235310.0</v>
      </c>
      <c r="Q1505" s="9">
        <v>235310.0</v>
      </c>
      <c r="R1505" s="9" t="s">
        <v>60</v>
      </c>
      <c r="S1505" s="9" t="s">
        <v>57</v>
      </c>
      <c r="T1505" s="9" t="s">
        <v>61</v>
      </c>
      <c r="V1505" s="9">
        <v>4330508.04</v>
      </c>
      <c r="W1505" s="9">
        <v>235310.0</v>
      </c>
      <c r="X1505" s="9">
        <v>0.0</v>
      </c>
    </row>
    <row r="1506" ht="15.75" customHeight="1">
      <c r="A1506" s="9">
        <v>2328427.0</v>
      </c>
      <c r="B1506" s="9">
        <v>1.3456771E7</v>
      </c>
      <c r="C1506" s="9">
        <v>47187.0</v>
      </c>
      <c r="D1506" s="9" t="s">
        <v>52</v>
      </c>
      <c r="E1506" s="9" t="s">
        <v>53</v>
      </c>
      <c r="F1506" s="9">
        <v>270852.0</v>
      </c>
      <c r="G1506" s="9">
        <v>1.401377042E7</v>
      </c>
      <c r="H1506" s="9">
        <v>1.6043397E7</v>
      </c>
      <c r="I1506" s="9">
        <v>1.02329428E7</v>
      </c>
      <c r="J1506" s="9">
        <v>3427652.19</v>
      </c>
      <c r="K1506" s="9">
        <v>7429904.0</v>
      </c>
      <c r="L1506" s="9" t="s">
        <v>59</v>
      </c>
      <c r="M1506" s="9" t="s">
        <v>55</v>
      </c>
      <c r="N1506" s="9">
        <v>1.424041409E7</v>
      </c>
      <c r="O1506" s="9">
        <v>1.281637269E7</v>
      </c>
      <c r="P1506" s="9">
        <v>528194.0</v>
      </c>
      <c r="Q1506" s="9">
        <v>475374.67</v>
      </c>
      <c r="R1506" s="9" t="s">
        <v>140</v>
      </c>
      <c r="S1506" s="9" t="s">
        <v>82</v>
      </c>
      <c r="T1506" s="9" t="s">
        <v>132</v>
      </c>
      <c r="U1506" s="9" t="s">
        <v>114</v>
      </c>
    </row>
    <row r="1507" ht="15.75" customHeight="1">
      <c r="A1507" s="9">
        <v>2328829.0</v>
      </c>
      <c r="B1507" s="9">
        <v>1124180.0</v>
      </c>
      <c r="C1507" s="9">
        <v>40106.0</v>
      </c>
      <c r="D1507" s="9" t="s">
        <v>52</v>
      </c>
      <c r="E1507" s="9" t="s">
        <v>53</v>
      </c>
      <c r="F1507" s="9">
        <v>365164.0</v>
      </c>
      <c r="G1507" s="9">
        <v>1419102.1</v>
      </c>
      <c r="H1507" s="9">
        <v>1419102.1</v>
      </c>
      <c r="I1507" s="9">
        <v>1347472.79</v>
      </c>
      <c r="J1507" s="9">
        <v>0.0</v>
      </c>
      <c r="K1507" s="9">
        <v>0.0</v>
      </c>
      <c r="L1507" s="9" t="s">
        <v>69</v>
      </c>
      <c r="M1507" s="9" t="s">
        <v>55</v>
      </c>
      <c r="N1507" s="9">
        <v>1351525.81</v>
      </c>
      <c r="O1507" s="9">
        <v>1351526.0</v>
      </c>
      <c r="R1507" s="9" t="s">
        <v>56</v>
      </c>
      <c r="S1507" s="9" t="s">
        <v>57</v>
      </c>
      <c r="T1507" s="9" t="s">
        <v>58</v>
      </c>
      <c r="V1507" s="9">
        <v>1331204.84</v>
      </c>
      <c r="W1507" s="9">
        <v>0.0</v>
      </c>
      <c r="X1507" s="9">
        <v>0.0</v>
      </c>
    </row>
    <row r="1508" ht="15.75" customHeight="1">
      <c r="A1508" s="9">
        <v>2332007.0</v>
      </c>
      <c r="B1508" s="9">
        <v>4.90256809E8</v>
      </c>
      <c r="C1508" s="9">
        <v>33950.0</v>
      </c>
      <c r="D1508" s="9" t="s">
        <v>52</v>
      </c>
      <c r="E1508" s="9" t="s">
        <v>53</v>
      </c>
      <c r="F1508" s="9">
        <v>371312.0</v>
      </c>
      <c r="G1508" s="9">
        <v>4.90256809E8</v>
      </c>
      <c r="H1508" s="9">
        <v>4.90256809E8</v>
      </c>
      <c r="I1508" s="9">
        <v>0.0</v>
      </c>
      <c r="J1508" s="9">
        <v>0.0</v>
      </c>
      <c r="K1508" s="9">
        <v>0.0</v>
      </c>
      <c r="L1508" s="9" t="s">
        <v>54</v>
      </c>
      <c r="M1508" s="9" t="s">
        <v>116</v>
      </c>
      <c r="N1508" s="9">
        <v>2682909.08</v>
      </c>
      <c r="O1508" s="9">
        <v>2682909.08</v>
      </c>
      <c r="P1508" s="9">
        <v>268290.91</v>
      </c>
      <c r="Q1508" s="9">
        <v>268290.91</v>
      </c>
      <c r="R1508" s="9" t="s">
        <v>60</v>
      </c>
      <c r="S1508" s="9" t="s">
        <v>57</v>
      </c>
      <c r="T1508" s="9" t="s">
        <v>61</v>
      </c>
      <c r="V1508" s="9">
        <v>2682909.08</v>
      </c>
    </row>
    <row r="1509" ht="15.75" customHeight="1">
      <c r="A1509" s="9">
        <v>2338223.0</v>
      </c>
      <c r="B1509" s="9">
        <v>375009.36</v>
      </c>
      <c r="C1509" s="9">
        <v>44083.0</v>
      </c>
      <c r="D1509" s="9" t="s">
        <v>52</v>
      </c>
      <c r="E1509" s="9" t="s">
        <v>53</v>
      </c>
      <c r="F1509" s="9">
        <v>377132.0</v>
      </c>
      <c r="G1509" s="9">
        <v>375009.36</v>
      </c>
      <c r="H1509" s="9">
        <v>343058.74</v>
      </c>
      <c r="I1509" s="9">
        <v>309667.79</v>
      </c>
      <c r="J1509" s="9">
        <v>0.0</v>
      </c>
      <c r="K1509" s="9">
        <v>0.0</v>
      </c>
      <c r="L1509" s="9" t="s">
        <v>69</v>
      </c>
      <c r="M1509" s="9" t="s">
        <v>55</v>
      </c>
      <c r="N1509" s="9">
        <v>283276.76</v>
      </c>
      <c r="O1509" s="9">
        <v>254949.09</v>
      </c>
      <c r="P1509" s="9">
        <v>40732.0</v>
      </c>
      <c r="Q1509" s="9">
        <v>36658.8</v>
      </c>
      <c r="R1509" s="9" t="s">
        <v>60</v>
      </c>
      <c r="S1509" s="9" t="s">
        <v>57</v>
      </c>
      <c r="T1509" s="9" t="s">
        <v>61</v>
      </c>
      <c r="V1509" s="9">
        <v>251326.14</v>
      </c>
      <c r="W1509" s="9">
        <v>17270.3</v>
      </c>
      <c r="X1509" s="9">
        <v>0.0</v>
      </c>
    </row>
    <row r="1510" ht="15.75" customHeight="1">
      <c r="A1510" s="9">
        <v>2343069.0</v>
      </c>
      <c r="B1510" s="9">
        <v>1.2625365163E8</v>
      </c>
      <c r="C1510" s="9">
        <v>47548.0</v>
      </c>
      <c r="D1510" s="9" t="s">
        <v>52</v>
      </c>
      <c r="E1510" s="9" t="s">
        <v>64</v>
      </c>
      <c r="F1510" s="9">
        <v>381763.0</v>
      </c>
      <c r="H1510" s="9">
        <v>1.3017292648E8</v>
      </c>
      <c r="I1510" s="9">
        <v>198880.8</v>
      </c>
      <c r="J1510" s="9">
        <v>39665.7</v>
      </c>
      <c r="K1510" s="9">
        <v>39666.0</v>
      </c>
      <c r="L1510" s="9" t="s">
        <v>59</v>
      </c>
      <c r="M1510" s="9" t="s">
        <v>65</v>
      </c>
      <c r="R1510" s="9" t="s">
        <v>100</v>
      </c>
      <c r="S1510" s="9" t="s">
        <v>101</v>
      </c>
      <c r="T1510" s="9" t="s">
        <v>102</v>
      </c>
    </row>
    <row r="1511" ht="15.75" customHeight="1">
      <c r="A1511" s="9">
        <v>2353631.0</v>
      </c>
      <c r="B1511" s="9">
        <v>9376330.0</v>
      </c>
      <c r="C1511" s="9">
        <v>42119.0</v>
      </c>
      <c r="D1511" s="9" t="s">
        <v>52</v>
      </c>
      <c r="E1511" s="9" t="s">
        <v>53</v>
      </c>
      <c r="F1511" s="9">
        <v>289225.0</v>
      </c>
      <c r="G1511" s="9">
        <v>9376330.0</v>
      </c>
      <c r="H1511" s="9">
        <v>2.062133758E7</v>
      </c>
      <c r="I1511" s="9">
        <v>285662.05</v>
      </c>
      <c r="J1511" s="9">
        <v>0.0</v>
      </c>
      <c r="K1511" s="9">
        <v>0.0</v>
      </c>
      <c r="L1511" s="9" t="s">
        <v>59</v>
      </c>
      <c r="M1511" s="9" t="s">
        <v>65</v>
      </c>
      <c r="N1511" s="9">
        <v>339103.34</v>
      </c>
      <c r="O1511" s="9">
        <v>258638.15</v>
      </c>
      <c r="P1511" s="9">
        <v>83980.6</v>
      </c>
      <c r="Q1511" s="9">
        <v>75582.54</v>
      </c>
      <c r="R1511" s="9" t="s">
        <v>66</v>
      </c>
      <c r="S1511" s="9" t="s">
        <v>67</v>
      </c>
      <c r="T1511" s="9" t="s">
        <v>68</v>
      </c>
    </row>
    <row r="1512" ht="15.75" customHeight="1">
      <c r="A1512" s="9">
        <v>2378216.0</v>
      </c>
      <c r="B1512" s="9">
        <v>1333233.68</v>
      </c>
      <c r="C1512" s="9">
        <v>40109.0</v>
      </c>
      <c r="D1512" s="9" t="s">
        <v>52</v>
      </c>
      <c r="E1512" s="9" t="s">
        <v>88</v>
      </c>
      <c r="F1512" s="9">
        <v>2378216.0</v>
      </c>
      <c r="G1512" s="9">
        <v>3450236.49</v>
      </c>
      <c r="H1512" s="9">
        <v>1030839.04</v>
      </c>
      <c r="I1512" s="9">
        <v>1030839.04</v>
      </c>
      <c r="J1512" s="9">
        <v>0.0</v>
      </c>
      <c r="K1512" s="9">
        <v>0.0</v>
      </c>
      <c r="L1512" s="9" t="s">
        <v>69</v>
      </c>
      <c r="M1512" s="9" t="s">
        <v>55</v>
      </c>
      <c r="N1512" s="9">
        <v>1380561.84</v>
      </c>
      <c r="O1512" s="9">
        <v>1369525.35</v>
      </c>
      <c r="P1512" s="9">
        <v>71500.0</v>
      </c>
      <c r="Q1512" s="9">
        <v>70000.0</v>
      </c>
      <c r="R1512" s="9" t="s">
        <v>63</v>
      </c>
      <c r="S1512" s="9" t="s">
        <v>63</v>
      </c>
      <c r="V1512" s="9">
        <v>699684.88</v>
      </c>
      <c r="W1512" s="9">
        <v>90258.67</v>
      </c>
    </row>
    <row r="1513" ht="15.75" customHeight="1">
      <c r="A1513" s="9">
        <v>2379150.0</v>
      </c>
      <c r="B1513" s="9">
        <v>3.238479352E7</v>
      </c>
      <c r="C1513" s="9">
        <v>40585.0</v>
      </c>
      <c r="D1513" s="9" t="s">
        <v>52</v>
      </c>
      <c r="E1513" s="9" t="s">
        <v>53</v>
      </c>
      <c r="F1513" s="9">
        <v>2379150.0</v>
      </c>
      <c r="G1513" s="9">
        <v>3.238479352E7</v>
      </c>
      <c r="H1513" s="9">
        <v>3.238479352E7</v>
      </c>
      <c r="I1513" s="9">
        <v>0.0</v>
      </c>
      <c r="J1513" s="9">
        <v>0.0</v>
      </c>
      <c r="K1513" s="9">
        <v>0.0</v>
      </c>
      <c r="L1513" s="9" t="s">
        <v>59</v>
      </c>
      <c r="M1513" s="9" t="s">
        <v>65</v>
      </c>
      <c r="N1513" s="9">
        <v>770942.0</v>
      </c>
      <c r="O1513" s="9">
        <v>770940.0</v>
      </c>
      <c r="P1513" s="9">
        <v>156980.59</v>
      </c>
      <c r="Q1513" s="9">
        <v>156900.0</v>
      </c>
      <c r="R1513" s="9" t="s">
        <v>63</v>
      </c>
      <c r="S1513" s="9" t="s">
        <v>63</v>
      </c>
    </row>
    <row r="1514" ht="15.75" customHeight="1">
      <c r="A1514" s="9">
        <v>2387810.0</v>
      </c>
      <c r="B1514" s="9">
        <v>1.3711136898E8</v>
      </c>
      <c r="C1514" s="9">
        <v>46143.0</v>
      </c>
      <c r="D1514" s="9" t="s">
        <v>52</v>
      </c>
      <c r="E1514" s="9" t="s">
        <v>87</v>
      </c>
      <c r="F1514" s="9">
        <v>2387810.0</v>
      </c>
      <c r="H1514" s="9">
        <v>2.2591739588E8</v>
      </c>
      <c r="I1514" s="9">
        <v>2.2007077001E8</v>
      </c>
      <c r="J1514" s="9">
        <v>1157048.16</v>
      </c>
      <c r="K1514" s="9">
        <v>1570014.0</v>
      </c>
      <c r="L1514" s="9" t="s">
        <v>59</v>
      </c>
      <c r="M1514" s="9" t="s">
        <v>55</v>
      </c>
      <c r="N1514" s="9">
        <v>1.3711136898E8</v>
      </c>
      <c r="O1514" s="9">
        <v>1.7612751885E8</v>
      </c>
      <c r="P1514" s="9">
        <v>5896504.64</v>
      </c>
      <c r="Q1514" s="9">
        <v>5896504.64</v>
      </c>
      <c r="R1514" s="9" t="s">
        <v>75</v>
      </c>
      <c r="S1514" s="9" t="s">
        <v>57</v>
      </c>
      <c r="T1514" s="9" t="s">
        <v>76</v>
      </c>
    </row>
    <row r="1515" ht="15.75" customHeight="1">
      <c r="A1515" s="9">
        <v>2400725.0</v>
      </c>
      <c r="B1515" s="9">
        <v>7.7024543E7</v>
      </c>
      <c r="C1515" s="9">
        <v>31439.0</v>
      </c>
      <c r="D1515" s="9" t="s">
        <v>52</v>
      </c>
      <c r="E1515" s="9" t="s">
        <v>53</v>
      </c>
      <c r="F1515" s="9">
        <v>296861.0</v>
      </c>
      <c r="G1515" s="9">
        <v>7.7024543E7</v>
      </c>
      <c r="H1515" s="9">
        <v>7.7024543E7</v>
      </c>
      <c r="I1515" s="9">
        <v>0.0</v>
      </c>
      <c r="J1515" s="9">
        <v>0.0</v>
      </c>
      <c r="K1515" s="9">
        <v>0.0</v>
      </c>
      <c r="L1515" s="9" t="s">
        <v>54</v>
      </c>
      <c r="M1515" s="9" t="s">
        <v>116</v>
      </c>
      <c r="N1515" s="9">
        <v>486720.0</v>
      </c>
      <c r="O1515" s="9">
        <v>438048.0</v>
      </c>
      <c r="R1515" s="9" t="s">
        <v>60</v>
      </c>
      <c r="S1515" s="9" t="s">
        <v>57</v>
      </c>
      <c r="T1515" s="9" t="s">
        <v>61</v>
      </c>
      <c r="V1515" s="9">
        <v>438048.0</v>
      </c>
    </row>
    <row r="1516" ht="15.75" customHeight="1">
      <c r="A1516" s="9">
        <v>2410085.0</v>
      </c>
      <c r="B1516" s="9">
        <v>433570.36</v>
      </c>
      <c r="C1516" s="9">
        <v>45654.0</v>
      </c>
      <c r="D1516" s="9" t="s">
        <v>52</v>
      </c>
      <c r="E1516" s="9" t="s">
        <v>111</v>
      </c>
      <c r="F1516" s="9">
        <v>2410085.0</v>
      </c>
      <c r="H1516" s="9">
        <v>457038.0</v>
      </c>
      <c r="I1516" s="9">
        <v>328079.86</v>
      </c>
      <c r="J1516" s="9">
        <v>0.0</v>
      </c>
      <c r="K1516" s="9">
        <v>0.0</v>
      </c>
      <c r="L1516" s="9" t="s">
        <v>59</v>
      </c>
      <c r="M1516" s="9" t="s">
        <v>55</v>
      </c>
      <c r="N1516" s="9">
        <v>373477.33</v>
      </c>
      <c r="O1516" s="9">
        <v>307067.54</v>
      </c>
      <c r="R1516" s="9" t="s">
        <v>115</v>
      </c>
      <c r="S1516" s="9" t="s">
        <v>115</v>
      </c>
    </row>
    <row r="1517" ht="15.75" customHeight="1">
      <c r="A1517" s="9">
        <v>2410353.0</v>
      </c>
      <c r="B1517" s="9">
        <v>3004321.46</v>
      </c>
      <c r="C1517" s="9">
        <v>46787.0</v>
      </c>
      <c r="D1517" s="9" t="s">
        <v>52</v>
      </c>
      <c r="E1517" s="9" t="s">
        <v>111</v>
      </c>
      <c r="F1517" s="9">
        <v>2410353.0</v>
      </c>
      <c r="H1517" s="9">
        <v>2406928.59</v>
      </c>
      <c r="I1517" s="9">
        <v>1180488.38</v>
      </c>
      <c r="J1517" s="9">
        <v>0.0</v>
      </c>
      <c r="K1517" s="9">
        <v>0.0</v>
      </c>
      <c r="L1517" s="9" t="s">
        <v>59</v>
      </c>
      <c r="M1517" s="9" t="s">
        <v>74</v>
      </c>
      <c r="N1517" s="9">
        <v>20000.0</v>
      </c>
      <c r="O1517" s="9">
        <v>20000.0</v>
      </c>
      <c r="R1517" s="9" t="s">
        <v>92</v>
      </c>
      <c r="S1517" s="9" t="s">
        <v>57</v>
      </c>
      <c r="T1517" s="9" t="s">
        <v>93</v>
      </c>
    </row>
    <row r="1518" ht="15.75" customHeight="1">
      <c r="A1518" s="9">
        <v>2410957.0</v>
      </c>
      <c r="B1518" s="9">
        <v>4670492.0</v>
      </c>
      <c r="C1518" s="9">
        <v>46036.0</v>
      </c>
      <c r="D1518" s="9" t="s">
        <v>52</v>
      </c>
      <c r="E1518" s="9" t="s">
        <v>111</v>
      </c>
      <c r="F1518" s="9">
        <v>2410957.0</v>
      </c>
      <c r="H1518" s="9">
        <v>3834915.77</v>
      </c>
      <c r="I1518" s="9">
        <v>3777309.88</v>
      </c>
      <c r="J1518" s="9">
        <v>0.0</v>
      </c>
      <c r="K1518" s="9">
        <v>0.0</v>
      </c>
      <c r="L1518" s="9" t="s">
        <v>59</v>
      </c>
      <c r="M1518" s="9" t="s">
        <v>55</v>
      </c>
      <c r="N1518" s="9">
        <v>0.0</v>
      </c>
      <c r="O1518" s="9">
        <v>4513175.43</v>
      </c>
      <c r="P1518" s="9">
        <v>0.0</v>
      </c>
      <c r="Q1518" s="9">
        <v>0.0</v>
      </c>
      <c r="R1518" s="9" t="s">
        <v>94</v>
      </c>
      <c r="S1518" s="9" t="s">
        <v>57</v>
      </c>
      <c r="T1518" s="9" t="s">
        <v>95</v>
      </c>
    </row>
    <row r="1519" ht="15.75" customHeight="1">
      <c r="A1519" s="9">
        <v>2421285.0</v>
      </c>
      <c r="B1519" s="9">
        <v>1.6203075E7</v>
      </c>
      <c r="C1519" s="9">
        <v>48612.0</v>
      </c>
      <c r="D1519" s="9" t="s">
        <v>52</v>
      </c>
      <c r="E1519" s="9" t="s">
        <v>53</v>
      </c>
      <c r="F1519" s="9">
        <v>2421285.0</v>
      </c>
      <c r="G1519" s="9">
        <v>1.895152773E7</v>
      </c>
      <c r="H1519" s="9">
        <v>2.095465528E7</v>
      </c>
      <c r="I1519" s="9">
        <v>331581.6</v>
      </c>
      <c r="J1519" s="9">
        <v>0.0</v>
      </c>
      <c r="K1519" s="9">
        <v>3614741.0</v>
      </c>
      <c r="L1519" s="9" t="s">
        <v>59</v>
      </c>
      <c r="M1519" s="9" t="s">
        <v>55</v>
      </c>
      <c r="N1519" s="9">
        <v>1.976952915E7</v>
      </c>
      <c r="O1519" s="9">
        <v>0.0</v>
      </c>
      <c r="R1519" s="9" t="s">
        <v>122</v>
      </c>
      <c r="S1519" s="9" t="s">
        <v>101</v>
      </c>
      <c r="T1519" s="9" t="s">
        <v>123</v>
      </c>
    </row>
    <row r="1520" ht="15.75" customHeight="1">
      <c r="A1520" s="9">
        <v>2436057.0</v>
      </c>
      <c r="B1520" s="9">
        <v>165451.55</v>
      </c>
      <c r="C1520" s="9">
        <v>43296.0</v>
      </c>
      <c r="D1520" s="9" t="s">
        <v>52</v>
      </c>
      <c r="E1520" s="9" t="s">
        <v>111</v>
      </c>
      <c r="F1520" s="9">
        <v>2436057.0</v>
      </c>
      <c r="G1520" s="9">
        <v>165451.55</v>
      </c>
      <c r="H1520" s="9">
        <v>168300.75</v>
      </c>
      <c r="I1520" s="9">
        <v>3629.61</v>
      </c>
      <c r="J1520" s="9">
        <v>0.0</v>
      </c>
      <c r="K1520" s="9">
        <v>0.0</v>
      </c>
      <c r="L1520" s="9" t="s">
        <v>59</v>
      </c>
      <c r="M1520" s="9" t="s">
        <v>55</v>
      </c>
      <c r="R1520" s="9" t="s">
        <v>94</v>
      </c>
      <c r="S1520" s="9" t="s">
        <v>57</v>
      </c>
      <c r="T1520" s="9" t="s">
        <v>95</v>
      </c>
    </row>
    <row r="1521" ht="15.75" customHeight="1">
      <c r="A1521" s="9">
        <v>2436074.0</v>
      </c>
      <c r="B1521" s="9">
        <v>488125.11</v>
      </c>
      <c r="C1521" s="9">
        <v>43396.0</v>
      </c>
      <c r="D1521" s="9" t="s">
        <v>52</v>
      </c>
      <c r="E1521" s="9" t="s">
        <v>111</v>
      </c>
      <c r="F1521" s="9">
        <v>2436074.0</v>
      </c>
      <c r="G1521" s="9">
        <v>488125.11</v>
      </c>
      <c r="H1521" s="9">
        <v>493314.41</v>
      </c>
      <c r="I1521" s="9">
        <v>7609.07</v>
      </c>
      <c r="J1521" s="9">
        <v>0.0</v>
      </c>
      <c r="K1521" s="9">
        <v>0.0</v>
      </c>
      <c r="L1521" s="9" t="s">
        <v>59</v>
      </c>
      <c r="M1521" s="9" t="s">
        <v>55</v>
      </c>
      <c r="R1521" s="9" t="s">
        <v>106</v>
      </c>
      <c r="S1521" s="9" t="s">
        <v>82</v>
      </c>
      <c r="T1521" s="9" t="s">
        <v>107</v>
      </c>
      <c r="U1521" s="9" t="s">
        <v>108</v>
      </c>
    </row>
    <row r="1522" ht="15.75" customHeight="1">
      <c r="A1522" s="9">
        <v>2436174.0</v>
      </c>
      <c r="B1522" s="9">
        <v>47491.1</v>
      </c>
      <c r="C1522" s="9">
        <v>43171.0</v>
      </c>
      <c r="D1522" s="9" t="s">
        <v>52</v>
      </c>
      <c r="E1522" s="9" t="s">
        <v>111</v>
      </c>
      <c r="F1522" s="9">
        <v>2436174.0</v>
      </c>
      <c r="G1522" s="9">
        <v>47491.1</v>
      </c>
      <c r="H1522" s="9">
        <v>50012.97</v>
      </c>
      <c r="I1522" s="9">
        <v>0.0</v>
      </c>
      <c r="J1522" s="9">
        <v>0.0</v>
      </c>
      <c r="K1522" s="9">
        <v>0.0</v>
      </c>
      <c r="L1522" s="9" t="s">
        <v>59</v>
      </c>
      <c r="M1522" s="9" t="s">
        <v>55</v>
      </c>
      <c r="R1522" s="9" t="s">
        <v>141</v>
      </c>
      <c r="S1522" s="9" t="s">
        <v>101</v>
      </c>
      <c r="T1522" s="9" t="s">
        <v>142</v>
      </c>
    </row>
    <row r="1523" ht="15.75" customHeight="1">
      <c r="A1523" s="9">
        <v>2436176.0</v>
      </c>
      <c r="B1523" s="9">
        <v>62063.94</v>
      </c>
      <c r="C1523" s="9">
        <v>43173.0</v>
      </c>
      <c r="D1523" s="9" t="s">
        <v>52</v>
      </c>
      <c r="E1523" s="9" t="s">
        <v>111</v>
      </c>
      <c r="F1523" s="9">
        <v>2436176.0</v>
      </c>
      <c r="G1523" s="9">
        <v>62063.94</v>
      </c>
      <c r="H1523" s="9">
        <v>64420.21</v>
      </c>
      <c r="I1523" s="9">
        <v>2911.17</v>
      </c>
      <c r="J1523" s="9">
        <v>0.0</v>
      </c>
      <c r="K1523" s="9">
        <v>0.0</v>
      </c>
      <c r="L1523" s="9" t="s">
        <v>59</v>
      </c>
      <c r="M1523" s="9" t="s">
        <v>55</v>
      </c>
      <c r="R1523" s="9" t="s">
        <v>75</v>
      </c>
      <c r="S1523" s="9" t="s">
        <v>57</v>
      </c>
      <c r="T1523" s="9" t="s">
        <v>76</v>
      </c>
    </row>
    <row r="1524" ht="15.75" customHeight="1">
      <c r="A1524" s="9">
        <v>2436189.0</v>
      </c>
      <c r="B1524" s="9">
        <v>124204.64</v>
      </c>
      <c r="C1524" s="9">
        <v>43196.0</v>
      </c>
      <c r="D1524" s="9" t="s">
        <v>52</v>
      </c>
      <c r="E1524" s="9" t="s">
        <v>111</v>
      </c>
      <c r="F1524" s="9">
        <v>2436189.0</v>
      </c>
      <c r="G1524" s="9">
        <v>124204.64</v>
      </c>
      <c r="H1524" s="9">
        <v>128171.38</v>
      </c>
      <c r="I1524" s="9">
        <v>1279.58</v>
      </c>
      <c r="J1524" s="9">
        <v>0.0</v>
      </c>
      <c r="K1524" s="9">
        <v>0.0</v>
      </c>
      <c r="L1524" s="9" t="s">
        <v>59</v>
      </c>
      <c r="M1524" s="9" t="s">
        <v>55</v>
      </c>
      <c r="R1524" s="9" t="s">
        <v>94</v>
      </c>
      <c r="S1524" s="9" t="s">
        <v>57</v>
      </c>
      <c r="T1524" s="9" t="s">
        <v>95</v>
      </c>
    </row>
    <row r="1525" ht="15.75" customHeight="1">
      <c r="A1525" s="9">
        <v>2436191.0</v>
      </c>
      <c r="B1525" s="9">
        <v>90297.94</v>
      </c>
      <c r="C1525" s="9">
        <v>43184.0</v>
      </c>
      <c r="D1525" s="9" t="s">
        <v>52</v>
      </c>
      <c r="E1525" s="9" t="s">
        <v>111</v>
      </c>
      <c r="F1525" s="9">
        <v>2436191.0</v>
      </c>
      <c r="G1525" s="9">
        <v>90297.94</v>
      </c>
      <c r="H1525" s="9">
        <v>94211.78</v>
      </c>
      <c r="I1525" s="9">
        <v>0.0</v>
      </c>
      <c r="J1525" s="9">
        <v>0.0</v>
      </c>
      <c r="K1525" s="9">
        <v>0.0</v>
      </c>
      <c r="L1525" s="9" t="s">
        <v>59</v>
      </c>
      <c r="M1525" s="9" t="s">
        <v>55</v>
      </c>
      <c r="R1525" s="9" t="s">
        <v>94</v>
      </c>
      <c r="S1525" s="9" t="s">
        <v>57</v>
      </c>
      <c r="T1525" s="9" t="s">
        <v>95</v>
      </c>
    </row>
    <row r="1526" ht="15.75" customHeight="1">
      <c r="A1526" s="9">
        <v>2436193.0</v>
      </c>
      <c r="B1526" s="9">
        <v>52761.71</v>
      </c>
      <c r="C1526" s="9">
        <v>43178.0</v>
      </c>
      <c r="D1526" s="9" t="s">
        <v>52</v>
      </c>
      <c r="E1526" s="9" t="s">
        <v>111</v>
      </c>
      <c r="F1526" s="9">
        <v>2436193.0</v>
      </c>
      <c r="G1526" s="9">
        <v>52761.71</v>
      </c>
      <c r="H1526" s="9">
        <v>55322.48</v>
      </c>
      <c r="I1526" s="9">
        <v>0.0</v>
      </c>
      <c r="J1526" s="9">
        <v>0.0</v>
      </c>
      <c r="K1526" s="9">
        <v>0.0</v>
      </c>
      <c r="L1526" s="9" t="s">
        <v>59</v>
      </c>
      <c r="M1526" s="9" t="s">
        <v>55</v>
      </c>
      <c r="R1526" s="9" t="s">
        <v>94</v>
      </c>
      <c r="S1526" s="9" t="s">
        <v>57</v>
      </c>
      <c r="T1526" s="9" t="s">
        <v>95</v>
      </c>
    </row>
    <row r="1527" ht="15.75" customHeight="1">
      <c r="A1527" s="9">
        <v>2331579.0</v>
      </c>
      <c r="B1527" s="9">
        <v>1.50542161E8</v>
      </c>
      <c r="C1527" s="9">
        <v>46844.0</v>
      </c>
      <c r="D1527" s="9" t="s">
        <v>52</v>
      </c>
      <c r="E1527" s="9" t="s">
        <v>88</v>
      </c>
      <c r="F1527" s="9">
        <v>112210.0</v>
      </c>
      <c r="H1527" s="9">
        <v>1.9983447731E8</v>
      </c>
      <c r="I1527" s="9">
        <v>1.0590287888E8</v>
      </c>
      <c r="J1527" s="9">
        <v>3.650324164E7</v>
      </c>
      <c r="K1527" s="9">
        <v>3.663328E7</v>
      </c>
      <c r="L1527" s="9" t="s">
        <v>59</v>
      </c>
      <c r="M1527" s="9" t="s">
        <v>55</v>
      </c>
      <c r="N1527" s="9">
        <v>1.8223715278E8</v>
      </c>
      <c r="O1527" s="9">
        <v>1.7555307917E8</v>
      </c>
      <c r="P1527" s="9">
        <v>7581985.85</v>
      </c>
      <c r="Q1527" s="9">
        <v>6823787.27</v>
      </c>
      <c r="R1527" s="9" t="s">
        <v>131</v>
      </c>
      <c r="S1527" s="9" t="s">
        <v>82</v>
      </c>
      <c r="T1527" s="9" t="s">
        <v>132</v>
      </c>
    </row>
    <row r="1528" ht="15.75" customHeight="1">
      <c r="A1528" s="9">
        <v>2331661.0</v>
      </c>
      <c r="B1528" s="9">
        <v>7.08956179E8</v>
      </c>
      <c r="C1528" s="9">
        <v>48656.0</v>
      </c>
      <c r="D1528" s="9" t="s">
        <v>52</v>
      </c>
      <c r="E1528" s="9" t="s">
        <v>143</v>
      </c>
      <c r="F1528" s="9">
        <v>370985.0</v>
      </c>
      <c r="H1528" s="9">
        <v>1.70641037546E9</v>
      </c>
      <c r="I1528" s="9">
        <v>4.510279537E7</v>
      </c>
      <c r="J1528" s="9">
        <v>1.405471017E7</v>
      </c>
      <c r="K1528" s="9">
        <v>4.5339797E7</v>
      </c>
      <c r="L1528" s="9" t="s">
        <v>59</v>
      </c>
      <c r="M1528" s="9" t="s">
        <v>55</v>
      </c>
      <c r="R1528" s="9" t="s">
        <v>122</v>
      </c>
      <c r="S1528" s="9" t="s">
        <v>101</v>
      </c>
      <c r="T1528" s="9" t="s">
        <v>123</v>
      </c>
    </row>
    <row r="1529" ht="15.75" customHeight="1">
      <c r="A1529" s="9">
        <v>2331898.0</v>
      </c>
      <c r="B1529" s="9">
        <v>3109179.0</v>
      </c>
      <c r="C1529" s="9">
        <v>42577.0</v>
      </c>
      <c r="D1529" s="9" t="s">
        <v>52</v>
      </c>
      <c r="E1529" s="9" t="s">
        <v>53</v>
      </c>
      <c r="F1529" s="9">
        <v>371206.0</v>
      </c>
      <c r="G1529" s="9">
        <v>4042223.54</v>
      </c>
      <c r="H1529" s="9">
        <v>4600854.4</v>
      </c>
      <c r="I1529" s="9">
        <v>4600854.4</v>
      </c>
      <c r="J1529" s="9">
        <v>0.0</v>
      </c>
      <c r="K1529" s="9">
        <v>0.0</v>
      </c>
      <c r="L1529" s="9" t="s">
        <v>69</v>
      </c>
      <c r="M1529" s="9" t="s">
        <v>55</v>
      </c>
      <c r="N1529" s="9">
        <v>4420922.42</v>
      </c>
      <c r="O1529" s="9">
        <v>4099718.82</v>
      </c>
      <c r="P1529" s="9">
        <v>113933.46</v>
      </c>
      <c r="Q1529" s="9">
        <v>102540.12</v>
      </c>
      <c r="R1529" s="9" t="s">
        <v>72</v>
      </c>
      <c r="S1529" s="9" t="s">
        <v>57</v>
      </c>
      <c r="T1529" s="9" t="s">
        <v>73</v>
      </c>
    </row>
    <row r="1530" ht="15.75" customHeight="1">
      <c r="A1530" s="9">
        <v>2333133.0</v>
      </c>
      <c r="B1530" s="9">
        <v>3.882657922E7</v>
      </c>
      <c r="C1530" s="9">
        <v>43512.0</v>
      </c>
      <c r="D1530" s="9" t="s">
        <v>52</v>
      </c>
      <c r="E1530" s="9" t="s">
        <v>87</v>
      </c>
      <c r="F1530" s="9">
        <v>372423.0</v>
      </c>
      <c r="H1530" s="9">
        <v>4.107201587E7</v>
      </c>
      <c r="I1530" s="9">
        <v>763609.31</v>
      </c>
      <c r="J1530" s="9">
        <v>0.0</v>
      </c>
      <c r="K1530" s="9">
        <v>0.0</v>
      </c>
      <c r="L1530" s="9" t="s">
        <v>59</v>
      </c>
      <c r="M1530" s="9" t="s">
        <v>65</v>
      </c>
      <c r="N1530" s="9">
        <v>3.882657922E7</v>
      </c>
      <c r="O1530" s="9">
        <v>3.882657922E7</v>
      </c>
      <c r="P1530" s="9">
        <v>3194444.18</v>
      </c>
      <c r="Q1530" s="9">
        <v>3194235.46</v>
      </c>
      <c r="R1530" s="9" t="s">
        <v>66</v>
      </c>
      <c r="S1530" s="9" t="s">
        <v>67</v>
      </c>
      <c r="T1530" s="9" t="s">
        <v>68</v>
      </c>
    </row>
    <row r="1531" ht="15.75" customHeight="1">
      <c r="A1531" s="9">
        <v>2336995.0</v>
      </c>
      <c r="B1531" s="9">
        <v>2884507.0</v>
      </c>
      <c r="C1531" s="9">
        <v>40608.0</v>
      </c>
      <c r="D1531" s="9" t="s">
        <v>52</v>
      </c>
      <c r="E1531" s="9" t="s">
        <v>53</v>
      </c>
      <c r="F1531" s="9">
        <v>375992.0</v>
      </c>
      <c r="G1531" s="9">
        <v>3760531.74</v>
      </c>
      <c r="H1531" s="9">
        <v>3760531.74</v>
      </c>
      <c r="I1531" s="9">
        <v>3721030.92</v>
      </c>
      <c r="J1531" s="9">
        <v>0.0</v>
      </c>
      <c r="K1531" s="9">
        <v>0.0</v>
      </c>
      <c r="L1531" s="9" t="s">
        <v>59</v>
      </c>
      <c r="M1531" s="9" t="s">
        <v>55</v>
      </c>
      <c r="N1531" s="9">
        <v>3533840.0</v>
      </c>
      <c r="O1531" s="9">
        <v>3533540.0</v>
      </c>
      <c r="P1531" s="9">
        <v>176691.0</v>
      </c>
      <c r="Q1531" s="9">
        <v>176691.0</v>
      </c>
      <c r="R1531" s="9" t="s">
        <v>60</v>
      </c>
      <c r="S1531" s="9" t="s">
        <v>57</v>
      </c>
      <c r="T1531" s="9" t="s">
        <v>61</v>
      </c>
      <c r="V1531" s="9">
        <v>3533842.05</v>
      </c>
      <c r="W1531" s="9">
        <v>187191.0</v>
      </c>
      <c r="X1531" s="9">
        <v>0.0</v>
      </c>
    </row>
    <row r="1532" ht="15.75" customHeight="1">
      <c r="A1532" s="9">
        <v>2337928.0</v>
      </c>
      <c r="B1532" s="9">
        <v>7339779.0</v>
      </c>
      <c r="C1532" s="9">
        <v>40017.0</v>
      </c>
      <c r="D1532" s="9" t="s">
        <v>52</v>
      </c>
      <c r="E1532" s="9" t="s">
        <v>111</v>
      </c>
      <c r="F1532" s="9">
        <v>376852.0</v>
      </c>
      <c r="G1532" s="9">
        <v>8105250.01</v>
      </c>
      <c r="H1532" s="9">
        <v>7861159.55</v>
      </c>
      <c r="I1532" s="9">
        <v>8890400.6</v>
      </c>
      <c r="J1532" s="9">
        <v>0.0</v>
      </c>
      <c r="K1532" s="9">
        <v>0.0</v>
      </c>
      <c r="L1532" s="9" t="s">
        <v>59</v>
      </c>
      <c r="M1532" s="9" t="s">
        <v>55</v>
      </c>
      <c r="N1532" s="9">
        <v>7403281.18</v>
      </c>
      <c r="O1532" s="9">
        <v>7287403.73</v>
      </c>
      <c r="P1532" s="9">
        <v>370164.06</v>
      </c>
      <c r="Q1532" s="9">
        <v>352761.91</v>
      </c>
      <c r="R1532" s="9" t="s">
        <v>72</v>
      </c>
      <c r="S1532" s="9" t="s">
        <v>57</v>
      </c>
      <c r="T1532" s="9" t="s">
        <v>73</v>
      </c>
    </row>
    <row r="1533" ht="15.75" customHeight="1">
      <c r="A1533" s="9">
        <v>2338414.0</v>
      </c>
      <c r="B1533" s="9">
        <v>2.4901202E7</v>
      </c>
      <c r="C1533" s="9">
        <v>44262.0</v>
      </c>
      <c r="D1533" s="9" t="s">
        <v>52</v>
      </c>
      <c r="E1533" s="9" t="s">
        <v>53</v>
      </c>
      <c r="F1533" s="9">
        <v>251157.0</v>
      </c>
      <c r="G1533" s="9">
        <v>2.197435314E7</v>
      </c>
      <c r="H1533" s="9">
        <v>2.555835785E7</v>
      </c>
      <c r="I1533" s="9">
        <v>1.075110649E7</v>
      </c>
      <c r="J1533" s="9">
        <v>475515.17</v>
      </c>
      <c r="K1533" s="9">
        <v>1766391.0</v>
      </c>
      <c r="L1533" s="9" t="s">
        <v>59</v>
      </c>
      <c r="M1533" s="9" t="s">
        <v>55</v>
      </c>
      <c r="N1533" s="9">
        <v>2.128087046E7</v>
      </c>
      <c r="O1533" s="9">
        <v>1.915278342E7</v>
      </c>
      <c r="P1533" s="9">
        <v>597651.34</v>
      </c>
      <c r="Q1533" s="9">
        <v>537886.21</v>
      </c>
      <c r="R1533" s="9" t="s">
        <v>77</v>
      </c>
      <c r="S1533" s="9" t="s">
        <v>78</v>
      </c>
      <c r="T1533" s="9" t="s">
        <v>79</v>
      </c>
      <c r="U1533" s="9" t="s">
        <v>80</v>
      </c>
    </row>
    <row r="1534" ht="15.75" customHeight="1">
      <c r="A1534" s="9">
        <v>2348792.0</v>
      </c>
      <c r="B1534" s="9">
        <v>1.440466E7</v>
      </c>
      <c r="C1534" s="9">
        <v>47204.0</v>
      </c>
      <c r="D1534" s="9" t="s">
        <v>52</v>
      </c>
      <c r="E1534" s="9" t="s">
        <v>53</v>
      </c>
      <c r="F1534" s="9">
        <v>2348792.0</v>
      </c>
      <c r="G1534" s="9">
        <v>1.857316626E7</v>
      </c>
      <c r="H1534" s="9">
        <v>2.022554229E7</v>
      </c>
      <c r="I1534" s="9">
        <v>1.82108184E7</v>
      </c>
      <c r="J1534" s="9">
        <v>3560195.7</v>
      </c>
      <c r="K1534" s="9">
        <v>3913426.0</v>
      </c>
      <c r="L1534" s="9" t="s">
        <v>59</v>
      </c>
      <c r="M1534" s="9" t="s">
        <v>55</v>
      </c>
      <c r="N1534" s="9">
        <v>1.853652777E7</v>
      </c>
      <c r="O1534" s="9">
        <v>1.727981402E7</v>
      </c>
      <c r="P1534" s="9">
        <v>1210435.26</v>
      </c>
      <c r="Q1534" s="9">
        <v>1025790.0</v>
      </c>
      <c r="R1534" s="9" t="s">
        <v>70</v>
      </c>
      <c r="S1534" s="9" t="s">
        <v>57</v>
      </c>
      <c r="T1534" s="9" t="s">
        <v>71</v>
      </c>
    </row>
    <row r="1535" ht="15.75" customHeight="1">
      <c r="A1535" s="9">
        <v>2375732.0</v>
      </c>
      <c r="B1535" s="9">
        <v>3.596601365E7</v>
      </c>
      <c r="C1535" s="9">
        <v>42120.0</v>
      </c>
      <c r="D1535" s="9" t="s">
        <v>52</v>
      </c>
      <c r="E1535" s="9" t="s">
        <v>53</v>
      </c>
      <c r="F1535" s="9">
        <v>2375732.0</v>
      </c>
      <c r="G1535" s="9">
        <v>3.596601365E7</v>
      </c>
      <c r="H1535" s="9">
        <v>3.596601365E7</v>
      </c>
      <c r="I1535" s="9">
        <v>489911.87</v>
      </c>
      <c r="J1535" s="9">
        <v>0.0</v>
      </c>
      <c r="K1535" s="9">
        <v>20000.0</v>
      </c>
      <c r="L1535" s="9" t="s">
        <v>59</v>
      </c>
      <c r="M1535" s="9" t="s">
        <v>65</v>
      </c>
      <c r="N1535" s="9">
        <v>538482.63</v>
      </c>
      <c r="O1535" s="9">
        <v>410707.1</v>
      </c>
      <c r="P1535" s="9">
        <v>124543.1</v>
      </c>
      <c r="Q1535" s="9">
        <v>112088.79</v>
      </c>
      <c r="R1535" s="9" t="s">
        <v>60</v>
      </c>
      <c r="S1535" s="9" t="s">
        <v>57</v>
      </c>
      <c r="T1535" s="9" t="s">
        <v>61</v>
      </c>
      <c r="V1535" s="9">
        <v>0.0</v>
      </c>
      <c r="W1535" s="9">
        <v>0.0</v>
      </c>
    </row>
    <row r="1536" ht="15.75" customHeight="1">
      <c r="A1536" s="9">
        <v>2387732.0</v>
      </c>
      <c r="B1536" s="9">
        <v>3.086509098E7</v>
      </c>
      <c r="C1536" s="9">
        <v>41813.0</v>
      </c>
      <c r="D1536" s="9" t="s">
        <v>52</v>
      </c>
      <c r="E1536" s="9" t="s">
        <v>64</v>
      </c>
      <c r="F1536" s="9">
        <v>2387732.0</v>
      </c>
      <c r="G1536" s="9">
        <v>3.086509098E7</v>
      </c>
      <c r="H1536" s="9">
        <v>3.386289535E7</v>
      </c>
      <c r="I1536" s="9">
        <v>3765413.43</v>
      </c>
      <c r="J1536" s="9">
        <v>957860.23</v>
      </c>
      <c r="K1536" s="9">
        <v>1728548.0</v>
      </c>
      <c r="L1536" s="9" t="s">
        <v>59</v>
      </c>
      <c r="M1536" s="9" t="s">
        <v>65</v>
      </c>
      <c r="N1536" s="9">
        <v>4700068.83</v>
      </c>
      <c r="O1536" s="9">
        <v>4230061.95</v>
      </c>
      <c r="R1536" s="9" t="s">
        <v>66</v>
      </c>
      <c r="S1536" s="9" t="s">
        <v>67</v>
      </c>
      <c r="T1536" s="9" t="s">
        <v>68</v>
      </c>
    </row>
    <row r="1537" ht="15.75" customHeight="1">
      <c r="A1537" s="9">
        <v>2394369.0</v>
      </c>
      <c r="B1537" s="9">
        <v>1.6112717E7</v>
      </c>
      <c r="C1537" s="9">
        <v>47206.0</v>
      </c>
      <c r="D1537" s="9" t="s">
        <v>52</v>
      </c>
      <c r="E1537" s="9" t="s">
        <v>53</v>
      </c>
      <c r="F1537" s="9">
        <v>2394369.0</v>
      </c>
      <c r="G1537" s="9">
        <v>2.259614269E7</v>
      </c>
      <c r="H1537" s="9">
        <v>2.2726563E7</v>
      </c>
      <c r="I1537" s="9">
        <v>2.107727548E7</v>
      </c>
      <c r="J1537" s="9">
        <v>5245229.06</v>
      </c>
      <c r="K1537" s="9">
        <v>6894517.0</v>
      </c>
      <c r="L1537" s="9" t="s">
        <v>59</v>
      </c>
      <c r="M1537" s="9" t="s">
        <v>55</v>
      </c>
      <c r="N1537" s="9">
        <v>2.16002372E7</v>
      </c>
      <c r="O1537" s="9">
        <v>2.095204887E7</v>
      </c>
      <c r="P1537" s="9">
        <v>908725.0</v>
      </c>
      <c r="Q1537" s="9">
        <v>908000.0</v>
      </c>
      <c r="R1537" s="9" t="s">
        <v>104</v>
      </c>
      <c r="S1537" s="9" t="s">
        <v>82</v>
      </c>
      <c r="T1537" s="9" t="s">
        <v>83</v>
      </c>
      <c r="U1537" s="9" t="s">
        <v>105</v>
      </c>
    </row>
    <row r="1538" ht="15.75" customHeight="1">
      <c r="A1538" s="9">
        <v>2397027.0</v>
      </c>
      <c r="B1538" s="9">
        <v>5145367.51</v>
      </c>
      <c r="C1538" s="9">
        <v>44015.0</v>
      </c>
      <c r="D1538" s="9" t="s">
        <v>52</v>
      </c>
      <c r="E1538" s="9" t="s">
        <v>53</v>
      </c>
      <c r="F1538" s="9">
        <v>2397027.0</v>
      </c>
      <c r="G1538" s="9">
        <v>5145367.51</v>
      </c>
      <c r="H1538" s="9">
        <v>5220080.6</v>
      </c>
      <c r="I1538" s="9">
        <v>5220078.36</v>
      </c>
      <c r="J1538" s="9">
        <v>0.0</v>
      </c>
      <c r="K1538" s="9">
        <v>0.0</v>
      </c>
      <c r="L1538" s="9" t="s">
        <v>69</v>
      </c>
      <c r="M1538" s="9" t="s">
        <v>55</v>
      </c>
      <c r="N1538" s="9">
        <v>5092785.08</v>
      </c>
      <c r="O1538" s="9">
        <v>4747264.38</v>
      </c>
      <c r="P1538" s="9">
        <v>305567.1</v>
      </c>
      <c r="Q1538" s="9">
        <v>284580.68</v>
      </c>
      <c r="R1538" s="9" t="s">
        <v>56</v>
      </c>
      <c r="S1538" s="9" t="s">
        <v>57</v>
      </c>
      <c r="T1538" s="9" t="s">
        <v>58</v>
      </c>
      <c r="V1538" s="9">
        <v>4935229.6</v>
      </c>
      <c r="W1538" s="9">
        <v>284850.68</v>
      </c>
      <c r="X1538" s="9">
        <v>0.0</v>
      </c>
    </row>
    <row r="1539" ht="15.75" customHeight="1">
      <c r="A1539" s="9">
        <v>2402140.0</v>
      </c>
      <c r="B1539" s="9">
        <v>1058291.33</v>
      </c>
      <c r="C1539" s="9">
        <v>47916.0</v>
      </c>
      <c r="D1539" s="9" t="s">
        <v>52</v>
      </c>
      <c r="E1539" s="9" t="s">
        <v>53</v>
      </c>
      <c r="F1539" s="9">
        <v>2402140.0</v>
      </c>
      <c r="G1539" s="9">
        <v>1.021297066E7</v>
      </c>
      <c r="H1539" s="9">
        <v>1.001281437E7</v>
      </c>
      <c r="I1539" s="9">
        <v>1.000474469E7</v>
      </c>
      <c r="J1539" s="9">
        <v>3866503.58</v>
      </c>
      <c r="K1539" s="9">
        <v>3866504.0</v>
      </c>
      <c r="L1539" s="9" t="s">
        <v>59</v>
      </c>
      <c r="M1539" s="9" t="s">
        <v>55</v>
      </c>
      <c r="N1539" s="9">
        <v>9531251.78</v>
      </c>
      <c r="O1539" s="9">
        <v>8775450.08</v>
      </c>
      <c r="P1539" s="9">
        <v>476562.59</v>
      </c>
      <c r="Q1539" s="9">
        <v>443500.0</v>
      </c>
      <c r="R1539" s="9" t="s">
        <v>72</v>
      </c>
      <c r="S1539" s="9" t="s">
        <v>57</v>
      </c>
      <c r="T1539" s="9" t="s">
        <v>73</v>
      </c>
      <c r="V1539" s="9">
        <v>9489752.8</v>
      </c>
      <c r="W1539" s="9">
        <v>509991.9</v>
      </c>
      <c r="X1539" s="9">
        <v>0.0</v>
      </c>
    </row>
    <row r="1540" ht="15.75" customHeight="1">
      <c r="A1540" s="9">
        <v>2410914.0</v>
      </c>
      <c r="B1540" s="9">
        <v>8955791.42</v>
      </c>
      <c r="C1540" s="9">
        <v>42907.0</v>
      </c>
      <c r="D1540" s="9" t="s">
        <v>52</v>
      </c>
      <c r="E1540" s="9" t="s">
        <v>111</v>
      </c>
      <c r="F1540" s="9">
        <v>2410914.0</v>
      </c>
      <c r="H1540" s="9">
        <v>9535291.48</v>
      </c>
      <c r="I1540" s="9">
        <v>9535290.37</v>
      </c>
      <c r="J1540" s="9">
        <v>0.0</v>
      </c>
      <c r="K1540" s="9">
        <v>0.0</v>
      </c>
      <c r="L1540" s="9" t="s">
        <v>59</v>
      </c>
      <c r="M1540" s="9" t="s">
        <v>55</v>
      </c>
      <c r="N1540" s="9">
        <v>7976832.29</v>
      </c>
      <c r="O1540" s="9">
        <v>7820622.28</v>
      </c>
      <c r="P1540" s="9">
        <v>386766.34</v>
      </c>
      <c r="Q1540" s="9">
        <v>229853.72</v>
      </c>
      <c r="R1540" s="9" t="s">
        <v>72</v>
      </c>
      <c r="S1540" s="9" t="s">
        <v>57</v>
      </c>
      <c r="T1540" s="9" t="s">
        <v>73</v>
      </c>
    </row>
    <row r="1541" ht="15.75" customHeight="1">
      <c r="A1541" s="9">
        <v>2412318.0</v>
      </c>
      <c r="B1541" s="9">
        <v>262087.11</v>
      </c>
      <c r="C1541" s="9">
        <v>42877.0</v>
      </c>
      <c r="D1541" s="9" t="s">
        <v>52</v>
      </c>
      <c r="E1541" s="9" t="s">
        <v>111</v>
      </c>
      <c r="F1541" s="9">
        <v>2412318.0</v>
      </c>
      <c r="H1541" s="9">
        <v>157138.68</v>
      </c>
      <c r="I1541" s="9">
        <v>157138.68</v>
      </c>
      <c r="J1541" s="9">
        <v>0.0</v>
      </c>
      <c r="K1541" s="9">
        <v>0.0</v>
      </c>
      <c r="L1541" s="9" t="s">
        <v>69</v>
      </c>
      <c r="M1541" s="9" t="s">
        <v>55</v>
      </c>
      <c r="N1541" s="9">
        <v>246429.71</v>
      </c>
      <c r="O1541" s="9">
        <v>123004.72</v>
      </c>
      <c r="R1541" s="9" t="s">
        <v>72</v>
      </c>
      <c r="S1541" s="9" t="s">
        <v>57</v>
      </c>
      <c r="T1541" s="9" t="s">
        <v>73</v>
      </c>
    </row>
    <row r="1542" ht="15.75" customHeight="1">
      <c r="A1542" s="9">
        <v>2431973.0</v>
      </c>
      <c r="B1542" s="9">
        <v>3476958.94</v>
      </c>
      <c r="C1542" s="9">
        <v>44030.0</v>
      </c>
      <c r="D1542" s="9" t="s">
        <v>52</v>
      </c>
      <c r="E1542" s="9" t="s">
        <v>53</v>
      </c>
      <c r="F1542" s="9">
        <v>2431973.0</v>
      </c>
      <c r="G1542" s="9">
        <v>3476958.94</v>
      </c>
      <c r="H1542" s="9">
        <v>3815816.43</v>
      </c>
      <c r="I1542" s="9">
        <v>3814204.6</v>
      </c>
      <c r="J1542" s="9">
        <v>0.0</v>
      </c>
      <c r="K1542" s="9">
        <v>0.0</v>
      </c>
      <c r="L1542" s="9" t="s">
        <v>69</v>
      </c>
      <c r="M1542" s="9" t="s">
        <v>55</v>
      </c>
      <c r="N1542" s="9">
        <v>3465385.66</v>
      </c>
      <c r="O1542" s="9">
        <v>3118847.1</v>
      </c>
      <c r="P1542" s="9">
        <v>86634.64</v>
      </c>
      <c r="Q1542" s="9">
        <v>77971.18</v>
      </c>
      <c r="R1542" s="9" t="s">
        <v>60</v>
      </c>
      <c r="S1542" s="9" t="s">
        <v>57</v>
      </c>
      <c r="T1542" s="9" t="s">
        <v>61</v>
      </c>
      <c r="V1542" s="9">
        <v>3724416.06</v>
      </c>
      <c r="W1542" s="9">
        <v>77971.18</v>
      </c>
      <c r="X1542" s="9">
        <v>0.0</v>
      </c>
    </row>
    <row r="1543" ht="15.75" customHeight="1">
      <c r="A1543" s="9">
        <v>2436067.0</v>
      </c>
      <c r="B1543" s="9">
        <v>871051.76</v>
      </c>
      <c r="C1543" s="9">
        <v>43435.0</v>
      </c>
      <c r="D1543" s="9" t="s">
        <v>52</v>
      </c>
      <c r="E1543" s="9" t="s">
        <v>111</v>
      </c>
      <c r="F1543" s="9">
        <v>2436067.0</v>
      </c>
      <c r="G1543" s="9">
        <v>871051.76</v>
      </c>
      <c r="H1543" s="9">
        <v>874608.76</v>
      </c>
      <c r="I1543" s="9">
        <v>29362.01</v>
      </c>
      <c r="J1543" s="9">
        <v>0.0</v>
      </c>
      <c r="K1543" s="9">
        <v>0.0</v>
      </c>
      <c r="L1543" s="9" t="s">
        <v>59</v>
      </c>
      <c r="M1543" s="9" t="s">
        <v>55</v>
      </c>
      <c r="R1543" s="9" t="s">
        <v>56</v>
      </c>
      <c r="S1543" s="9" t="s">
        <v>57</v>
      </c>
      <c r="T1543" s="9" t="s">
        <v>58</v>
      </c>
    </row>
    <row r="1544" ht="15.75" customHeight="1">
      <c r="A1544" s="9">
        <v>2436167.0</v>
      </c>
      <c r="B1544" s="9">
        <v>87258.23</v>
      </c>
      <c r="C1544" s="9">
        <v>43132.0</v>
      </c>
      <c r="D1544" s="9" t="s">
        <v>52</v>
      </c>
      <c r="E1544" s="9" t="s">
        <v>111</v>
      </c>
      <c r="F1544" s="9">
        <v>2436167.0</v>
      </c>
      <c r="G1544" s="9">
        <v>87258.23</v>
      </c>
      <c r="H1544" s="9">
        <v>88995.23</v>
      </c>
      <c r="I1544" s="9">
        <v>0.0</v>
      </c>
      <c r="J1544" s="9">
        <v>0.0</v>
      </c>
      <c r="K1544" s="9">
        <v>0.0</v>
      </c>
      <c r="L1544" s="9" t="s">
        <v>59</v>
      </c>
      <c r="M1544" s="9" t="s">
        <v>55</v>
      </c>
      <c r="R1544" s="9" t="s">
        <v>94</v>
      </c>
      <c r="S1544" s="9" t="s">
        <v>57</v>
      </c>
      <c r="T1544" s="9" t="s">
        <v>95</v>
      </c>
    </row>
    <row r="1545" ht="15.75" customHeight="1">
      <c r="A1545" s="9">
        <v>2436199.0</v>
      </c>
      <c r="B1545" s="9">
        <v>72857.23</v>
      </c>
      <c r="C1545" s="9">
        <v>43209.0</v>
      </c>
      <c r="D1545" s="9" t="s">
        <v>52</v>
      </c>
      <c r="E1545" s="9" t="s">
        <v>111</v>
      </c>
      <c r="F1545" s="9">
        <v>2436199.0</v>
      </c>
      <c r="G1545" s="9">
        <v>72857.23</v>
      </c>
      <c r="H1545" s="9">
        <v>75547.8</v>
      </c>
      <c r="I1545" s="9">
        <v>1843.77</v>
      </c>
      <c r="J1545" s="9">
        <v>0.0</v>
      </c>
      <c r="K1545" s="9">
        <v>0.0</v>
      </c>
      <c r="L1545" s="9" t="s">
        <v>59</v>
      </c>
      <c r="M1545" s="9" t="s">
        <v>55</v>
      </c>
      <c r="R1545" s="9" t="s">
        <v>75</v>
      </c>
      <c r="S1545" s="9" t="s">
        <v>57</v>
      </c>
      <c r="T1545" s="9" t="s">
        <v>76</v>
      </c>
    </row>
    <row r="1546" ht="15.75" customHeight="1">
      <c r="A1546" s="9">
        <v>2436200.0</v>
      </c>
      <c r="B1546" s="9">
        <v>59325.42</v>
      </c>
      <c r="C1546" s="9">
        <v>43432.0</v>
      </c>
      <c r="D1546" s="9" t="s">
        <v>52</v>
      </c>
      <c r="E1546" s="9" t="s">
        <v>111</v>
      </c>
      <c r="F1546" s="9">
        <v>2436200.0</v>
      </c>
      <c r="G1546" s="9">
        <v>59325.42</v>
      </c>
      <c r="H1546" s="9">
        <v>62036.99</v>
      </c>
      <c r="I1546" s="9">
        <v>3546.4</v>
      </c>
      <c r="J1546" s="9">
        <v>0.0</v>
      </c>
      <c r="K1546" s="9">
        <v>0.0</v>
      </c>
      <c r="L1546" s="9" t="s">
        <v>59</v>
      </c>
      <c r="M1546" s="9" t="s">
        <v>55</v>
      </c>
      <c r="R1546" s="9" t="s">
        <v>94</v>
      </c>
      <c r="S1546" s="9" t="s">
        <v>57</v>
      </c>
      <c r="T1546" s="9" t="s">
        <v>95</v>
      </c>
    </row>
    <row r="1547" ht="15.75" customHeight="1">
      <c r="A1547" s="9">
        <v>2436231.0</v>
      </c>
      <c r="B1547" s="9">
        <v>99625.27</v>
      </c>
      <c r="C1547" s="9">
        <v>43239.0</v>
      </c>
      <c r="D1547" s="9" t="s">
        <v>52</v>
      </c>
      <c r="E1547" s="9" t="s">
        <v>111</v>
      </c>
      <c r="F1547" s="9">
        <v>2436231.0</v>
      </c>
      <c r="G1547" s="9">
        <v>99625.27</v>
      </c>
      <c r="H1547" s="9">
        <v>101428.77</v>
      </c>
      <c r="I1547" s="9">
        <v>3896.0</v>
      </c>
      <c r="J1547" s="9">
        <v>0.0</v>
      </c>
      <c r="K1547" s="9">
        <v>0.0</v>
      </c>
      <c r="L1547" s="9" t="s">
        <v>59</v>
      </c>
      <c r="M1547" s="9" t="s">
        <v>55</v>
      </c>
      <c r="R1547" s="9" t="s">
        <v>94</v>
      </c>
      <c r="S1547" s="9" t="s">
        <v>57</v>
      </c>
      <c r="T1547" s="9" t="s">
        <v>95</v>
      </c>
    </row>
    <row r="1548" ht="15.75" customHeight="1">
      <c r="A1548" s="9">
        <v>2436399.0</v>
      </c>
      <c r="B1548" s="9">
        <v>128873.01</v>
      </c>
      <c r="C1548" s="9">
        <v>43356.0</v>
      </c>
      <c r="D1548" s="9" t="s">
        <v>52</v>
      </c>
      <c r="E1548" s="9" t="s">
        <v>111</v>
      </c>
      <c r="F1548" s="9">
        <v>2436399.0</v>
      </c>
      <c r="G1548" s="9">
        <v>128873.01</v>
      </c>
      <c r="H1548" s="9">
        <v>130335.81</v>
      </c>
      <c r="I1548" s="9">
        <v>0.0</v>
      </c>
      <c r="J1548" s="9">
        <v>0.0</v>
      </c>
      <c r="K1548" s="9">
        <v>0.0</v>
      </c>
      <c r="L1548" s="9" t="s">
        <v>59</v>
      </c>
      <c r="M1548" s="9" t="s">
        <v>55</v>
      </c>
      <c r="R1548" s="9" t="s">
        <v>94</v>
      </c>
      <c r="S1548" s="9" t="s">
        <v>57</v>
      </c>
      <c r="T1548" s="9" t="s">
        <v>95</v>
      </c>
    </row>
    <row r="1549" ht="15.75" customHeight="1">
      <c r="A1549" s="9">
        <v>2323222.0</v>
      </c>
      <c r="B1549" s="9">
        <v>1.2692568E7</v>
      </c>
      <c r="C1549" s="9">
        <v>44722.0</v>
      </c>
      <c r="D1549" s="9" t="s">
        <v>52</v>
      </c>
      <c r="E1549" s="9" t="s">
        <v>53</v>
      </c>
      <c r="F1549" s="9">
        <v>360118.0</v>
      </c>
      <c r="G1549" s="9">
        <v>1.623797077E7</v>
      </c>
      <c r="H1549" s="9">
        <v>1.69791364E7</v>
      </c>
      <c r="I1549" s="9">
        <v>1.689313385E7</v>
      </c>
      <c r="J1549" s="9">
        <v>0.0</v>
      </c>
      <c r="K1549" s="9">
        <v>0.0</v>
      </c>
      <c r="L1549" s="9" t="s">
        <v>69</v>
      </c>
      <c r="M1549" s="9" t="s">
        <v>55</v>
      </c>
      <c r="N1549" s="9">
        <v>1.547144966E7</v>
      </c>
      <c r="O1549" s="9">
        <v>1.547144966E7</v>
      </c>
      <c r="P1549" s="9">
        <v>485533.91</v>
      </c>
      <c r="Q1549" s="9">
        <v>485533.91</v>
      </c>
      <c r="R1549" s="9" t="s">
        <v>60</v>
      </c>
      <c r="S1549" s="9" t="s">
        <v>57</v>
      </c>
      <c r="T1549" s="9" t="s">
        <v>61</v>
      </c>
      <c r="V1549" s="9">
        <v>1.604272744E7</v>
      </c>
      <c r="W1549" s="9">
        <v>520119.86</v>
      </c>
      <c r="X1549" s="9">
        <v>0.0</v>
      </c>
    </row>
    <row r="1550" ht="15.75" customHeight="1">
      <c r="A1550" s="9">
        <v>2323675.0</v>
      </c>
      <c r="B1550" s="9">
        <v>1429662.0</v>
      </c>
      <c r="C1550" s="9">
        <v>47199.0</v>
      </c>
      <c r="D1550" s="9" t="s">
        <v>52</v>
      </c>
      <c r="E1550" s="9" t="s">
        <v>53</v>
      </c>
      <c r="F1550" s="9">
        <v>360541.0</v>
      </c>
      <c r="G1550" s="9">
        <v>3396332.93</v>
      </c>
      <c r="H1550" s="9">
        <v>3370056.14</v>
      </c>
      <c r="I1550" s="9">
        <v>3320655.69</v>
      </c>
      <c r="J1550" s="9">
        <v>184999.0</v>
      </c>
      <c r="K1550" s="9">
        <v>184999.0</v>
      </c>
      <c r="L1550" s="9" t="s">
        <v>59</v>
      </c>
      <c r="M1550" s="9" t="s">
        <v>55</v>
      </c>
      <c r="N1550" s="9">
        <v>2961969.0</v>
      </c>
      <c r="O1550" s="9">
        <v>2902729.61</v>
      </c>
      <c r="P1550" s="9">
        <v>233422.0</v>
      </c>
      <c r="Q1550" s="9">
        <v>233076.53</v>
      </c>
      <c r="R1550" s="9" t="s">
        <v>94</v>
      </c>
      <c r="S1550" s="9" t="s">
        <v>57</v>
      </c>
      <c r="T1550" s="9" t="s">
        <v>95</v>
      </c>
    </row>
    <row r="1551" ht="15.75" customHeight="1">
      <c r="A1551" s="9">
        <v>2325480.0</v>
      </c>
      <c r="B1551" s="9">
        <v>7981386.0</v>
      </c>
      <c r="C1551" s="9">
        <v>37625.0</v>
      </c>
      <c r="D1551" s="9" t="s">
        <v>52</v>
      </c>
      <c r="E1551" s="9" t="s">
        <v>53</v>
      </c>
      <c r="F1551" s="9">
        <v>285247.0</v>
      </c>
      <c r="G1551" s="9">
        <v>1.299403171E7</v>
      </c>
      <c r="H1551" s="9">
        <v>1.29940317E7</v>
      </c>
      <c r="I1551" s="9">
        <v>1.269157846E7</v>
      </c>
      <c r="J1551" s="9">
        <v>0.0</v>
      </c>
      <c r="K1551" s="9">
        <v>0.0</v>
      </c>
      <c r="L1551" s="9" t="s">
        <v>69</v>
      </c>
      <c r="M1551" s="9" t="s">
        <v>55</v>
      </c>
      <c r="N1551" s="9">
        <v>1.251998284E7</v>
      </c>
      <c r="O1551" s="9">
        <v>1.126798456E7</v>
      </c>
      <c r="P1551" s="9">
        <v>369048.87</v>
      </c>
      <c r="Q1551" s="9">
        <v>332143.99</v>
      </c>
      <c r="R1551" s="9" t="s">
        <v>60</v>
      </c>
      <c r="S1551" s="9" t="s">
        <v>57</v>
      </c>
      <c r="T1551" s="9" t="s">
        <v>61</v>
      </c>
      <c r="V1551" s="9">
        <v>1.232259959E7</v>
      </c>
      <c r="W1551" s="9">
        <v>369048.87</v>
      </c>
      <c r="X1551" s="9">
        <v>0.0</v>
      </c>
    </row>
    <row r="1552" ht="15.75" customHeight="1">
      <c r="A1552" s="9">
        <v>2327619.0</v>
      </c>
      <c r="B1552" s="9">
        <v>7.91137745E8</v>
      </c>
      <c r="C1552" s="9">
        <v>48062.0</v>
      </c>
      <c r="D1552" s="9" t="s">
        <v>52</v>
      </c>
      <c r="E1552" s="9" t="s">
        <v>64</v>
      </c>
      <c r="F1552" s="9">
        <v>364052.0</v>
      </c>
      <c r="H1552" s="9">
        <v>7.921478376E8</v>
      </c>
      <c r="I1552" s="9">
        <v>6323733.13</v>
      </c>
      <c r="J1552" s="9">
        <v>32487.24</v>
      </c>
      <c r="K1552" s="9">
        <v>967782.0</v>
      </c>
      <c r="L1552" s="9" t="s">
        <v>59</v>
      </c>
      <c r="M1552" s="9" t="s">
        <v>65</v>
      </c>
      <c r="N1552" s="9">
        <v>6897293.46</v>
      </c>
      <c r="O1552" s="9">
        <v>6207564.12</v>
      </c>
      <c r="R1552" s="9" t="s">
        <v>66</v>
      </c>
      <c r="S1552" s="9" t="s">
        <v>67</v>
      </c>
      <c r="T1552" s="9" t="s">
        <v>68</v>
      </c>
    </row>
    <row r="1553" ht="15.75" customHeight="1">
      <c r="A1553" s="9">
        <v>2328870.0</v>
      </c>
      <c r="B1553" s="9">
        <v>1709003.0</v>
      </c>
      <c r="C1553" s="9">
        <v>47203.0</v>
      </c>
      <c r="D1553" s="9" t="s">
        <v>52</v>
      </c>
      <c r="E1553" s="9" t="s">
        <v>53</v>
      </c>
      <c r="F1553" s="9">
        <v>365205.0</v>
      </c>
      <c r="G1553" s="9">
        <v>5752230.89</v>
      </c>
      <c r="H1553" s="9">
        <v>7771380.0</v>
      </c>
      <c r="I1553" s="9">
        <v>7771378.99</v>
      </c>
      <c r="J1553" s="9">
        <v>260860.0</v>
      </c>
      <c r="K1553" s="9">
        <v>260860.0</v>
      </c>
      <c r="L1553" s="9" t="s">
        <v>59</v>
      </c>
      <c r="M1553" s="9" t="s">
        <v>55</v>
      </c>
      <c r="N1553" s="9">
        <v>6689188.91</v>
      </c>
      <c r="O1553" s="9">
        <v>6689188.91</v>
      </c>
      <c r="P1553" s="9">
        <v>867289.44</v>
      </c>
      <c r="Q1553" s="9">
        <v>867289.44</v>
      </c>
      <c r="R1553" s="9" t="s">
        <v>56</v>
      </c>
      <c r="S1553" s="9" t="s">
        <v>57</v>
      </c>
      <c r="T1553" s="9" t="s">
        <v>58</v>
      </c>
    </row>
    <row r="1554" ht="15.75" customHeight="1">
      <c r="A1554" s="9">
        <v>2331045.0</v>
      </c>
      <c r="B1554" s="9">
        <v>1.26261482E8</v>
      </c>
      <c r="C1554" s="9">
        <v>39181.0</v>
      </c>
      <c r="D1554" s="9" t="s">
        <v>52</v>
      </c>
      <c r="E1554" s="9" t="s">
        <v>64</v>
      </c>
      <c r="F1554" s="9">
        <v>369579.0</v>
      </c>
      <c r="G1554" s="9">
        <v>1.26261482E8</v>
      </c>
      <c r="H1554" s="9">
        <v>1.2626148185E8</v>
      </c>
      <c r="I1554" s="9">
        <v>6305415.25</v>
      </c>
      <c r="J1554" s="9">
        <v>296323.37</v>
      </c>
      <c r="K1554" s="9">
        <v>500000.0</v>
      </c>
      <c r="L1554" s="9" t="s">
        <v>59</v>
      </c>
      <c r="M1554" s="9" t="s">
        <v>116</v>
      </c>
      <c r="R1554" s="9" t="s">
        <v>117</v>
      </c>
      <c r="S1554" s="9" t="s">
        <v>57</v>
      </c>
      <c r="T1554" s="9" t="s">
        <v>118</v>
      </c>
    </row>
    <row r="1555" ht="15.75" customHeight="1">
      <c r="A1555" s="9">
        <v>2376184.0</v>
      </c>
      <c r="B1555" s="9">
        <v>1.60561584E8</v>
      </c>
      <c r="C1555" s="9">
        <v>46808.0</v>
      </c>
      <c r="D1555" s="9" t="s">
        <v>52</v>
      </c>
      <c r="E1555" s="9" t="s">
        <v>88</v>
      </c>
      <c r="F1555" s="9">
        <v>296934.0</v>
      </c>
      <c r="H1555" s="9">
        <v>2.4197891939E8</v>
      </c>
      <c r="I1555" s="9">
        <v>8.549088104E7</v>
      </c>
      <c r="J1555" s="9">
        <v>1.351861343E7</v>
      </c>
      <c r="K1555" s="9">
        <v>1.4164867E7</v>
      </c>
      <c r="L1555" s="9" t="s">
        <v>59</v>
      </c>
      <c r="M1555" s="9" t="s">
        <v>55</v>
      </c>
      <c r="N1555" s="9">
        <v>2.1922163008E8</v>
      </c>
      <c r="O1555" s="9">
        <v>1.9729946708E8</v>
      </c>
      <c r="P1555" s="9">
        <v>1.389169013E7</v>
      </c>
      <c r="Q1555" s="9">
        <v>1.250252112E7</v>
      </c>
      <c r="R1555" s="9" t="s">
        <v>133</v>
      </c>
      <c r="S1555" s="9" t="s">
        <v>82</v>
      </c>
      <c r="T1555" s="9" t="s">
        <v>83</v>
      </c>
      <c r="U1555" s="9" t="s">
        <v>134</v>
      </c>
    </row>
    <row r="1556" ht="15.75" customHeight="1">
      <c r="A1556" s="9">
        <v>2378792.0</v>
      </c>
      <c r="B1556" s="9">
        <v>2.5297211E7</v>
      </c>
      <c r="C1556" s="9">
        <v>46884.0</v>
      </c>
      <c r="D1556" s="9" t="s">
        <v>52</v>
      </c>
      <c r="E1556" s="9" t="s">
        <v>126</v>
      </c>
      <c r="F1556" s="9">
        <v>2378792.0</v>
      </c>
      <c r="H1556" s="9">
        <v>7.351282623E7</v>
      </c>
      <c r="I1556" s="9">
        <v>3.83669461E7</v>
      </c>
      <c r="J1556" s="9">
        <v>1.438527271E7</v>
      </c>
      <c r="K1556" s="9">
        <v>2.043236E7</v>
      </c>
      <c r="L1556" s="9" t="s">
        <v>59</v>
      </c>
      <c r="M1556" s="9" t="s">
        <v>55</v>
      </c>
      <c r="N1556" s="9">
        <v>6.060085899E7</v>
      </c>
      <c r="O1556" s="9">
        <v>6.282665416E7</v>
      </c>
      <c r="P1556" s="9">
        <v>4554173.53</v>
      </c>
      <c r="Q1556" s="9">
        <v>3127413.0</v>
      </c>
      <c r="R1556" s="9" t="s">
        <v>131</v>
      </c>
      <c r="S1556" s="9" t="s">
        <v>82</v>
      </c>
      <c r="T1556" s="9" t="s">
        <v>132</v>
      </c>
    </row>
    <row r="1557" ht="15.75" customHeight="1">
      <c r="A1557" s="9">
        <v>2380632.0</v>
      </c>
      <c r="B1557" s="9">
        <v>1520645.6</v>
      </c>
      <c r="C1557" s="9">
        <v>42579.0</v>
      </c>
      <c r="D1557" s="9" t="s">
        <v>52</v>
      </c>
      <c r="E1557" s="9" t="s">
        <v>53</v>
      </c>
      <c r="F1557" s="9">
        <v>2380632.0</v>
      </c>
      <c r="G1557" s="9">
        <v>1117822.41</v>
      </c>
      <c r="H1557" s="9">
        <v>1204127.49</v>
      </c>
      <c r="I1557" s="9">
        <v>938799.84</v>
      </c>
      <c r="J1557" s="9">
        <v>0.0</v>
      </c>
      <c r="K1557" s="9">
        <v>0.0</v>
      </c>
      <c r="L1557" s="9" t="s">
        <v>59</v>
      </c>
      <c r="M1557" s="9" t="s">
        <v>55</v>
      </c>
      <c r="N1557" s="9">
        <v>1085554.6</v>
      </c>
      <c r="O1557" s="9">
        <v>976999.14</v>
      </c>
      <c r="R1557" s="9" t="s">
        <v>56</v>
      </c>
      <c r="S1557" s="9" t="s">
        <v>57</v>
      </c>
      <c r="T1557" s="9" t="s">
        <v>58</v>
      </c>
      <c r="V1557" s="9">
        <v>911687.43</v>
      </c>
      <c r="W1557" s="9">
        <v>0.0</v>
      </c>
      <c r="X1557" s="9">
        <v>0.0</v>
      </c>
    </row>
    <row r="1558" ht="15.75" customHeight="1">
      <c r="A1558" s="9">
        <v>2380882.0</v>
      </c>
      <c r="B1558" s="9">
        <v>1.999279794E7</v>
      </c>
      <c r="C1558" s="9">
        <v>44248.0</v>
      </c>
      <c r="D1558" s="9" t="s">
        <v>52</v>
      </c>
      <c r="E1558" s="9" t="s">
        <v>53</v>
      </c>
      <c r="F1558" s="9">
        <v>2380882.0</v>
      </c>
      <c r="H1558" s="9">
        <v>4.524185857E7</v>
      </c>
      <c r="I1558" s="9">
        <v>558945.6</v>
      </c>
      <c r="J1558" s="9">
        <v>0.0</v>
      </c>
      <c r="K1558" s="9">
        <v>0.0</v>
      </c>
      <c r="L1558" s="9" t="s">
        <v>59</v>
      </c>
      <c r="M1558" s="9" t="s">
        <v>65</v>
      </c>
      <c r="N1558" s="9">
        <v>449998.0</v>
      </c>
      <c r="O1558" s="9">
        <v>449000.0</v>
      </c>
      <c r="P1558" s="9">
        <v>115457.0</v>
      </c>
      <c r="Q1558" s="9">
        <v>110417.0</v>
      </c>
      <c r="R1558" s="9" t="s">
        <v>66</v>
      </c>
      <c r="S1558" s="9" t="s">
        <v>67</v>
      </c>
      <c r="T1558" s="9" t="s">
        <v>68</v>
      </c>
    </row>
    <row r="1559" ht="15.75" customHeight="1">
      <c r="A1559" s="9">
        <v>2397194.0</v>
      </c>
      <c r="B1559" s="9">
        <v>8.693110353E7</v>
      </c>
      <c r="C1559" s="9">
        <v>47394.0</v>
      </c>
      <c r="D1559" s="9" t="s">
        <v>52</v>
      </c>
      <c r="E1559" s="9" t="s">
        <v>53</v>
      </c>
      <c r="F1559" s="9">
        <v>2397194.0</v>
      </c>
      <c r="G1559" s="9">
        <v>8.693110353E7</v>
      </c>
      <c r="H1559" s="9">
        <v>8.693110353E7</v>
      </c>
      <c r="I1559" s="9">
        <v>2281898.87</v>
      </c>
      <c r="J1559" s="9">
        <v>0.0</v>
      </c>
      <c r="K1559" s="9">
        <v>431905.0</v>
      </c>
      <c r="L1559" s="9" t="s">
        <v>59</v>
      </c>
      <c r="M1559" s="9" t="s">
        <v>112</v>
      </c>
      <c r="N1559" s="9">
        <v>875346.55</v>
      </c>
      <c r="O1559" s="9">
        <v>875346.55</v>
      </c>
      <c r="P1559" s="9">
        <v>615461.0</v>
      </c>
      <c r="Q1559" s="9">
        <v>634085.55</v>
      </c>
      <c r="R1559" s="9" t="s">
        <v>85</v>
      </c>
      <c r="S1559" s="9" t="s">
        <v>67</v>
      </c>
      <c r="T1559" s="9" t="s">
        <v>86</v>
      </c>
    </row>
    <row r="1560" ht="15.75" customHeight="1">
      <c r="A1560" s="9">
        <v>2401051.0</v>
      </c>
      <c r="B1560" s="9">
        <v>1.3672498E7</v>
      </c>
      <c r="C1560" s="9">
        <v>31441.0</v>
      </c>
      <c r="D1560" s="9" t="s">
        <v>52</v>
      </c>
      <c r="E1560" s="9" t="s">
        <v>53</v>
      </c>
      <c r="F1560" s="9">
        <v>304672.0</v>
      </c>
      <c r="G1560" s="9">
        <v>0.0</v>
      </c>
      <c r="M1560" s="9" t="s">
        <v>116</v>
      </c>
      <c r="N1560" s="9">
        <v>207000.0</v>
      </c>
      <c r="O1560" s="9">
        <v>196650.0</v>
      </c>
      <c r="R1560" s="9" t="s">
        <v>60</v>
      </c>
      <c r="S1560" s="9" t="s">
        <v>57</v>
      </c>
      <c r="T1560" s="9" t="s">
        <v>61</v>
      </c>
      <c r="V1560" s="9">
        <v>196650.0</v>
      </c>
    </row>
    <row r="1561" ht="15.75" customHeight="1">
      <c r="A1561" s="9">
        <v>2401052.0</v>
      </c>
      <c r="B1561" s="9">
        <v>1.5311616E7</v>
      </c>
      <c r="C1561" s="9">
        <v>31446.0</v>
      </c>
      <c r="D1561" s="9" t="s">
        <v>52</v>
      </c>
      <c r="E1561" s="9" t="s">
        <v>53</v>
      </c>
      <c r="F1561" s="9">
        <v>304383.0</v>
      </c>
      <c r="G1561" s="9">
        <v>0.0</v>
      </c>
      <c r="H1561" s="9">
        <v>1682869.67</v>
      </c>
      <c r="I1561" s="9">
        <v>0.0</v>
      </c>
      <c r="J1561" s="9">
        <v>0.0</v>
      </c>
      <c r="K1561" s="9">
        <v>0.0</v>
      </c>
      <c r="L1561" s="9" t="s">
        <v>59</v>
      </c>
      <c r="M1561" s="9" t="s">
        <v>116</v>
      </c>
      <c r="N1561" s="9">
        <v>247849.55</v>
      </c>
      <c r="O1561" s="9">
        <v>223056.0</v>
      </c>
      <c r="R1561" s="9" t="s">
        <v>60</v>
      </c>
      <c r="S1561" s="9" t="s">
        <v>57</v>
      </c>
      <c r="T1561" s="9" t="s">
        <v>61</v>
      </c>
      <c r="V1561" s="9">
        <v>223056.0</v>
      </c>
    </row>
    <row r="1562" ht="15.75" customHeight="1">
      <c r="A1562" s="9">
        <v>2410547.0</v>
      </c>
      <c r="B1562" s="9">
        <v>984758.88</v>
      </c>
      <c r="C1562" s="9">
        <v>48089.0</v>
      </c>
      <c r="D1562" s="9" t="s">
        <v>52</v>
      </c>
      <c r="E1562" s="9" t="s">
        <v>111</v>
      </c>
      <c r="F1562" s="9">
        <v>2410547.0</v>
      </c>
      <c r="H1562" s="9">
        <v>1095264.06</v>
      </c>
      <c r="I1562" s="9">
        <v>845332.45</v>
      </c>
      <c r="J1562" s="9">
        <v>0.0</v>
      </c>
      <c r="K1562" s="9">
        <v>0.0</v>
      </c>
      <c r="L1562" s="9" t="s">
        <v>59</v>
      </c>
      <c r="M1562" s="9" t="s">
        <v>62</v>
      </c>
      <c r="N1562" s="9">
        <v>0.0</v>
      </c>
      <c r="O1562" s="9">
        <v>0.0</v>
      </c>
      <c r="R1562" s="9" t="s">
        <v>100</v>
      </c>
      <c r="S1562" s="9" t="s">
        <v>101</v>
      </c>
      <c r="T1562" s="9" t="s">
        <v>102</v>
      </c>
    </row>
    <row r="1563" ht="15.75" customHeight="1">
      <c r="A1563" s="9">
        <v>2434343.0</v>
      </c>
      <c r="B1563" s="9">
        <v>435597.44</v>
      </c>
      <c r="C1563" s="9">
        <v>43042.0</v>
      </c>
      <c r="D1563" s="9" t="s">
        <v>52</v>
      </c>
      <c r="E1563" s="9" t="s">
        <v>111</v>
      </c>
      <c r="F1563" s="9">
        <v>2434343.0</v>
      </c>
      <c r="H1563" s="9">
        <v>435597.44</v>
      </c>
      <c r="I1563" s="9">
        <v>192186.9</v>
      </c>
      <c r="J1563" s="9">
        <v>0.0</v>
      </c>
      <c r="K1563" s="9">
        <v>0.0</v>
      </c>
      <c r="L1563" s="9" t="s">
        <v>59</v>
      </c>
      <c r="M1563" s="9" t="s">
        <v>55</v>
      </c>
      <c r="N1563" s="9">
        <v>363022.25</v>
      </c>
      <c r="O1563" s="9">
        <v>295891.1</v>
      </c>
      <c r="R1563" s="9" t="s">
        <v>115</v>
      </c>
      <c r="S1563" s="9" t="s">
        <v>115</v>
      </c>
    </row>
    <row r="1564" ht="15.75" customHeight="1">
      <c r="A1564" s="9">
        <v>2436065.0</v>
      </c>
      <c r="B1564" s="9">
        <v>164106.96</v>
      </c>
      <c r="C1564" s="9">
        <v>43302.0</v>
      </c>
      <c r="D1564" s="9" t="s">
        <v>52</v>
      </c>
      <c r="E1564" s="9" t="s">
        <v>111</v>
      </c>
      <c r="F1564" s="9">
        <v>2436065.0</v>
      </c>
      <c r="G1564" s="9">
        <v>164106.96</v>
      </c>
      <c r="H1564" s="9">
        <v>168518.96</v>
      </c>
      <c r="I1564" s="9">
        <v>9339.25</v>
      </c>
      <c r="J1564" s="9">
        <v>0.0</v>
      </c>
      <c r="K1564" s="9">
        <v>0.0</v>
      </c>
      <c r="L1564" s="9" t="s">
        <v>59</v>
      </c>
      <c r="M1564" s="9" t="s">
        <v>55</v>
      </c>
      <c r="R1564" s="9" t="s">
        <v>56</v>
      </c>
      <c r="S1564" s="9" t="s">
        <v>57</v>
      </c>
      <c r="T1564" s="9" t="s">
        <v>58</v>
      </c>
    </row>
    <row r="1565" ht="15.75" customHeight="1">
      <c r="A1565" s="9">
        <v>2436166.0</v>
      </c>
      <c r="B1565" s="9">
        <v>58740.42</v>
      </c>
      <c r="C1565" s="9">
        <v>43130.0</v>
      </c>
      <c r="D1565" s="9" t="s">
        <v>52</v>
      </c>
      <c r="E1565" s="9" t="s">
        <v>111</v>
      </c>
      <c r="F1565" s="9">
        <v>2436166.0</v>
      </c>
      <c r="G1565" s="9">
        <v>58740.42</v>
      </c>
      <c r="H1565" s="9">
        <v>60497.92</v>
      </c>
      <c r="I1565" s="9">
        <v>0.0</v>
      </c>
      <c r="J1565" s="9">
        <v>0.0</v>
      </c>
      <c r="K1565" s="9">
        <v>0.0</v>
      </c>
      <c r="L1565" s="9" t="s">
        <v>59</v>
      </c>
      <c r="M1565" s="9" t="s">
        <v>55</v>
      </c>
      <c r="R1565" s="9" t="s">
        <v>94</v>
      </c>
      <c r="S1565" s="9" t="s">
        <v>57</v>
      </c>
      <c r="T1565" s="9" t="s">
        <v>95</v>
      </c>
    </row>
    <row r="1566" ht="15.75" customHeight="1">
      <c r="A1566" s="9">
        <v>2436198.0</v>
      </c>
      <c r="B1566" s="9">
        <v>70467.08</v>
      </c>
      <c r="C1566" s="9">
        <v>43206.0</v>
      </c>
      <c r="D1566" s="9" t="s">
        <v>52</v>
      </c>
      <c r="E1566" s="9" t="s">
        <v>111</v>
      </c>
      <c r="F1566" s="9">
        <v>2436198.0</v>
      </c>
      <c r="G1566" s="9">
        <v>70467.08</v>
      </c>
      <c r="H1566" s="9">
        <v>73157.65</v>
      </c>
      <c r="I1566" s="9">
        <v>2312.61</v>
      </c>
      <c r="J1566" s="9">
        <v>0.0</v>
      </c>
      <c r="K1566" s="9">
        <v>0.0</v>
      </c>
      <c r="L1566" s="9" t="s">
        <v>59</v>
      </c>
      <c r="M1566" s="9" t="s">
        <v>55</v>
      </c>
      <c r="R1566" s="9" t="s">
        <v>75</v>
      </c>
      <c r="S1566" s="9" t="s">
        <v>57</v>
      </c>
      <c r="T1566" s="9" t="s">
        <v>76</v>
      </c>
    </row>
    <row r="1567" ht="15.75" customHeight="1">
      <c r="A1567" s="9">
        <v>2436201.0</v>
      </c>
      <c r="B1567" s="9">
        <v>116841.2</v>
      </c>
      <c r="C1567" s="9">
        <v>43207.0</v>
      </c>
      <c r="D1567" s="9" t="s">
        <v>52</v>
      </c>
      <c r="E1567" s="9" t="s">
        <v>111</v>
      </c>
      <c r="F1567" s="9">
        <v>2436201.0</v>
      </c>
      <c r="G1567" s="9">
        <v>116841.2</v>
      </c>
      <c r="H1567" s="9">
        <v>120432.44</v>
      </c>
      <c r="I1567" s="9">
        <v>5016.0</v>
      </c>
      <c r="J1567" s="9">
        <v>0.0</v>
      </c>
      <c r="K1567" s="9">
        <v>0.0</v>
      </c>
      <c r="L1567" s="9" t="s">
        <v>59</v>
      </c>
      <c r="M1567" s="9" t="s">
        <v>55</v>
      </c>
      <c r="R1567" s="9" t="s">
        <v>94</v>
      </c>
      <c r="S1567" s="9" t="s">
        <v>57</v>
      </c>
      <c r="T1567" s="9" t="s">
        <v>95</v>
      </c>
    </row>
    <row r="1568" ht="15.75" customHeight="1">
      <c r="A1568" s="9">
        <v>2436216.0</v>
      </c>
      <c r="B1568" s="9">
        <v>68557.59</v>
      </c>
      <c r="C1568" s="9">
        <v>43211.0</v>
      </c>
      <c r="D1568" s="9" t="s">
        <v>52</v>
      </c>
      <c r="E1568" s="9" t="s">
        <v>111</v>
      </c>
      <c r="F1568" s="9">
        <v>2436216.0</v>
      </c>
      <c r="G1568" s="9">
        <v>68557.59</v>
      </c>
      <c r="H1568" s="9">
        <v>70851.76</v>
      </c>
      <c r="I1568" s="9">
        <v>1118.6</v>
      </c>
      <c r="J1568" s="9">
        <v>0.0</v>
      </c>
      <c r="K1568" s="9">
        <v>0.0</v>
      </c>
      <c r="L1568" s="9" t="s">
        <v>59</v>
      </c>
      <c r="M1568" s="9" t="s">
        <v>55</v>
      </c>
      <c r="R1568" s="9" t="s">
        <v>94</v>
      </c>
      <c r="S1568" s="9" t="s">
        <v>57</v>
      </c>
      <c r="T1568" s="9" t="s">
        <v>95</v>
      </c>
    </row>
    <row r="1569" ht="15.75" customHeight="1">
      <c r="A1569" s="9">
        <v>2436233.0</v>
      </c>
      <c r="B1569" s="9">
        <v>96905.33</v>
      </c>
      <c r="C1569" s="9">
        <v>43241.0</v>
      </c>
      <c r="D1569" s="9" t="s">
        <v>52</v>
      </c>
      <c r="E1569" s="9" t="s">
        <v>111</v>
      </c>
      <c r="F1569" s="9">
        <v>2436233.0</v>
      </c>
      <c r="G1569" s="9">
        <v>96905.33</v>
      </c>
      <c r="H1569" s="9">
        <v>100153.33</v>
      </c>
      <c r="I1569" s="9">
        <v>1619.18</v>
      </c>
      <c r="J1569" s="9">
        <v>0.0</v>
      </c>
      <c r="K1569" s="9">
        <v>0.0</v>
      </c>
      <c r="L1569" s="9" t="s">
        <v>59</v>
      </c>
      <c r="M1569" s="9" t="s">
        <v>55</v>
      </c>
      <c r="R1569" s="9" t="s">
        <v>70</v>
      </c>
      <c r="S1569" s="9" t="s">
        <v>57</v>
      </c>
      <c r="T1569" s="9" t="s">
        <v>71</v>
      </c>
    </row>
    <row r="1570" ht="15.75" customHeight="1">
      <c r="A1570" s="9">
        <v>2436234.0</v>
      </c>
      <c r="B1570" s="9">
        <v>44234.41</v>
      </c>
      <c r="C1570" s="9">
        <v>43295.0</v>
      </c>
      <c r="D1570" s="9" t="s">
        <v>52</v>
      </c>
      <c r="E1570" s="9" t="s">
        <v>111</v>
      </c>
      <c r="F1570" s="9">
        <v>2436234.0</v>
      </c>
      <c r="G1570" s="9">
        <v>44234.41</v>
      </c>
      <c r="H1570" s="9">
        <v>46054.21</v>
      </c>
      <c r="I1570" s="9">
        <v>0.0</v>
      </c>
      <c r="J1570" s="9">
        <v>0.0</v>
      </c>
      <c r="K1570" s="9">
        <v>0.0</v>
      </c>
      <c r="L1570" s="9" t="s">
        <v>59</v>
      </c>
      <c r="M1570" s="9" t="s">
        <v>55</v>
      </c>
      <c r="R1570" s="9" t="s">
        <v>94</v>
      </c>
      <c r="S1570" s="9" t="s">
        <v>57</v>
      </c>
      <c r="T1570" s="9" t="s">
        <v>95</v>
      </c>
    </row>
    <row r="1571" ht="15.75" customHeight="1">
      <c r="A1571" s="9">
        <v>2193247.0</v>
      </c>
      <c r="B1571" s="9">
        <v>1.09756009E8</v>
      </c>
      <c r="C1571" s="9">
        <v>40970.0</v>
      </c>
      <c r="D1571" s="9" t="s">
        <v>52</v>
      </c>
      <c r="E1571" s="9" t="s">
        <v>87</v>
      </c>
      <c r="F1571" s="9">
        <v>280513.0</v>
      </c>
      <c r="G1571" s="9">
        <v>1.6674994825E8</v>
      </c>
      <c r="H1571" s="9">
        <v>2.2384193667E8</v>
      </c>
      <c r="I1571" s="9">
        <v>5.072269839E7</v>
      </c>
      <c r="J1571" s="9">
        <v>5557867.98</v>
      </c>
      <c r="K1571" s="9">
        <v>7531190.0</v>
      </c>
      <c r="L1571" s="9" t="s">
        <v>59</v>
      </c>
      <c r="M1571" s="9" t="s">
        <v>55</v>
      </c>
      <c r="R1571" s="9" t="s">
        <v>115</v>
      </c>
      <c r="S1571" s="9" t="s">
        <v>115</v>
      </c>
      <c r="V1571" s="9">
        <v>1305111.23</v>
      </c>
    </row>
    <row r="1572" ht="15.75" customHeight="1">
      <c r="A1572" s="9">
        <v>2193247.0</v>
      </c>
      <c r="B1572" s="9">
        <v>1.09756009E8</v>
      </c>
      <c r="C1572" s="9">
        <v>42395.0</v>
      </c>
      <c r="D1572" s="9" t="s">
        <v>52</v>
      </c>
      <c r="E1572" s="9" t="s">
        <v>87</v>
      </c>
      <c r="F1572" s="9">
        <v>280513.0</v>
      </c>
      <c r="H1572" s="9">
        <v>2.2384193667E8</v>
      </c>
      <c r="I1572" s="9">
        <v>5.072269839E7</v>
      </c>
      <c r="J1572" s="9">
        <v>5557867.98</v>
      </c>
      <c r="K1572" s="9">
        <v>7531190.0</v>
      </c>
      <c r="L1572" s="9" t="s">
        <v>59</v>
      </c>
      <c r="M1572" s="9" t="s">
        <v>55</v>
      </c>
      <c r="R1572" s="9" t="s">
        <v>115</v>
      </c>
      <c r="S1572" s="9" t="s">
        <v>115</v>
      </c>
      <c r="V1572" s="9">
        <v>1735149.5</v>
      </c>
    </row>
    <row r="1573" ht="15.75" customHeight="1">
      <c r="A1573" s="9">
        <v>2193247.0</v>
      </c>
      <c r="B1573" s="9">
        <v>1.09756009E8</v>
      </c>
      <c r="C1573" s="9">
        <v>40967.0</v>
      </c>
      <c r="D1573" s="9" t="s">
        <v>52</v>
      </c>
      <c r="E1573" s="9" t="s">
        <v>87</v>
      </c>
      <c r="F1573" s="9">
        <v>280513.0</v>
      </c>
      <c r="G1573" s="9">
        <v>1.6674994825E8</v>
      </c>
      <c r="H1573" s="9">
        <v>2.2384193667E8</v>
      </c>
      <c r="I1573" s="9">
        <v>5.072269839E7</v>
      </c>
      <c r="J1573" s="9">
        <v>5557867.98</v>
      </c>
      <c r="K1573" s="9">
        <v>7531190.0</v>
      </c>
      <c r="L1573" s="9" t="s">
        <v>59</v>
      </c>
      <c r="M1573" s="9" t="s">
        <v>55</v>
      </c>
      <c r="R1573" s="9" t="s">
        <v>115</v>
      </c>
      <c r="S1573" s="9" t="s">
        <v>115</v>
      </c>
      <c r="V1573" s="9">
        <v>1235519.99</v>
      </c>
    </row>
    <row r="1574" ht="15.75" customHeight="1">
      <c r="A1574" s="9">
        <v>2193247.0</v>
      </c>
      <c r="B1574" s="9">
        <v>1.09756009E8</v>
      </c>
      <c r="C1574" s="9">
        <v>42389.0</v>
      </c>
      <c r="D1574" s="9" t="s">
        <v>52</v>
      </c>
      <c r="E1574" s="9" t="s">
        <v>87</v>
      </c>
      <c r="F1574" s="9">
        <v>280513.0</v>
      </c>
      <c r="H1574" s="9">
        <v>2.2384193667E8</v>
      </c>
      <c r="I1574" s="9">
        <v>5.072269839E7</v>
      </c>
      <c r="J1574" s="9">
        <v>5557867.98</v>
      </c>
      <c r="K1574" s="9">
        <v>7531190.0</v>
      </c>
      <c r="L1574" s="9" t="s">
        <v>59</v>
      </c>
      <c r="M1574" s="9" t="s">
        <v>55</v>
      </c>
      <c r="R1574" s="9" t="s">
        <v>115</v>
      </c>
      <c r="S1574" s="9" t="s">
        <v>115</v>
      </c>
      <c r="V1574" s="9">
        <v>2476370.78</v>
      </c>
    </row>
    <row r="1575" ht="15.75" customHeight="1">
      <c r="A1575" s="9">
        <v>2193247.0</v>
      </c>
      <c r="B1575" s="9">
        <v>1.09756009E8</v>
      </c>
      <c r="C1575" s="9">
        <v>40968.0</v>
      </c>
      <c r="D1575" s="9" t="s">
        <v>52</v>
      </c>
      <c r="E1575" s="9" t="s">
        <v>87</v>
      </c>
      <c r="F1575" s="9">
        <v>280513.0</v>
      </c>
      <c r="G1575" s="9">
        <v>1.6674994825E8</v>
      </c>
      <c r="H1575" s="9">
        <v>2.2384193667E8</v>
      </c>
      <c r="I1575" s="9">
        <v>5.072269839E7</v>
      </c>
      <c r="J1575" s="9">
        <v>5557867.98</v>
      </c>
      <c r="K1575" s="9">
        <v>7531190.0</v>
      </c>
      <c r="L1575" s="9" t="s">
        <v>59</v>
      </c>
      <c r="M1575" s="9" t="s">
        <v>55</v>
      </c>
      <c r="R1575" s="9" t="s">
        <v>115</v>
      </c>
      <c r="S1575" s="9" t="s">
        <v>115</v>
      </c>
      <c r="V1575" s="9">
        <v>1949921.5</v>
      </c>
    </row>
    <row r="1576" ht="15.75" customHeight="1">
      <c r="A1576" s="9">
        <v>2193247.0</v>
      </c>
      <c r="B1576" s="9">
        <v>1.09756009E8</v>
      </c>
      <c r="C1576" s="9">
        <v>45853.0</v>
      </c>
      <c r="D1576" s="9" t="s">
        <v>52</v>
      </c>
      <c r="E1576" s="9" t="s">
        <v>87</v>
      </c>
      <c r="F1576" s="9">
        <v>280513.0</v>
      </c>
      <c r="H1576" s="9">
        <v>2.2384193667E8</v>
      </c>
      <c r="I1576" s="9">
        <v>5.072269839E7</v>
      </c>
      <c r="J1576" s="9">
        <v>5557867.98</v>
      </c>
      <c r="K1576" s="9">
        <v>7531190.0</v>
      </c>
      <c r="L1576" s="9" t="s">
        <v>59</v>
      </c>
      <c r="M1576" s="9" t="s">
        <v>55</v>
      </c>
      <c r="N1576" s="9">
        <v>5000316.22</v>
      </c>
      <c r="O1576" s="9">
        <v>4500284.6</v>
      </c>
      <c r="P1576" s="9">
        <v>408850.62</v>
      </c>
      <c r="Q1576" s="9">
        <v>367965.56</v>
      </c>
      <c r="R1576" s="9" t="s">
        <v>75</v>
      </c>
      <c r="S1576" s="9" t="s">
        <v>57</v>
      </c>
      <c r="T1576" s="9" t="s">
        <v>76</v>
      </c>
    </row>
    <row r="1577" ht="15.75" customHeight="1">
      <c r="A1577" s="9">
        <v>2193247.0</v>
      </c>
      <c r="B1577" s="9">
        <v>1.09756009E8</v>
      </c>
      <c r="C1577" s="9">
        <v>45076.0</v>
      </c>
      <c r="D1577" s="9" t="s">
        <v>52</v>
      </c>
      <c r="E1577" s="9" t="s">
        <v>87</v>
      </c>
      <c r="F1577" s="9">
        <v>280513.0</v>
      </c>
      <c r="H1577" s="9">
        <v>2.2384193667E8</v>
      </c>
      <c r="I1577" s="9">
        <v>5.072269839E7</v>
      </c>
      <c r="J1577" s="9">
        <v>5557867.98</v>
      </c>
      <c r="K1577" s="9">
        <v>7531190.0</v>
      </c>
      <c r="L1577" s="9" t="s">
        <v>59</v>
      </c>
      <c r="M1577" s="9" t="s">
        <v>55</v>
      </c>
      <c r="R1577" s="9" t="s">
        <v>115</v>
      </c>
      <c r="S1577" s="9" t="s">
        <v>115</v>
      </c>
      <c r="V1577" s="9">
        <v>1506346.43</v>
      </c>
    </row>
    <row r="1578" ht="15.75" customHeight="1">
      <c r="A1578" s="9">
        <v>2193247.0</v>
      </c>
      <c r="B1578" s="9">
        <v>1.09756009E8</v>
      </c>
      <c r="C1578" s="9">
        <v>36676.0</v>
      </c>
      <c r="D1578" s="9" t="s">
        <v>52</v>
      </c>
      <c r="E1578" s="9" t="s">
        <v>87</v>
      </c>
      <c r="F1578" s="9">
        <v>280513.0</v>
      </c>
      <c r="G1578" s="9">
        <v>1.6674994825E8</v>
      </c>
      <c r="H1578" s="9">
        <v>2.2384193667E8</v>
      </c>
      <c r="I1578" s="9">
        <v>5.072269839E7</v>
      </c>
      <c r="J1578" s="9">
        <v>5557867.98</v>
      </c>
      <c r="K1578" s="9">
        <v>7531190.0</v>
      </c>
      <c r="L1578" s="9" t="s">
        <v>59</v>
      </c>
      <c r="M1578" s="9" t="s">
        <v>55</v>
      </c>
      <c r="R1578" s="9" t="s">
        <v>115</v>
      </c>
      <c r="S1578" s="9" t="s">
        <v>115</v>
      </c>
    </row>
    <row r="1579" ht="15.75" customHeight="1">
      <c r="A1579" s="9">
        <v>2193247.0</v>
      </c>
      <c r="B1579" s="9">
        <v>1.09756009E8</v>
      </c>
      <c r="C1579" s="9">
        <v>38986.0</v>
      </c>
      <c r="D1579" s="9" t="s">
        <v>52</v>
      </c>
      <c r="E1579" s="9" t="s">
        <v>87</v>
      </c>
      <c r="F1579" s="9">
        <v>280513.0</v>
      </c>
      <c r="G1579" s="9">
        <v>1.6674994825E8</v>
      </c>
      <c r="H1579" s="9">
        <v>2.2384193667E8</v>
      </c>
      <c r="I1579" s="9">
        <v>5.072269839E7</v>
      </c>
      <c r="J1579" s="9">
        <v>5557867.98</v>
      </c>
      <c r="K1579" s="9">
        <v>7531190.0</v>
      </c>
      <c r="L1579" s="9" t="s">
        <v>59</v>
      </c>
      <c r="M1579" s="9" t="s">
        <v>55</v>
      </c>
      <c r="R1579" s="9" t="s">
        <v>115</v>
      </c>
      <c r="S1579" s="9" t="s">
        <v>115</v>
      </c>
      <c r="V1579" s="9">
        <v>732040.82</v>
      </c>
    </row>
    <row r="1580" ht="15.75" customHeight="1">
      <c r="A1580" s="9">
        <v>2193247.0</v>
      </c>
      <c r="B1580" s="9">
        <v>1.09756009E8</v>
      </c>
      <c r="C1580" s="9">
        <v>42394.0</v>
      </c>
      <c r="D1580" s="9" t="s">
        <v>52</v>
      </c>
      <c r="E1580" s="9" t="s">
        <v>87</v>
      </c>
      <c r="F1580" s="9">
        <v>280513.0</v>
      </c>
      <c r="H1580" s="9">
        <v>2.2384193667E8</v>
      </c>
      <c r="I1580" s="9">
        <v>5.072269839E7</v>
      </c>
      <c r="J1580" s="9">
        <v>5557867.98</v>
      </c>
      <c r="K1580" s="9">
        <v>7531190.0</v>
      </c>
      <c r="L1580" s="9" t="s">
        <v>59</v>
      </c>
      <c r="M1580" s="9" t="s">
        <v>55</v>
      </c>
      <c r="R1580" s="9" t="s">
        <v>115</v>
      </c>
      <c r="S1580" s="9" t="s">
        <v>115</v>
      </c>
      <c r="V1580" s="9">
        <v>1449062.32</v>
      </c>
    </row>
    <row r="1581" ht="15.75" customHeight="1">
      <c r="A1581" s="9">
        <v>2193247.0</v>
      </c>
      <c r="B1581" s="9">
        <v>1.09756009E8</v>
      </c>
      <c r="C1581" s="9">
        <v>45060.0</v>
      </c>
      <c r="D1581" s="9" t="s">
        <v>52</v>
      </c>
      <c r="E1581" s="9" t="s">
        <v>87</v>
      </c>
      <c r="F1581" s="9">
        <v>280513.0</v>
      </c>
      <c r="H1581" s="9">
        <v>2.2384193667E8</v>
      </c>
      <c r="I1581" s="9">
        <v>5.072269839E7</v>
      </c>
      <c r="J1581" s="9">
        <v>5557867.98</v>
      </c>
      <c r="K1581" s="9">
        <v>7531190.0</v>
      </c>
      <c r="L1581" s="9" t="s">
        <v>59</v>
      </c>
      <c r="M1581" s="9" t="s">
        <v>55</v>
      </c>
      <c r="R1581" s="9" t="s">
        <v>115</v>
      </c>
      <c r="S1581" s="9" t="s">
        <v>115</v>
      </c>
      <c r="V1581" s="9">
        <v>1187770.28</v>
      </c>
    </row>
    <row r="1582" ht="15.75" customHeight="1">
      <c r="A1582" s="9">
        <v>2193247.0</v>
      </c>
      <c r="B1582" s="9">
        <v>1.09756009E8</v>
      </c>
      <c r="C1582" s="9">
        <v>45065.0</v>
      </c>
      <c r="D1582" s="9" t="s">
        <v>52</v>
      </c>
      <c r="E1582" s="9" t="s">
        <v>87</v>
      </c>
      <c r="F1582" s="9">
        <v>280513.0</v>
      </c>
      <c r="H1582" s="9">
        <v>2.2384193667E8</v>
      </c>
      <c r="I1582" s="9">
        <v>5.072269839E7</v>
      </c>
      <c r="J1582" s="9">
        <v>5557867.98</v>
      </c>
      <c r="K1582" s="9">
        <v>7531190.0</v>
      </c>
      <c r="L1582" s="9" t="s">
        <v>59</v>
      </c>
      <c r="M1582" s="9" t="s">
        <v>55</v>
      </c>
      <c r="R1582" s="9" t="s">
        <v>115</v>
      </c>
      <c r="S1582" s="9" t="s">
        <v>115</v>
      </c>
    </row>
    <row r="1583" ht="15.75" customHeight="1">
      <c r="A1583" s="9">
        <v>2193247.0</v>
      </c>
      <c r="B1583" s="9">
        <v>1.09756009E8</v>
      </c>
      <c r="C1583" s="9">
        <v>43444.0</v>
      </c>
      <c r="D1583" s="9" t="s">
        <v>52</v>
      </c>
      <c r="E1583" s="9" t="s">
        <v>87</v>
      </c>
      <c r="F1583" s="9">
        <v>280513.0</v>
      </c>
      <c r="H1583" s="9">
        <v>2.2384193667E8</v>
      </c>
      <c r="I1583" s="9">
        <v>5.072269839E7</v>
      </c>
      <c r="J1583" s="9">
        <v>5557867.98</v>
      </c>
      <c r="K1583" s="9">
        <v>7531190.0</v>
      </c>
      <c r="L1583" s="9" t="s">
        <v>59</v>
      </c>
      <c r="M1583" s="9" t="s">
        <v>55</v>
      </c>
      <c r="R1583" s="9" t="s">
        <v>115</v>
      </c>
      <c r="S1583" s="9" t="s">
        <v>115</v>
      </c>
      <c r="V1583" s="9">
        <v>1463699.5</v>
      </c>
    </row>
    <row r="1584" ht="15.75" customHeight="1">
      <c r="A1584" s="9">
        <v>2193247.0</v>
      </c>
      <c r="B1584" s="9">
        <v>1.09756009E8</v>
      </c>
      <c r="C1584" s="9">
        <v>42390.0</v>
      </c>
      <c r="D1584" s="9" t="s">
        <v>52</v>
      </c>
      <c r="E1584" s="9" t="s">
        <v>87</v>
      </c>
      <c r="F1584" s="9">
        <v>280513.0</v>
      </c>
      <c r="H1584" s="9">
        <v>2.2384193667E8</v>
      </c>
      <c r="I1584" s="9">
        <v>5.072269839E7</v>
      </c>
      <c r="J1584" s="9">
        <v>5557867.98</v>
      </c>
      <c r="K1584" s="9">
        <v>7531190.0</v>
      </c>
      <c r="L1584" s="9" t="s">
        <v>59</v>
      </c>
      <c r="M1584" s="9" t="s">
        <v>55</v>
      </c>
      <c r="R1584" s="9" t="s">
        <v>115</v>
      </c>
      <c r="S1584" s="9" t="s">
        <v>115</v>
      </c>
    </row>
    <row r="1585" ht="15.75" customHeight="1">
      <c r="A1585" s="9">
        <v>2193247.0</v>
      </c>
      <c r="B1585" s="9">
        <v>1.09756009E8</v>
      </c>
      <c r="C1585" s="9">
        <v>43744.0</v>
      </c>
      <c r="D1585" s="9" t="s">
        <v>52</v>
      </c>
      <c r="E1585" s="9" t="s">
        <v>87</v>
      </c>
      <c r="F1585" s="9">
        <v>280513.0</v>
      </c>
      <c r="H1585" s="9">
        <v>2.2384193667E8</v>
      </c>
      <c r="I1585" s="9">
        <v>5.072269839E7</v>
      </c>
      <c r="J1585" s="9">
        <v>5557867.98</v>
      </c>
      <c r="K1585" s="9">
        <v>7531190.0</v>
      </c>
      <c r="L1585" s="9" t="s">
        <v>59</v>
      </c>
      <c r="M1585" s="9" t="s">
        <v>55</v>
      </c>
      <c r="R1585" s="9" t="s">
        <v>115</v>
      </c>
      <c r="S1585" s="9" t="s">
        <v>115</v>
      </c>
    </row>
    <row r="1586" ht="15.75" customHeight="1">
      <c r="A1586" s="9">
        <v>2193247.0</v>
      </c>
      <c r="B1586" s="9">
        <v>1.09756009E8</v>
      </c>
      <c r="C1586" s="9">
        <v>36673.0</v>
      </c>
      <c r="D1586" s="9" t="s">
        <v>52</v>
      </c>
      <c r="E1586" s="9" t="s">
        <v>87</v>
      </c>
      <c r="F1586" s="9">
        <v>280513.0</v>
      </c>
      <c r="G1586" s="9">
        <v>1.6674994825E8</v>
      </c>
      <c r="H1586" s="9">
        <v>2.2384193667E8</v>
      </c>
      <c r="I1586" s="9">
        <v>5.072269839E7</v>
      </c>
      <c r="J1586" s="9">
        <v>5557867.98</v>
      </c>
      <c r="K1586" s="9">
        <v>7531190.0</v>
      </c>
      <c r="L1586" s="9" t="s">
        <v>59</v>
      </c>
      <c r="M1586" s="9" t="s">
        <v>55</v>
      </c>
      <c r="R1586" s="9" t="s">
        <v>115</v>
      </c>
      <c r="S1586" s="9" t="s">
        <v>115</v>
      </c>
      <c r="V1586" s="9">
        <v>1734558.63</v>
      </c>
    </row>
    <row r="1587" ht="15.75" customHeight="1">
      <c r="A1587" s="9">
        <v>2193247.0</v>
      </c>
      <c r="B1587" s="9">
        <v>1.09756009E8</v>
      </c>
      <c r="C1587" s="9">
        <v>45062.0</v>
      </c>
      <c r="D1587" s="9" t="s">
        <v>52</v>
      </c>
      <c r="E1587" s="9" t="s">
        <v>87</v>
      </c>
      <c r="F1587" s="9">
        <v>280513.0</v>
      </c>
      <c r="H1587" s="9">
        <v>2.2384193667E8</v>
      </c>
      <c r="I1587" s="9">
        <v>5.072269839E7</v>
      </c>
      <c r="J1587" s="9">
        <v>5557867.98</v>
      </c>
      <c r="K1587" s="9">
        <v>7531190.0</v>
      </c>
      <c r="L1587" s="9" t="s">
        <v>59</v>
      </c>
      <c r="M1587" s="9" t="s">
        <v>55</v>
      </c>
      <c r="R1587" s="9" t="s">
        <v>115</v>
      </c>
      <c r="S1587" s="9" t="s">
        <v>115</v>
      </c>
      <c r="V1587" s="9">
        <v>1546442.54</v>
      </c>
    </row>
    <row r="1588" ht="15.75" customHeight="1">
      <c r="A1588" s="9">
        <v>2193247.0</v>
      </c>
      <c r="B1588" s="9">
        <v>1.09756009E8</v>
      </c>
      <c r="C1588" s="9">
        <v>46860.0</v>
      </c>
      <c r="D1588" s="9" t="s">
        <v>52</v>
      </c>
      <c r="E1588" s="9" t="s">
        <v>87</v>
      </c>
      <c r="F1588" s="9">
        <v>280513.0</v>
      </c>
      <c r="H1588" s="9">
        <v>2.2384193667E8</v>
      </c>
      <c r="I1588" s="9">
        <v>5.072269839E7</v>
      </c>
      <c r="J1588" s="9">
        <v>5557867.98</v>
      </c>
      <c r="K1588" s="9">
        <v>7531190.0</v>
      </c>
      <c r="L1588" s="9" t="s">
        <v>59</v>
      </c>
      <c r="M1588" s="9" t="s">
        <v>55</v>
      </c>
      <c r="N1588" s="9">
        <v>6916687.83</v>
      </c>
      <c r="O1588" s="9">
        <v>6225019.05</v>
      </c>
      <c r="R1588" s="9" t="s">
        <v>94</v>
      </c>
      <c r="S1588" s="9" t="s">
        <v>57</v>
      </c>
      <c r="T1588" s="9" t="s">
        <v>95</v>
      </c>
    </row>
    <row r="1589" ht="15.75" customHeight="1">
      <c r="A1589" s="9">
        <v>2193247.0</v>
      </c>
      <c r="B1589" s="9">
        <v>1.09756009E8</v>
      </c>
      <c r="C1589" s="9">
        <v>42380.0</v>
      </c>
      <c r="D1589" s="9" t="s">
        <v>52</v>
      </c>
      <c r="E1589" s="9" t="s">
        <v>87</v>
      </c>
      <c r="F1589" s="9">
        <v>280513.0</v>
      </c>
      <c r="H1589" s="9">
        <v>2.2384193667E8</v>
      </c>
      <c r="I1589" s="9">
        <v>5.072269839E7</v>
      </c>
      <c r="J1589" s="9">
        <v>5557867.98</v>
      </c>
      <c r="K1589" s="9">
        <v>7531190.0</v>
      </c>
      <c r="L1589" s="9" t="s">
        <v>59</v>
      </c>
      <c r="M1589" s="9" t="s">
        <v>55</v>
      </c>
      <c r="R1589" s="9" t="s">
        <v>115</v>
      </c>
      <c r="S1589" s="9" t="s">
        <v>115</v>
      </c>
      <c r="V1589" s="9">
        <v>1459368.9</v>
      </c>
    </row>
    <row r="1590" ht="15.75" customHeight="1">
      <c r="A1590" s="9">
        <v>2193247.0</v>
      </c>
      <c r="B1590" s="9">
        <v>1.09756009E8</v>
      </c>
      <c r="C1590" s="9">
        <v>40976.0</v>
      </c>
      <c r="D1590" s="9" t="s">
        <v>52</v>
      </c>
      <c r="E1590" s="9" t="s">
        <v>87</v>
      </c>
      <c r="F1590" s="9">
        <v>280513.0</v>
      </c>
      <c r="G1590" s="9">
        <v>1.6674994825E8</v>
      </c>
      <c r="H1590" s="9">
        <v>2.2384193667E8</v>
      </c>
      <c r="I1590" s="9">
        <v>5.072269839E7</v>
      </c>
      <c r="J1590" s="9">
        <v>5557867.98</v>
      </c>
      <c r="K1590" s="9">
        <v>7531190.0</v>
      </c>
      <c r="L1590" s="9" t="s">
        <v>59</v>
      </c>
      <c r="M1590" s="9" t="s">
        <v>55</v>
      </c>
      <c r="R1590" s="9" t="s">
        <v>115</v>
      </c>
      <c r="S1590" s="9" t="s">
        <v>115</v>
      </c>
    </row>
    <row r="1591" ht="15.75" customHeight="1">
      <c r="A1591" s="9">
        <v>2193247.0</v>
      </c>
      <c r="B1591" s="9">
        <v>1.09756009E8</v>
      </c>
      <c r="C1591" s="9">
        <v>36682.0</v>
      </c>
      <c r="D1591" s="9" t="s">
        <v>52</v>
      </c>
      <c r="E1591" s="9" t="s">
        <v>87</v>
      </c>
      <c r="F1591" s="9">
        <v>280513.0</v>
      </c>
      <c r="G1591" s="9">
        <v>1.6674994825E8</v>
      </c>
      <c r="H1591" s="9">
        <v>2.2384193667E8</v>
      </c>
      <c r="I1591" s="9">
        <v>5.072269839E7</v>
      </c>
      <c r="J1591" s="9">
        <v>5557867.98</v>
      </c>
      <c r="K1591" s="9">
        <v>7531190.0</v>
      </c>
      <c r="L1591" s="9" t="s">
        <v>59</v>
      </c>
      <c r="M1591" s="9" t="s">
        <v>55</v>
      </c>
      <c r="R1591" s="9" t="s">
        <v>72</v>
      </c>
      <c r="S1591" s="9" t="s">
        <v>57</v>
      </c>
      <c r="T1591" s="9" t="s">
        <v>73</v>
      </c>
    </row>
    <row r="1592" ht="15.75" customHeight="1">
      <c r="A1592" s="9">
        <v>2193247.0</v>
      </c>
      <c r="B1592" s="9">
        <v>1.09756009E8</v>
      </c>
      <c r="C1592" s="9">
        <v>40962.0</v>
      </c>
      <c r="D1592" s="9" t="s">
        <v>52</v>
      </c>
      <c r="E1592" s="9" t="s">
        <v>87</v>
      </c>
      <c r="F1592" s="9">
        <v>280513.0</v>
      </c>
      <c r="G1592" s="9">
        <v>1.6674994825E8</v>
      </c>
      <c r="H1592" s="9">
        <v>2.2384193667E8</v>
      </c>
      <c r="I1592" s="9">
        <v>5.072269839E7</v>
      </c>
      <c r="J1592" s="9">
        <v>5557867.98</v>
      </c>
      <c r="K1592" s="9">
        <v>7531190.0</v>
      </c>
      <c r="L1592" s="9" t="s">
        <v>59</v>
      </c>
      <c r="M1592" s="9" t="s">
        <v>55</v>
      </c>
      <c r="R1592" s="9" t="s">
        <v>115</v>
      </c>
      <c r="S1592" s="9" t="s">
        <v>115</v>
      </c>
      <c r="V1592" s="9">
        <v>1004218.29</v>
      </c>
    </row>
    <row r="1593" ht="15.75" customHeight="1">
      <c r="A1593" s="9">
        <v>2193247.0</v>
      </c>
      <c r="B1593" s="9">
        <v>1.09756009E8</v>
      </c>
      <c r="C1593" s="9">
        <v>42379.0</v>
      </c>
      <c r="D1593" s="9" t="s">
        <v>52</v>
      </c>
      <c r="E1593" s="9" t="s">
        <v>87</v>
      </c>
      <c r="F1593" s="9">
        <v>280513.0</v>
      </c>
      <c r="H1593" s="9">
        <v>2.2384193667E8</v>
      </c>
      <c r="I1593" s="9">
        <v>5.072269839E7</v>
      </c>
      <c r="J1593" s="9">
        <v>5557867.98</v>
      </c>
      <c r="K1593" s="9">
        <v>7531190.0</v>
      </c>
      <c r="L1593" s="9" t="s">
        <v>59</v>
      </c>
      <c r="M1593" s="9" t="s">
        <v>55</v>
      </c>
      <c r="R1593" s="9" t="s">
        <v>115</v>
      </c>
      <c r="S1593" s="9" t="s">
        <v>115</v>
      </c>
      <c r="V1593" s="9">
        <v>2248091.06</v>
      </c>
    </row>
    <row r="1594" ht="15.75" customHeight="1">
      <c r="A1594" s="9">
        <v>2193247.0</v>
      </c>
      <c r="B1594" s="9">
        <v>1.09756009E8</v>
      </c>
      <c r="C1594" s="9">
        <v>38990.0</v>
      </c>
      <c r="D1594" s="9" t="s">
        <v>52</v>
      </c>
      <c r="E1594" s="9" t="s">
        <v>87</v>
      </c>
      <c r="F1594" s="9">
        <v>280513.0</v>
      </c>
      <c r="G1594" s="9">
        <v>1.6674994825E8</v>
      </c>
      <c r="H1594" s="9">
        <v>2.2384193667E8</v>
      </c>
      <c r="I1594" s="9">
        <v>5.072269839E7</v>
      </c>
      <c r="J1594" s="9">
        <v>5557867.98</v>
      </c>
      <c r="K1594" s="9">
        <v>7531190.0</v>
      </c>
      <c r="L1594" s="9" t="s">
        <v>59</v>
      </c>
      <c r="M1594" s="9" t="s">
        <v>55</v>
      </c>
      <c r="R1594" s="9" t="s">
        <v>115</v>
      </c>
      <c r="S1594" s="9" t="s">
        <v>115</v>
      </c>
      <c r="V1594" s="9">
        <v>1080385.85</v>
      </c>
    </row>
    <row r="1595" ht="15.75" customHeight="1">
      <c r="A1595" s="9">
        <v>2193247.0</v>
      </c>
      <c r="B1595" s="9">
        <v>1.09756009E8</v>
      </c>
      <c r="C1595" s="9">
        <v>45059.0</v>
      </c>
      <c r="D1595" s="9" t="s">
        <v>52</v>
      </c>
      <c r="E1595" s="9" t="s">
        <v>87</v>
      </c>
      <c r="F1595" s="9">
        <v>280513.0</v>
      </c>
      <c r="H1595" s="9">
        <v>2.2384193667E8</v>
      </c>
      <c r="I1595" s="9">
        <v>5.072269839E7</v>
      </c>
      <c r="J1595" s="9">
        <v>5557867.98</v>
      </c>
      <c r="K1595" s="9">
        <v>7531190.0</v>
      </c>
      <c r="L1595" s="9" t="s">
        <v>59</v>
      </c>
      <c r="M1595" s="9" t="s">
        <v>55</v>
      </c>
      <c r="R1595" s="9" t="s">
        <v>115</v>
      </c>
      <c r="S1595" s="9" t="s">
        <v>115</v>
      </c>
    </row>
    <row r="1596" ht="15.75" customHeight="1">
      <c r="A1596" s="9">
        <v>2065387.0</v>
      </c>
      <c r="B1596" s="9">
        <v>4854025.0</v>
      </c>
      <c r="C1596" s="9">
        <v>30880.0</v>
      </c>
      <c r="D1596" s="9" t="s">
        <v>52</v>
      </c>
      <c r="E1596" s="9" t="s">
        <v>53</v>
      </c>
      <c r="F1596" s="9">
        <v>55681.0</v>
      </c>
      <c r="G1596" s="9">
        <v>4648196.71</v>
      </c>
      <c r="H1596" s="9">
        <v>4648196.71</v>
      </c>
      <c r="I1596" s="9">
        <v>4629833.98</v>
      </c>
      <c r="J1596" s="9">
        <v>0.0</v>
      </c>
      <c r="K1596" s="9">
        <v>0.0</v>
      </c>
      <c r="L1596" s="9" t="s">
        <v>59</v>
      </c>
      <c r="M1596" s="9" t="s">
        <v>55</v>
      </c>
      <c r="N1596" s="9">
        <v>4637065.0</v>
      </c>
      <c r="O1596" s="9">
        <v>4283390.0</v>
      </c>
      <c r="P1596" s="9">
        <v>141378.0</v>
      </c>
      <c r="Q1596" s="9">
        <v>131793.04</v>
      </c>
      <c r="R1596" s="9" t="s">
        <v>60</v>
      </c>
      <c r="S1596" s="9" t="s">
        <v>57</v>
      </c>
      <c r="T1596" s="9" t="s">
        <v>61</v>
      </c>
      <c r="V1596" s="9">
        <v>4762643.76</v>
      </c>
      <c r="W1596" s="9">
        <v>0.0</v>
      </c>
      <c r="X1596" s="9">
        <v>0.0</v>
      </c>
    </row>
    <row r="1597" ht="15.75" customHeight="1">
      <c r="A1597" s="9">
        <v>2065405.0</v>
      </c>
      <c r="B1597" s="9">
        <v>624462.0</v>
      </c>
      <c r="C1597" s="9">
        <v>31055.0</v>
      </c>
      <c r="D1597" s="9" t="s">
        <v>52</v>
      </c>
      <c r="E1597" s="9" t="s">
        <v>53</v>
      </c>
      <c r="F1597" s="9">
        <v>55873.0</v>
      </c>
      <c r="G1597" s="9">
        <v>624462.0</v>
      </c>
      <c r="H1597" s="9">
        <v>624462.0</v>
      </c>
      <c r="I1597" s="9">
        <v>0.0</v>
      </c>
      <c r="J1597" s="9">
        <v>0.0</v>
      </c>
      <c r="K1597" s="9">
        <v>0.0</v>
      </c>
      <c r="L1597" s="9" t="s">
        <v>54</v>
      </c>
      <c r="M1597" s="9" t="s">
        <v>55</v>
      </c>
      <c r="R1597" s="9" t="s">
        <v>60</v>
      </c>
      <c r="S1597" s="9" t="s">
        <v>57</v>
      </c>
      <c r="T1597" s="9" t="s">
        <v>61</v>
      </c>
      <c r="V1597" s="9">
        <v>562015.8</v>
      </c>
      <c r="W1597" s="9">
        <v>0.0</v>
      </c>
      <c r="X1597" s="9">
        <v>0.0</v>
      </c>
    </row>
    <row r="1598" ht="15.75" customHeight="1">
      <c r="A1598" s="9">
        <v>2065562.0</v>
      </c>
      <c r="B1598" s="9">
        <v>1138509.0</v>
      </c>
      <c r="C1598" s="9">
        <v>29734.0</v>
      </c>
      <c r="D1598" s="9" t="s">
        <v>52</v>
      </c>
      <c r="E1598" s="9" t="s">
        <v>53</v>
      </c>
      <c r="F1598" s="9">
        <v>57402.0</v>
      </c>
      <c r="G1598" s="9">
        <v>1138509.0</v>
      </c>
      <c r="H1598" s="9">
        <v>1138509.0</v>
      </c>
      <c r="I1598" s="9">
        <v>24931.0</v>
      </c>
      <c r="J1598" s="9">
        <v>0.0</v>
      </c>
      <c r="K1598" s="9">
        <v>0.0</v>
      </c>
      <c r="L1598" s="9" t="s">
        <v>54</v>
      </c>
      <c r="M1598" s="9" t="s">
        <v>65</v>
      </c>
      <c r="N1598" s="9">
        <v>24931.0</v>
      </c>
      <c r="O1598" s="9">
        <v>24931.0</v>
      </c>
      <c r="R1598" s="9" t="s">
        <v>60</v>
      </c>
      <c r="S1598" s="9" t="s">
        <v>57</v>
      </c>
      <c r="T1598" s="9" t="s">
        <v>61</v>
      </c>
      <c r="V1598" s="9">
        <v>24931.0</v>
      </c>
      <c r="W1598" s="9">
        <v>0.0</v>
      </c>
    </row>
    <row r="1599" ht="15.75" customHeight="1">
      <c r="A1599" s="9">
        <v>2065587.0</v>
      </c>
      <c r="B1599" s="9">
        <v>4753418.0</v>
      </c>
      <c r="C1599" s="9">
        <v>30412.0</v>
      </c>
      <c r="D1599" s="9" t="s">
        <v>52</v>
      </c>
      <c r="E1599" s="9" t="s">
        <v>53</v>
      </c>
      <c r="F1599" s="9">
        <v>57628.0</v>
      </c>
      <c r="G1599" s="9">
        <v>4753418.0</v>
      </c>
      <c r="H1599" s="9">
        <v>4753418.0</v>
      </c>
      <c r="I1599" s="9">
        <v>4217934.03</v>
      </c>
      <c r="J1599" s="9">
        <v>0.0</v>
      </c>
      <c r="K1599" s="9">
        <v>0.0</v>
      </c>
      <c r="L1599" s="9" t="s">
        <v>59</v>
      </c>
      <c r="M1599" s="9" t="s">
        <v>55</v>
      </c>
      <c r="N1599" s="9">
        <v>4455335.7</v>
      </c>
      <c r="O1599" s="9">
        <v>4455335.7</v>
      </c>
      <c r="P1599" s="9">
        <v>139365.0</v>
      </c>
      <c r="Q1599" s="9">
        <v>139365.0</v>
      </c>
      <c r="R1599" s="9" t="s">
        <v>56</v>
      </c>
      <c r="S1599" s="9" t="s">
        <v>57</v>
      </c>
      <c r="T1599" s="9" t="s">
        <v>58</v>
      </c>
    </row>
    <row r="1600" ht="15.75" customHeight="1">
      <c r="A1600" s="9">
        <v>2065812.0</v>
      </c>
      <c r="B1600" s="9">
        <v>1189622.0</v>
      </c>
      <c r="C1600" s="9">
        <v>29641.0</v>
      </c>
      <c r="D1600" s="9" t="s">
        <v>52</v>
      </c>
      <c r="E1600" s="9" t="s">
        <v>53</v>
      </c>
      <c r="F1600" s="9">
        <v>59616.0</v>
      </c>
      <c r="G1600" s="9">
        <v>1189622.0</v>
      </c>
      <c r="H1600" s="9">
        <v>1189622.0</v>
      </c>
      <c r="I1600" s="9">
        <v>0.0</v>
      </c>
      <c r="J1600" s="9">
        <v>0.0</v>
      </c>
      <c r="K1600" s="9">
        <v>0.0</v>
      </c>
      <c r="L1600" s="9" t="s">
        <v>54</v>
      </c>
      <c r="M1600" s="9" t="s">
        <v>65</v>
      </c>
      <c r="N1600" s="9">
        <v>0.0</v>
      </c>
      <c r="O1600" s="9">
        <v>0.0</v>
      </c>
      <c r="R1600" s="9" t="s">
        <v>60</v>
      </c>
      <c r="S1600" s="9" t="s">
        <v>57</v>
      </c>
      <c r="T1600" s="9" t="s">
        <v>61</v>
      </c>
      <c r="V1600" s="9">
        <v>76500.0</v>
      </c>
      <c r="W1600" s="9">
        <v>0.0</v>
      </c>
    </row>
    <row r="1601" ht="15.75" customHeight="1">
      <c r="A1601" s="9">
        <v>2066116.0</v>
      </c>
      <c r="B1601" s="9">
        <v>4315568.0</v>
      </c>
      <c r="C1601" s="9">
        <v>31019.0</v>
      </c>
      <c r="D1601" s="9" t="s">
        <v>52</v>
      </c>
      <c r="E1601" s="9" t="s">
        <v>53</v>
      </c>
      <c r="F1601" s="9">
        <v>61503.0</v>
      </c>
      <c r="G1601" s="9">
        <v>4315568.0</v>
      </c>
      <c r="H1601" s="9">
        <v>4315568.0</v>
      </c>
      <c r="I1601" s="9">
        <v>3861751.53</v>
      </c>
      <c r="J1601" s="9">
        <v>0.0</v>
      </c>
      <c r="K1601" s="9">
        <v>0.0</v>
      </c>
      <c r="L1601" s="9" t="s">
        <v>54</v>
      </c>
      <c r="M1601" s="9" t="s">
        <v>55</v>
      </c>
      <c r="P1601" s="9">
        <v>94065.38</v>
      </c>
      <c r="Q1601" s="9">
        <v>94065.38</v>
      </c>
      <c r="R1601" s="9" t="s">
        <v>75</v>
      </c>
      <c r="S1601" s="9" t="s">
        <v>57</v>
      </c>
      <c r="T1601" s="9" t="s">
        <v>76</v>
      </c>
    </row>
    <row r="1602" ht="15.75" customHeight="1">
      <c r="A1602" s="9">
        <v>2066330.0</v>
      </c>
      <c r="B1602" s="9">
        <v>1987135.0</v>
      </c>
      <c r="C1602" s="9">
        <v>30431.0</v>
      </c>
      <c r="D1602" s="9" t="s">
        <v>52</v>
      </c>
      <c r="E1602" s="9" t="s">
        <v>53</v>
      </c>
      <c r="F1602" s="9">
        <v>62018.0</v>
      </c>
      <c r="G1602" s="9">
        <v>4421990.61</v>
      </c>
      <c r="H1602" s="9">
        <v>4421990.61</v>
      </c>
      <c r="I1602" s="9">
        <v>165971.44</v>
      </c>
      <c r="J1602" s="9">
        <v>0.0</v>
      </c>
      <c r="K1602" s="9">
        <v>0.0</v>
      </c>
      <c r="L1602" s="9" t="s">
        <v>69</v>
      </c>
      <c r="M1602" s="9" t="s">
        <v>55</v>
      </c>
      <c r="N1602" s="9">
        <v>0.0</v>
      </c>
      <c r="O1602" s="9">
        <v>0.0</v>
      </c>
      <c r="R1602" s="9" t="s">
        <v>60</v>
      </c>
      <c r="S1602" s="9" t="s">
        <v>57</v>
      </c>
      <c r="T1602" s="9" t="s">
        <v>61</v>
      </c>
      <c r="V1602" s="9">
        <v>0.0</v>
      </c>
      <c r="W1602" s="9">
        <v>0.0</v>
      </c>
      <c r="X1602" s="9">
        <v>0.0</v>
      </c>
    </row>
    <row r="1603" ht="15.75" customHeight="1">
      <c r="A1603" s="9">
        <v>2067266.0</v>
      </c>
      <c r="B1603" s="9">
        <v>2692348.0</v>
      </c>
      <c r="C1603" s="9">
        <v>31223.0</v>
      </c>
      <c r="D1603" s="9" t="s">
        <v>52</v>
      </c>
      <c r="E1603" s="9" t="s">
        <v>53</v>
      </c>
      <c r="F1603" s="9">
        <v>65094.0</v>
      </c>
      <c r="G1603" s="9">
        <v>2692348.0</v>
      </c>
      <c r="H1603" s="9">
        <v>2692348.0</v>
      </c>
      <c r="I1603" s="9">
        <v>0.0</v>
      </c>
      <c r="J1603" s="9">
        <v>0.0</v>
      </c>
      <c r="K1603" s="9">
        <v>0.0</v>
      </c>
      <c r="L1603" s="9" t="s">
        <v>54</v>
      </c>
      <c r="M1603" s="9" t="s">
        <v>55</v>
      </c>
      <c r="R1603" s="9" t="s">
        <v>60</v>
      </c>
      <c r="S1603" s="9" t="s">
        <v>57</v>
      </c>
      <c r="T1603" s="9" t="s">
        <v>61</v>
      </c>
      <c r="V1603" s="9">
        <v>2904401.1</v>
      </c>
      <c r="W1603" s="9">
        <v>0.0</v>
      </c>
      <c r="X1603" s="9">
        <v>0.0</v>
      </c>
    </row>
    <row r="1604" ht="15.75" customHeight="1">
      <c r="A1604" s="9">
        <v>2067809.0</v>
      </c>
      <c r="B1604" s="9">
        <v>2273274.0</v>
      </c>
      <c r="C1604" s="9">
        <v>30821.0</v>
      </c>
      <c r="D1604" s="9" t="s">
        <v>52</v>
      </c>
      <c r="E1604" s="9" t="s">
        <v>53</v>
      </c>
      <c r="F1604" s="9">
        <v>66962.0</v>
      </c>
      <c r="G1604" s="9">
        <v>2273274.0</v>
      </c>
      <c r="H1604" s="9">
        <v>2273274.0</v>
      </c>
      <c r="I1604" s="9">
        <v>0.0</v>
      </c>
      <c r="J1604" s="9">
        <v>0.0</v>
      </c>
      <c r="K1604" s="9">
        <v>0.0</v>
      </c>
      <c r="L1604" s="9" t="s">
        <v>54</v>
      </c>
      <c r="M1604" s="9" t="s">
        <v>55</v>
      </c>
      <c r="N1604" s="9">
        <v>2273274.0</v>
      </c>
      <c r="O1604" s="9">
        <v>2273274.0</v>
      </c>
      <c r="P1604" s="9">
        <v>0.0</v>
      </c>
      <c r="Q1604" s="9">
        <v>0.0</v>
      </c>
      <c r="R1604" s="9" t="s">
        <v>60</v>
      </c>
      <c r="S1604" s="9" t="s">
        <v>57</v>
      </c>
      <c r="T1604" s="9" t="s">
        <v>61</v>
      </c>
    </row>
    <row r="1605" ht="15.75" customHeight="1">
      <c r="A1605" s="9">
        <v>2067934.0</v>
      </c>
      <c r="B1605" s="9">
        <v>1211714.0</v>
      </c>
      <c r="C1605" s="9">
        <v>31254.0</v>
      </c>
      <c r="D1605" s="9" t="s">
        <v>52</v>
      </c>
      <c r="E1605" s="9" t="s">
        <v>53</v>
      </c>
      <c r="F1605" s="9">
        <v>67385.0</v>
      </c>
      <c r="G1605" s="9">
        <v>1211714.0</v>
      </c>
      <c r="H1605" s="9">
        <v>1211714.0</v>
      </c>
      <c r="I1605" s="9">
        <v>1242043.94</v>
      </c>
      <c r="J1605" s="9">
        <v>0.0</v>
      </c>
      <c r="K1605" s="9">
        <v>0.0</v>
      </c>
      <c r="L1605" s="9" t="s">
        <v>69</v>
      </c>
      <c r="M1605" s="9" t="s">
        <v>55</v>
      </c>
      <c r="R1605" s="9" t="s">
        <v>75</v>
      </c>
      <c r="S1605" s="9" t="s">
        <v>57</v>
      </c>
      <c r="T1605" s="9" t="s">
        <v>76</v>
      </c>
    </row>
    <row r="1606" ht="15.75" customHeight="1">
      <c r="A1606" s="9">
        <v>2067952.0</v>
      </c>
      <c r="B1606" s="9">
        <v>5312598.0</v>
      </c>
      <c r="C1606" s="9">
        <v>31100.0</v>
      </c>
      <c r="D1606" s="9" t="s">
        <v>52</v>
      </c>
      <c r="E1606" s="9" t="s">
        <v>53</v>
      </c>
      <c r="F1606" s="9">
        <v>67429.0</v>
      </c>
      <c r="G1606" s="9">
        <v>5312598.0</v>
      </c>
      <c r="H1606" s="9">
        <v>3259034.95</v>
      </c>
      <c r="I1606" s="9">
        <v>40000.0</v>
      </c>
      <c r="J1606" s="9">
        <v>0.0</v>
      </c>
      <c r="K1606" s="9">
        <v>1000.0</v>
      </c>
      <c r="L1606" s="9" t="s">
        <v>59</v>
      </c>
      <c r="M1606" s="9" t="s">
        <v>55</v>
      </c>
      <c r="R1606" s="9" t="s">
        <v>96</v>
      </c>
      <c r="S1606" s="9" t="s">
        <v>78</v>
      </c>
      <c r="T1606" s="9" t="s">
        <v>79</v>
      </c>
      <c r="U1606" s="9" t="s">
        <v>97</v>
      </c>
    </row>
    <row r="1607" ht="15.75" customHeight="1">
      <c r="A1607" s="9">
        <v>2069331.0</v>
      </c>
      <c r="B1607" s="9">
        <v>762374.0</v>
      </c>
      <c r="C1607" s="9">
        <v>29795.0</v>
      </c>
      <c r="D1607" s="9" t="s">
        <v>52</v>
      </c>
      <c r="E1607" s="9" t="s">
        <v>53</v>
      </c>
      <c r="F1607" s="9">
        <v>71297.0</v>
      </c>
      <c r="G1607" s="9">
        <v>762374.0</v>
      </c>
      <c r="H1607" s="9">
        <v>762374.0</v>
      </c>
      <c r="I1607" s="9">
        <v>40500.0</v>
      </c>
      <c r="J1607" s="9">
        <v>0.0</v>
      </c>
      <c r="K1607" s="9">
        <v>0.0</v>
      </c>
      <c r="L1607" s="9" t="s">
        <v>54</v>
      </c>
      <c r="M1607" s="9" t="s">
        <v>65</v>
      </c>
      <c r="N1607" s="9">
        <v>40500.0</v>
      </c>
      <c r="O1607" s="9">
        <v>40500.0</v>
      </c>
      <c r="R1607" s="9" t="s">
        <v>60</v>
      </c>
      <c r="S1607" s="9" t="s">
        <v>57</v>
      </c>
      <c r="T1607" s="9" t="s">
        <v>61</v>
      </c>
      <c r="V1607" s="9">
        <v>40500.0</v>
      </c>
      <c r="W1607" s="9">
        <v>0.0</v>
      </c>
    </row>
    <row r="1608" ht="15.75" customHeight="1">
      <c r="A1608" s="9">
        <v>2069338.0</v>
      </c>
      <c r="B1608" s="9">
        <v>4147217.0</v>
      </c>
      <c r="C1608" s="9">
        <v>29740.0</v>
      </c>
      <c r="D1608" s="9" t="s">
        <v>52</v>
      </c>
      <c r="E1608" s="9" t="s">
        <v>53</v>
      </c>
      <c r="F1608" s="9">
        <v>71320.0</v>
      </c>
      <c r="G1608" s="9">
        <v>4113593.42</v>
      </c>
      <c r="H1608" s="9">
        <v>4113593.42</v>
      </c>
      <c r="I1608" s="9">
        <v>4113593.36</v>
      </c>
      <c r="J1608" s="9">
        <v>0.0</v>
      </c>
      <c r="K1608" s="9">
        <v>0.0</v>
      </c>
      <c r="L1608" s="9" t="s">
        <v>69</v>
      </c>
      <c r="M1608" s="9" t="s">
        <v>65</v>
      </c>
      <c r="N1608" s="9">
        <v>45000.0</v>
      </c>
      <c r="O1608" s="9">
        <v>45000.0</v>
      </c>
      <c r="R1608" s="9" t="s">
        <v>60</v>
      </c>
      <c r="S1608" s="9" t="s">
        <v>57</v>
      </c>
      <c r="T1608" s="9" t="s">
        <v>61</v>
      </c>
      <c r="V1608" s="9">
        <v>45000.0</v>
      </c>
      <c r="W1608" s="9">
        <v>0.0</v>
      </c>
    </row>
    <row r="1609" ht="15.75" customHeight="1">
      <c r="A1609" s="9">
        <v>2070374.0</v>
      </c>
      <c r="B1609" s="9">
        <v>5916975.0</v>
      </c>
      <c r="C1609" s="9">
        <v>34001.0</v>
      </c>
      <c r="D1609" s="9" t="s">
        <v>52</v>
      </c>
      <c r="E1609" s="9" t="s">
        <v>53</v>
      </c>
      <c r="F1609" s="9">
        <v>74250.0</v>
      </c>
      <c r="G1609" s="9">
        <v>9254620.63</v>
      </c>
      <c r="H1609" s="9">
        <v>9254620.63</v>
      </c>
      <c r="I1609" s="9">
        <v>9207096.19</v>
      </c>
      <c r="J1609" s="9">
        <v>0.0</v>
      </c>
      <c r="K1609" s="9">
        <v>0.0</v>
      </c>
      <c r="L1609" s="9" t="s">
        <v>59</v>
      </c>
      <c r="M1609" s="9" t="s">
        <v>62</v>
      </c>
      <c r="N1609" s="9">
        <v>4603691.45</v>
      </c>
      <c r="O1609" s="9">
        <v>4603691.45</v>
      </c>
      <c r="P1609" s="9">
        <v>114600.0</v>
      </c>
      <c r="Q1609" s="9">
        <v>114600.0</v>
      </c>
      <c r="R1609" s="9" t="s">
        <v>109</v>
      </c>
      <c r="S1609" s="9" t="s">
        <v>78</v>
      </c>
      <c r="T1609" s="9" t="s">
        <v>79</v>
      </c>
      <c r="U1609" s="9" t="s">
        <v>110</v>
      </c>
    </row>
    <row r="1610" ht="15.75" customHeight="1">
      <c r="A1610" s="9">
        <v>2070935.0</v>
      </c>
      <c r="B1610" s="9">
        <v>5269228.0</v>
      </c>
      <c r="C1610" s="9">
        <v>29564.0</v>
      </c>
      <c r="D1610" s="9" t="s">
        <v>52</v>
      </c>
      <c r="E1610" s="9" t="s">
        <v>53</v>
      </c>
      <c r="F1610" s="9">
        <v>75787.0</v>
      </c>
      <c r="G1610" s="9">
        <v>5269228.0</v>
      </c>
      <c r="H1610" s="9">
        <v>5269228.0</v>
      </c>
      <c r="I1610" s="9">
        <v>0.0</v>
      </c>
      <c r="J1610" s="9">
        <v>0.0</v>
      </c>
      <c r="K1610" s="9">
        <v>0.0</v>
      </c>
      <c r="L1610" s="9" t="s">
        <v>54</v>
      </c>
      <c r="M1610" s="9" t="s">
        <v>65</v>
      </c>
      <c r="N1610" s="9">
        <v>158077.0</v>
      </c>
      <c r="O1610" s="9">
        <v>142269.3</v>
      </c>
      <c r="R1610" s="9" t="s">
        <v>60</v>
      </c>
      <c r="S1610" s="9" t="s">
        <v>57</v>
      </c>
      <c r="T1610" s="9" t="s">
        <v>61</v>
      </c>
    </row>
    <row r="1611" ht="15.75" customHeight="1">
      <c r="A1611" s="9">
        <v>2071085.0</v>
      </c>
      <c r="B1611" s="9">
        <v>6219724.0</v>
      </c>
      <c r="C1611" s="9">
        <v>30524.0</v>
      </c>
      <c r="D1611" s="9" t="s">
        <v>52</v>
      </c>
      <c r="E1611" s="9" t="s">
        <v>53</v>
      </c>
      <c r="F1611" s="9">
        <v>76232.0</v>
      </c>
      <c r="G1611" s="9">
        <v>6438671.37</v>
      </c>
      <c r="H1611" s="9">
        <v>6438671.37</v>
      </c>
      <c r="I1611" s="9">
        <v>6438671.37</v>
      </c>
      <c r="J1611" s="9">
        <v>0.0</v>
      </c>
      <c r="K1611" s="9">
        <v>0.0</v>
      </c>
      <c r="L1611" s="9" t="s">
        <v>59</v>
      </c>
      <c r="M1611" s="9" t="s">
        <v>55</v>
      </c>
      <c r="N1611" s="9">
        <v>6043601.37</v>
      </c>
      <c r="O1611" s="9">
        <v>6043601.37</v>
      </c>
      <c r="P1611" s="9">
        <v>200626.0</v>
      </c>
      <c r="Q1611" s="9">
        <v>200626.0</v>
      </c>
      <c r="R1611" s="9" t="s">
        <v>60</v>
      </c>
      <c r="S1611" s="9" t="s">
        <v>57</v>
      </c>
      <c r="T1611" s="9" t="s">
        <v>61</v>
      </c>
      <c r="V1611" s="9">
        <v>6043601.37</v>
      </c>
      <c r="W1611" s="9">
        <v>200626.0</v>
      </c>
      <c r="X1611" s="9">
        <v>0.0</v>
      </c>
    </row>
    <row r="1612" ht="15.75" customHeight="1">
      <c r="A1612" s="9">
        <v>2072382.0</v>
      </c>
      <c r="B1612" s="9">
        <v>3074933.0</v>
      </c>
      <c r="C1612" s="9">
        <v>30067.0</v>
      </c>
      <c r="D1612" s="9" t="s">
        <v>52</v>
      </c>
      <c r="E1612" s="9" t="s">
        <v>53</v>
      </c>
      <c r="F1612" s="9">
        <v>79680.0</v>
      </c>
      <c r="G1612" s="9">
        <v>3382294.13</v>
      </c>
      <c r="H1612" s="9">
        <v>3382294.13</v>
      </c>
      <c r="I1612" s="9">
        <v>3346430.74</v>
      </c>
      <c r="J1612" s="9">
        <v>0.0</v>
      </c>
      <c r="K1612" s="9">
        <v>0.0</v>
      </c>
      <c r="L1612" s="9" t="s">
        <v>69</v>
      </c>
      <c r="M1612" s="9" t="s">
        <v>55</v>
      </c>
      <c r="N1612" s="9">
        <v>3309021.0</v>
      </c>
      <c r="O1612" s="9">
        <v>6492460.0</v>
      </c>
      <c r="P1612" s="9">
        <v>107569.15</v>
      </c>
      <c r="Q1612" s="9">
        <v>107569.15</v>
      </c>
      <c r="R1612" s="9" t="s">
        <v>60</v>
      </c>
      <c r="S1612" s="9" t="s">
        <v>57</v>
      </c>
      <c r="T1612" s="9" t="s">
        <v>61</v>
      </c>
      <c r="V1612" s="9">
        <v>3215171.61</v>
      </c>
      <c r="W1612" s="9">
        <v>107569.15</v>
      </c>
      <c r="X1612" s="9">
        <v>0.0</v>
      </c>
    </row>
    <row r="1613" ht="15.75" customHeight="1">
      <c r="A1613" s="9">
        <v>2072550.0</v>
      </c>
      <c r="B1613" s="9">
        <v>5309813.0</v>
      </c>
      <c r="C1613" s="9">
        <v>30959.0</v>
      </c>
      <c r="D1613" s="9" t="s">
        <v>52</v>
      </c>
      <c r="E1613" s="9" t="s">
        <v>53</v>
      </c>
      <c r="F1613" s="9">
        <v>80117.0</v>
      </c>
      <c r="G1613" s="9">
        <v>5837381.53</v>
      </c>
      <c r="H1613" s="9">
        <v>5837381.53</v>
      </c>
      <c r="I1613" s="9">
        <v>5834334.35</v>
      </c>
      <c r="J1613" s="9">
        <v>0.0</v>
      </c>
      <c r="K1613" s="9">
        <v>0.0</v>
      </c>
      <c r="L1613" s="9" t="s">
        <v>69</v>
      </c>
      <c r="M1613" s="9" t="s">
        <v>55</v>
      </c>
      <c r="N1613" s="9">
        <v>4741011.12</v>
      </c>
      <c r="O1613" s="9">
        <v>4342067.99</v>
      </c>
      <c r="P1613" s="9">
        <v>568801.69</v>
      </c>
      <c r="Q1613" s="9">
        <v>568801.69</v>
      </c>
      <c r="R1613" s="9" t="s">
        <v>56</v>
      </c>
      <c r="S1613" s="9" t="s">
        <v>57</v>
      </c>
      <c r="T1613" s="9" t="s">
        <v>58</v>
      </c>
      <c r="V1613" s="9">
        <v>4374923.31</v>
      </c>
      <c r="W1613" s="9">
        <v>545016.99</v>
      </c>
      <c r="X1613" s="9">
        <v>0.0</v>
      </c>
    </row>
    <row r="1614" ht="15.75" customHeight="1">
      <c r="A1614" s="9">
        <v>2072632.0</v>
      </c>
      <c r="B1614" s="9">
        <v>1588813.0</v>
      </c>
      <c r="C1614" s="9">
        <v>29919.0</v>
      </c>
      <c r="D1614" s="9" t="s">
        <v>52</v>
      </c>
      <c r="E1614" s="9" t="s">
        <v>53</v>
      </c>
      <c r="F1614" s="9">
        <v>80315.0</v>
      </c>
      <c r="G1614" s="9">
        <v>1588813.0</v>
      </c>
      <c r="H1614" s="9">
        <v>1588813.0</v>
      </c>
      <c r="I1614" s="9">
        <v>1321688.56</v>
      </c>
      <c r="J1614" s="9">
        <v>0.0</v>
      </c>
      <c r="K1614" s="9">
        <v>0.0</v>
      </c>
      <c r="L1614" s="9" t="s">
        <v>59</v>
      </c>
      <c r="M1614" s="9" t="s">
        <v>55</v>
      </c>
      <c r="N1614" s="9">
        <v>1590237.94</v>
      </c>
      <c r="O1614" s="9">
        <v>1590237.94</v>
      </c>
      <c r="P1614" s="9">
        <v>15000.0</v>
      </c>
      <c r="Q1614" s="9">
        <v>15000.0</v>
      </c>
      <c r="R1614" s="9" t="s">
        <v>60</v>
      </c>
      <c r="S1614" s="9" t="s">
        <v>57</v>
      </c>
      <c r="T1614" s="9" t="s">
        <v>61</v>
      </c>
      <c r="V1614" s="9">
        <v>1625757.22</v>
      </c>
      <c r="W1614" s="9">
        <v>0.0</v>
      </c>
      <c r="X1614" s="9">
        <v>0.0</v>
      </c>
    </row>
    <row r="1615" ht="15.75" customHeight="1">
      <c r="A1615" s="9">
        <v>2073332.0</v>
      </c>
      <c r="B1615" s="9">
        <v>637421.0</v>
      </c>
      <c r="C1615" s="9">
        <v>31179.0</v>
      </c>
      <c r="D1615" s="9" t="s">
        <v>52</v>
      </c>
      <c r="E1615" s="9" t="s">
        <v>53</v>
      </c>
      <c r="F1615" s="9">
        <v>82325.0</v>
      </c>
      <c r="G1615" s="9">
        <v>637421.0</v>
      </c>
      <c r="H1615" s="9">
        <v>637421.0</v>
      </c>
      <c r="I1615" s="9">
        <v>0.0</v>
      </c>
      <c r="J1615" s="9">
        <v>0.0</v>
      </c>
      <c r="K1615" s="9">
        <v>0.0</v>
      </c>
      <c r="L1615" s="9" t="s">
        <v>54</v>
      </c>
      <c r="M1615" s="9" t="s">
        <v>55</v>
      </c>
      <c r="R1615" s="9" t="s">
        <v>60</v>
      </c>
      <c r="S1615" s="9" t="s">
        <v>57</v>
      </c>
      <c r="T1615" s="9" t="s">
        <v>61</v>
      </c>
      <c r="V1615" s="9">
        <v>637420.57</v>
      </c>
      <c r="W1615" s="9">
        <v>0.0</v>
      </c>
      <c r="X1615" s="9">
        <v>0.0</v>
      </c>
    </row>
    <row r="1616" ht="15.75" customHeight="1">
      <c r="A1616" s="9">
        <v>2076026.0</v>
      </c>
      <c r="B1616" s="9">
        <v>2920559.0</v>
      </c>
      <c r="C1616" s="9">
        <v>47182.0</v>
      </c>
      <c r="D1616" s="9" t="s">
        <v>52</v>
      </c>
      <c r="E1616" s="9" t="s">
        <v>53</v>
      </c>
      <c r="F1616" s="9">
        <v>89784.0</v>
      </c>
      <c r="G1616" s="9">
        <v>2.567567032E7</v>
      </c>
      <c r="H1616" s="9">
        <v>2.846123343E7</v>
      </c>
      <c r="I1616" s="9">
        <v>1.977836737E7</v>
      </c>
      <c r="J1616" s="9">
        <v>6062427.11</v>
      </c>
      <c r="K1616" s="9">
        <v>1.1409992E7</v>
      </c>
      <c r="L1616" s="9" t="s">
        <v>59</v>
      </c>
      <c r="M1616" s="9" t="s">
        <v>55</v>
      </c>
      <c r="N1616" s="9">
        <v>2.694036936E7</v>
      </c>
      <c r="O1616" s="9">
        <v>2.560506834E7</v>
      </c>
      <c r="P1616" s="9">
        <v>1141541.07</v>
      </c>
      <c r="Q1616" s="9">
        <v>1141541.07</v>
      </c>
      <c r="R1616" s="9" t="s">
        <v>106</v>
      </c>
      <c r="S1616" s="9" t="s">
        <v>82</v>
      </c>
      <c r="T1616" s="9" t="s">
        <v>107</v>
      </c>
      <c r="U1616" s="9" t="s">
        <v>108</v>
      </c>
    </row>
    <row r="1617" ht="15.75" customHeight="1">
      <c r="A1617" s="9">
        <v>2235574.0</v>
      </c>
      <c r="B1617" s="9">
        <v>4.2010074E7</v>
      </c>
      <c r="C1617" s="9">
        <v>48302.0</v>
      </c>
      <c r="D1617" s="9" t="s">
        <v>52</v>
      </c>
      <c r="E1617" s="9" t="s">
        <v>64</v>
      </c>
      <c r="F1617" s="9">
        <v>281373.0</v>
      </c>
      <c r="H1617" s="9">
        <v>6.973558534E7</v>
      </c>
      <c r="I1617" s="9">
        <v>2.071152976E7</v>
      </c>
      <c r="J1617" s="9">
        <v>160376.45</v>
      </c>
      <c r="K1617" s="9">
        <v>757335.0</v>
      </c>
      <c r="L1617" s="9" t="s">
        <v>59</v>
      </c>
      <c r="M1617" s="9" t="s">
        <v>74</v>
      </c>
      <c r="R1617" s="9" t="s">
        <v>100</v>
      </c>
      <c r="S1617" s="9" t="s">
        <v>101</v>
      </c>
      <c r="T1617" s="9" t="s">
        <v>102</v>
      </c>
    </row>
    <row r="1618" ht="15.75" customHeight="1">
      <c r="A1618" s="9">
        <v>2235574.0</v>
      </c>
      <c r="B1618" s="9">
        <v>4.2010074E7</v>
      </c>
      <c r="C1618" s="9">
        <v>42065.0</v>
      </c>
      <c r="D1618" s="9" t="s">
        <v>52</v>
      </c>
      <c r="E1618" s="9" t="s">
        <v>88</v>
      </c>
      <c r="F1618" s="9">
        <v>281373.0</v>
      </c>
      <c r="G1618" s="9">
        <v>4.231941127E7</v>
      </c>
      <c r="H1618" s="9">
        <v>6.973558534E7</v>
      </c>
      <c r="I1618" s="9">
        <v>2.071152976E7</v>
      </c>
      <c r="J1618" s="9">
        <v>160376.45</v>
      </c>
      <c r="K1618" s="9">
        <v>757335.0</v>
      </c>
      <c r="L1618" s="9" t="s">
        <v>59</v>
      </c>
      <c r="M1618" s="9" t="s">
        <v>55</v>
      </c>
      <c r="N1618" s="9">
        <v>2619064.57</v>
      </c>
      <c r="O1618" s="9">
        <v>2619064.57</v>
      </c>
      <c r="P1618" s="9">
        <v>266538.04</v>
      </c>
      <c r="Q1618" s="9">
        <v>265418.45</v>
      </c>
      <c r="R1618" s="9" t="s">
        <v>115</v>
      </c>
      <c r="S1618" s="9" t="s">
        <v>115</v>
      </c>
      <c r="V1618" s="9">
        <v>9086.21</v>
      </c>
      <c r="W1618" s="9">
        <v>1200.76</v>
      </c>
    </row>
    <row r="1619" ht="15.75" customHeight="1">
      <c r="A1619" s="9">
        <v>2235793.0</v>
      </c>
      <c r="B1619" s="9">
        <v>8396024.0</v>
      </c>
      <c r="C1619" s="9">
        <v>31458.0</v>
      </c>
      <c r="D1619" s="9" t="s">
        <v>52</v>
      </c>
      <c r="E1619" s="9" t="s">
        <v>53</v>
      </c>
      <c r="F1619" s="9">
        <v>270344.0</v>
      </c>
      <c r="G1619" s="9">
        <v>1.00286297E7</v>
      </c>
      <c r="H1619" s="9">
        <v>1.00286297E7</v>
      </c>
      <c r="I1619" s="9">
        <v>0.0</v>
      </c>
      <c r="J1619" s="9">
        <v>0.0</v>
      </c>
      <c r="K1619" s="9">
        <v>0.0</v>
      </c>
      <c r="L1619" s="9" t="s">
        <v>54</v>
      </c>
      <c r="M1619" s="9" t="s">
        <v>65</v>
      </c>
      <c r="N1619" s="9">
        <v>405844.0</v>
      </c>
      <c r="O1619" s="9">
        <v>365259.6</v>
      </c>
      <c r="R1619" s="9" t="s">
        <v>60</v>
      </c>
      <c r="S1619" s="9" t="s">
        <v>57</v>
      </c>
      <c r="T1619" s="9" t="s">
        <v>61</v>
      </c>
      <c r="V1619" s="9">
        <v>365259.6</v>
      </c>
      <c r="W1619" s="9">
        <v>0.0</v>
      </c>
    </row>
    <row r="1620" ht="15.75" customHeight="1">
      <c r="A1620" s="9">
        <v>2236191.0</v>
      </c>
      <c r="B1620" s="9">
        <v>4996982.0</v>
      </c>
      <c r="C1620" s="9">
        <v>44267.0</v>
      </c>
      <c r="D1620" s="9" t="s">
        <v>52</v>
      </c>
      <c r="E1620" s="9" t="s">
        <v>53</v>
      </c>
      <c r="F1620" s="9">
        <v>234374.0</v>
      </c>
      <c r="G1620" s="9">
        <v>5759220.3</v>
      </c>
      <c r="H1620" s="9">
        <v>7714721.43</v>
      </c>
      <c r="I1620" s="9">
        <v>6755019.86</v>
      </c>
      <c r="J1620" s="9">
        <v>0.0</v>
      </c>
      <c r="K1620" s="9">
        <v>22047.0</v>
      </c>
      <c r="L1620" s="9" t="s">
        <v>59</v>
      </c>
      <c r="M1620" s="9" t="s">
        <v>62</v>
      </c>
      <c r="N1620" s="9">
        <v>3879794.58</v>
      </c>
      <c r="O1620" s="9">
        <v>3491815.13</v>
      </c>
      <c r="P1620" s="9">
        <v>175003.95</v>
      </c>
      <c r="Q1620" s="9">
        <v>157503.56</v>
      </c>
      <c r="R1620" s="9" t="s">
        <v>77</v>
      </c>
      <c r="S1620" s="9" t="s">
        <v>78</v>
      </c>
      <c r="T1620" s="9" t="s">
        <v>79</v>
      </c>
      <c r="U1620" s="9" t="s">
        <v>80</v>
      </c>
    </row>
    <row r="1621" ht="15.75" customHeight="1">
      <c r="A1621" s="9">
        <v>2238316.0</v>
      </c>
      <c r="B1621" s="9">
        <v>8338521.0</v>
      </c>
      <c r="C1621" s="9">
        <v>37593.0</v>
      </c>
      <c r="D1621" s="9" t="s">
        <v>52</v>
      </c>
      <c r="E1621" s="9" t="s">
        <v>53</v>
      </c>
      <c r="F1621" s="9">
        <v>267845.0</v>
      </c>
      <c r="G1621" s="9">
        <v>8894626.9</v>
      </c>
      <c r="H1621" s="9">
        <v>8029125.71</v>
      </c>
      <c r="I1621" s="9">
        <v>7553602.37</v>
      </c>
      <c r="J1621" s="9">
        <v>0.0</v>
      </c>
      <c r="K1621" s="9">
        <v>0.0</v>
      </c>
      <c r="L1621" s="9" t="s">
        <v>69</v>
      </c>
      <c r="M1621" s="9" t="s">
        <v>55</v>
      </c>
      <c r="N1621" s="9">
        <v>8312735.42</v>
      </c>
      <c r="O1621" s="9">
        <v>7481461.88</v>
      </c>
      <c r="P1621" s="9">
        <v>580423.2</v>
      </c>
      <c r="Q1621" s="9">
        <v>522380.94</v>
      </c>
      <c r="R1621" s="9" t="s">
        <v>56</v>
      </c>
      <c r="S1621" s="9" t="s">
        <v>57</v>
      </c>
      <c r="T1621" s="9" t="s">
        <v>58</v>
      </c>
      <c r="V1621" s="9">
        <v>7409964.52</v>
      </c>
      <c r="W1621" s="9">
        <v>526599.42</v>
      </c>
      <c r="X1621" s="9">
        <v>0.0</v>
      </c>
    </row>
    <row r="1622" ht="15.75" customHeight="1">
      <c r="A1622" s="9">
        <v>2241375.0</v>
      </c>
      <c r="B1622" s="9">
        <v>6781553.0</v>
      </c>
      <c r="C1622" s="9">
        <v>40295.0</v>
      </c>
      <c r="D1622" s="9" t="s">
        <v>52</v>
      </c>
      <c r="E1622" s="9" t="s">
        <v>53</v>
      </c>
      <c r="F1622" s="9">
        <v>281184.0</v>
      </c>
      <c r="G1622" s="9">
        <v>7796540.28</v>
      </c>
      <c r="H1622" s="9">
        <v>7969077.57</v>
      </c>
      <c r="I1622" s="9">
        <v>7969077.57</v>
      </c>
      <c r="J1622" s="9">
        <v>0.0</v>
      </c>
      <c r="K1622" s="9">
        <v>0.0</v>
      </c>
      <c r="L1622" s="9" t="s">
        <v>69</v>
      </c>
      <c r="M1622" s="9" t="s">
        <v>55</v>
      </c>
      <c r="N1622" s="9">
        <v>7109047.0</v>
      </c>
      <c r="O1622" s="9">
        <v>7109047.0</v>
      </c>
      <c r="P1622" s="9">
        <v>199755.0</v>
      </c>
      <c r="Q1622" s="9">
        <v>199620.0</v>
      </c>
      <c r="R1622" s="9" t="s">
        <v>60</v>
      </c>
      <c r="S1622" s="9" t="s">
        <v>57</v>
      </c>
      <c r="T1622" s="9" t="s">
        <v>61</v>
      </c>
      <c r="V1622" s="9">
        <v>7588599.57</v>
      </c>
      <c r="W1622" s="9">
        <v>199620.0</v>
      </c>
      <c r="X1622" s="9">
        <v>0.0</v>
      </c>
    </row>
    <row r="1623" ht="15.75" customHeight="1">
      <c r="A1623" s="9">
        <v>2244668.0</v>
      </c>
      <c r="B1623" s="9">
        <v>4037209.0</v>
      </c>
      <c r="C1623" s="9">
        <v>48168.0</v>
      </c>
      <c r="D1623" s="9" t="s">
        <v>52</v>
      </c>
      <c r="E1623" s="9" t="s">
        <v>53</v>
      </c>
      <c r="F1623" s="9">
        <v>294508.0</v>
      </c>
      <c r="G1623" s="9">
        <v>6634410.08</v>
      </c>
      <c r="H1623" s="9">
        <v>8356257.4</v>
      </c>
      <c r="I1623" s="9">
        <v>7113764.26</v>
      </c>
      <c r="J1623" s="9">
        <v>1161237.39</v>
      </c>
      <c r="K1623" s="9">
        <v>1449611.0</v>
      </c>
      <c r="L1623" s="9" t="s">
        <v>59</v>
      </c>
      <c r="M1623" s="9" t="s">
        <v>62</v>
      </c>
      <c r="N1623" s="9">
        <v>3893442.91</v>
      </c>
      <c r="O1623" s="9">
        <v>3893442.91</v>
      </c>
      <c r="R1623" s="9" t="s">
        <v>144</v>
      </c>
      <c r="S1623" s="9" t="s">
        <v>82</v>
      </c>
      <c r="T1623" s="9" t="s">
        <v>145</v>
      </c>
    </row>
    <row r="1624" ht="15.75" customHeight="1">
      <c r="A1624" s="9">
        <v>2245553.0</v>
      </c>
      <c r="B1624" s="9">
        <v>2224760.0</v>
      </c>
      <c r="C1624" s="9">
        <v>33509.0</v>
      </c>
      <c r="D1624" s="9" t="s">
        <v>52</v>
      </c>
      <c r="E1624" s="9" t="s">
        <v>53</v>
      </c>
      <c r="F1624" s="9">
        <v>297989.0</v>
      </c>
      <c r="G1624" s="9">
        <v>2085491.0</v>
      </c>
      <c r="H1624" s="9">
        <v>2085491.0</v>
      </c>
      <c r="I1624" s="9">
        <v>1991255.6</v>
      </c>
      <c r="J1624" s="9">
        <v>0.0</v>
      </c>
      <c r="K1624" s="9">
        <v>0.0</v>
      </c>
      <c r="L1624" s="9" t="s">
        <v>69</v>
      </c>
      <c r="M1624" s="9" t="s">
        <v>55</v>
      </c>
      <c r="N1624" s="9">
        <v>2022527.0</v>
      </c>
      <c r="O1624" s="9">
        <v>1885400.0</v>
      </c>
      <c r="R1624" s="9" t="s">
        <v>56</v>
      </c>
      <c r="S1624" s="9" t="s">
        <v>57</v>
      </c>
      <c r="T1624" s="9" t="s">
        <v>58</v>
      </c>
      <c r="V1624" s="9">
        <v>1915980.46</v>
      </c>
      <c r="W1624" s="9">
        <v>0.0</v>
      </c>
      <c r="X1624" s="9">
        <v>0.0</v>
      </c>
    </row>
    <row r="1625" ht="15.75" customHeight="1">
      <c r="A1625" s="9">
        <v>2248759.0</v>
      </c>
      <c r="B1625" s="9">
        <v>9737161.0</v>
      </c>
      <c r="C1625" s="9">
        <v>37392.0</v>
      </c>
      <c r="D1625" s="9" t="s">
        <v>52</v>
      </c>
      <c r="E1625" s="9" t="s">
        <v>53</v>
      </c>
      <c r="F1625" s="9">
        <v>309101.0</v>
      </c>
      <c r="G1625" s="9">
        <v>1.16522517E7</v>
      </c>
      <c r="H1625" s="9">
        <v>1.165226269E7</v>
      </c>
      <c r="I1625" s="9">
        <v>1.16515926E7</v>
      </c>
      <c r="J1625" s="9">
        <v>0.0</v>
      </c>
      <c r="K1625" s="9">
        <v>0.0</v>
      </c>
      <c r="L1625" s="9" t="s">
        <v>59</v>
      </c>
      <c r="M1625" s="9" t="s">
        <v>55</v>
      </c>
      <c r="N1625" s="9">
        <v>1.103766573E7</v>
      </c>
      <c r="O1625" s="9">
        <v>1.103766573E7</v>
      </c>
      <c r="P1625" s="9">
        <v>331129.97</v>
      </c>
      <c r="Q1625" s="9">
        <v>301192.19</v>
      </c>
      <c r="R1625" s="9" t="s">
        <v>60</v>
      </c>
      <c r="S1625" s="9" t="s">
        <v>57</v>
      </c>
      <c r="T1625" s="9" t="s">
        <v>61</v>
      </c>
      <c r="V1625" s="9">
        <v>1.133252195E7</v>
      </c>
      <c r="W1625" s="9">
        <v>319740.64</v>
      </c>
      <c r="X1625" s="9">
        <v>0.0</v>
      </c>
    </row>
    <row r="1626" ht="15.75" customHeight="1">
      <c r="A1626" s="9">
        <v>2252137.0</v>
      </c>
      <c r="B1626" s="9">
        <v>1566628.0</v>
      </c>
      <c r="C1626" s="9">
        <v>33260.0</v>
      </c>
      <c r="D1626" s="9" t="s">
        <v>52</v>
      </c>
      <c r="E1626" s="9" t="s">
        <v>53</v>
      </c>
      <c r="F1626" s="9">
        <v>297421.0</v>
      </c>
      <c r="G1626" s="9">
        <v>2339691.0</v>
      </c>
      <c r="H1626" s="9">
        <v>3046157.17</v>
      </c>
      <c r="I1626" s="9">
        <v>0.0</v>
      </c>
      <c r="J1626" s="9">
        <v>0.0</v>
      </c>
      <c r="K1626" s="9">
        <v>0.0</v>
      </c>
      <c r="L1626" s="9" t="s">
        <v>59</v>
      </c>
      <c r="M1626" s="9" t="s">
        <v>55</v>
      </c>
      <c r="R1626" s="9" t="s">
        <v>63</v>
      </c>
      <c r="S1626" s="9" t="s">
        <v>63</v>
      </c>
      <c r="V1626" s="9">
        <v>0.0</v>
      </c>
      <c r="W1626" s="9">
        <v>0.0</v>
      </c>
      <c r="X1626" s="9">
        <v>0.0</v>
      </c>
    </row>
    <row r="1627" ht="15.75" customHeight="1">
      <c r="A1627" s="9">
        <v>2267313.0</v>
      </c>
      <c r="B1627" s="9">
        <v>5570600.0</v>
      </c>
      <c r="C1627" s="9">
        <v>33465.0</v>
      </c>
      <c r="D1627" s="9" t="s">
        <v>52</v>
      </c>
      <c r="E1627" s="9" t="s">
        <v>53</v>
      </c>
      <c r="F1627" s="9">
        <v>317384.0</v>
      </c>
      <c r="G1627" s="9">
        <v>4820487.76</v>
      </c>
      <c r="H1627" s="9">
        <v>4820487.76</v>
      </c>
      <c r="I1627" s="9">
        <v>4770488.33</v>
      </c>
      <c r="J1627" s="9">
        <v>0.0</v>
      </c>
      <c r="K1627" s="9">
        <v>0.0</v>
      </c>
      <c r="L1627" s="9" t="s">
        <v>59</v>
      </c>
      <c r="M1627" s="9" t="s">
        <v>55</v>
      </c>
      <c r="N1627" s="9">
        <v>4609166.92</v>
      </c>
      <c r="O1627" s="9">
        <v>4609166.92</v>
      </c>
      <c r="P1627" s="9">
        <v>161320.84</v>
      </c>
      <c r="Q1627" s="9">
        <v>161320.84</v>
      </c>
      <c r="R1627" s="9" t="s">
        <v>60</v>
      </c>
      <c r="S1627" s="9" t="s">
        <v>57</v>
      </c>
      <c r="T1627" s="9" t="s">
        <v>61</v>
      </c>
      <c r="V1627" s="9">
        <v>4609167.0</v>
      </c>
      <c r="W1627" s="9">
        <v>161321.0</v>
      </c>
      <c r="X1627" s="9">
        <v>0.0</v>
      </c>
    </row>
    <row r="1628" ht="15.75" customHeight="1">
      <c r="A1628" s="9">
        <v>2276184.0</v>
      </c>
      <c r="B1628" s="9">
        <v>2.20604484E8</v>
      </c>
      <c r="C1628" s="9">
        <v>39057.0</v>
      </c>
      <c r="D1628" s="9" t="s">
        <v>52</v>
      </c>
      <c r="E1628" s="9" t="s">
        <v>64</v>
      </c>
      <c r="F1628" s="9">
        <v>321583.0</v>
      </c>
      <c r="G1628" s="9">
        <v>0.0</v>
      </c>
      <c r="M1628" s="9" t="s">
        <v>146</v>
      </c>
      <c r="N1628" s="9">
        <v>0.0</v>
      </c>
      <c r="O1628" s="9">
        <v>0.0</v>
      </c>
      <c r="R1628" s="9" t="s">
        <v>147</v>
      </c>
      <c r="S1628" s="9" t="s">
        <v>148</v>
      </c>
      <c r="T1628" s="9" t="s">
        <v>86</v>
      </c>
    </row>
    <row r="1629" ht="15.75" customHeight="1">
      <c r="A1629" s="9">
        <v>2276837.0</v>
      </c>
      <c r="B1629" s="9">
        <v>1.873041E7</v>
      </c>
      <c r="C1629" s="9">
        <v>40599.0</v>
      </c>
      <c r="D1629" s="9" t="s">
        <v>52</v>
      </c>
      <c r="E1629" s="9" t="s">
        <v>53</v>
      </c>
      <c r="F1629" s="9">
        <v>321853.0</v>
      </c>
      <c r="G1629" s="9">
        <v>1.637252587E7</v>
      </c>
      <c r="H1629" s="9">
        <v>2.8466846E7</v>
      </c>
      <c r="I1629" s="9">
        <v>1.690753359E7</v>
      </c>
      <c r="J1629" s="9">
        <v>0.0</v>
      </c>
      <c r="K1629" s="9">
        <v>0.0</v>
      </c>
      <c r="L1629" s="9" t="s">
        <v>59</v>
      </c>
      <c r="M1629" s="9" t="s">
        <v>55</v>
      </c>
      <c r="N1629" s="9">
        <v>1.589565618E7</v>
      </c>
      <c r="O1629" s="9">
        <v>1.589556518E7</v>
      </c>
      <c r="P1629" s="9">
        <v>476870.0</v>
      </c>
      <c r="Q1629" s="9">
        <v>429183.0</v>
      </c>
      <c r="R1629" s="9" t="s">
        <v>72</v>
      </c>
      <c r="S1629" s="9" t="s">
        <v>57</v>
      </c>
      <c r="T1629" s="9" t="s">
        <v>73</v>
      </c>
      <c r="V1629" s="9">
        <v>1.589556518E7</v>
      </c>
      <c r="W1629" s="9">
        <v>411142.98</v>
      </c>
      <c r="X1629" s="9">
        <v>0.0</v>
      </c>
    </row>
    <row r="1630" ht="15.75" customHeight="1">
      <c r="A1630" s="9">
        <v>2280028.0</v>
      </c>
      <c r="B1630" s="9">
        <v>1584825.0</v>
      </c>
      <c r="C1630" s="9">
        <v>41942.0</v>
      </c>
      <c r="D1630" s="9" t="s">
        <v>52</v>
      </c>
      <c r="E1630" s="9" t="s">
        <v>53</v>
      </c>
      <c r="F1630" s="9">
        <v>322905.0</v>
      </c>
      <c r="G1630" s="9">
        <v>1926174.1</v>
      </c>
      <c r="H1630" s="9">
        <v>1761468.0</v>
      </c>
      <c r="I1630" s="9">
        <v>1761467.23</v>
      </c>
      <c r="J1630" s="9">
        <v>0.0</v>
      </c>
      <c r="K1630" s="9">
        <v>0.0</v>
      </c>
      <c r="L1630" s="9" t="s">
        <v>69</v>
      </c>
      <c r="M1630" s="9" t="s">
        <v>55</v>
      </c>
      <c r="N1630" s="9">
        <v>1793994.88</v>
      </c>
      <c r="O1630" s="9">
        <v>1614595.4</v>
      </c>
      <c r="P1630" s="9">
        <v>92279.22</v>
      </c>
      <c r="Q1630" s="9">
        <v>83051.3</v>
      </c>
      <c r="R1630" s="9" t="s">
        <v>60</v>
      </c>
      <c r="S1630" s="9" t="s">
        <v>57</v>
      </c>
      <c r="T1630" s="9" t="s">
        <v>61</v>
      </c>
      <c r="V1630" s="9">
        <v>1638515.93</v>
      </c>
      <c r="W1630" s="9">
        <v>83051.3</v>
      </c>
      <c r="X1630" s="9">
        <v>0.0</v>
      </c>
    </row>
    <row r="1631" ht="15.75" customHeight="1">
      <c r="A1631" s="9">
        <v>2284442.0</v>
      </c>
      <c r="B1631" s="9">
        <v>4237759.0</v>
      </c>
      <c r="C1631" s="9">
        <v>41943.0</v>
      </c>
      <c r="D1631" s="9" t="s">
        <v>52</v>
      </c>
      <c r="E1631" s="9" t="s">
        <v>53</v>
      </c>
      <c r="F1631" s="9">
        <v>326140.0</v>
      </c>
      <c r="G1631" s="9">
        <v>1858587.94</v>
      </c>
      <c r="H1631" s="9">
        <v>1578333.26</v>
      </c>
      <c r="I1631" s="9">
        <v>1575950.87</v>
      </c>
      <c r="J1631" s="9">
        <v>0.0</v>
      </c>
      <c r="K1631" s="9">
        <v>0.0</v>
      </c>
      <c r="L1631" s="9" t="s">
        <v>59</v>
      </c>
      <c r="M1631" s="9" t="s">
        <v>55</v>
      </c>
      <c r="N1631" s="9">
        <v>1768505.21</v>
      </c>
      <c r="O1631" s="9">
        <v>1591654.69</v>
      </c>
      <c r="P1631" s="9">
        <v>79581.0</v>
      </c>
      <c r="Q1631" s="9">
        <v>79580.0</v>
      </c>
      <c r="R1631" s="9" t="s">
        <v>56</v>
      </c>
      <c r="S1631" s="9" t="s">
        <v>57</v>
      </c>
      <c r="T1631" s="9" t="s">
        <v>58</v>
      </c>
      <c r="V1631" s="9">
        <v>1567833.26</v>
      </c>
      <c r="W1631" s="9">
        <v>95496.0</v>
      </c>
      <c r="X1631" s="9">
        <v>0.0</v>
      </c>
    </row>
    <row r="1632" ht="15.75" customHeight="1">
      <c r="A1632" s="9">
        <v>2284861.0</v>
      </c>
      <c r="B1632" s="9">
        <v>3458603.0</v>
      </c>
      <c r="C1632" s="9">
        <v>40296.0</v>
      </c>
      <c r="D1632" s="9" t="s">
        <v>52</v>
      </c>
      <c r="E1632" s="9" t="s">
        <v>53</v>
      </c>
      <c r="F1632" s="9">
        <v>303697.0</v>
      </c>
      <c r="G1632" s="9">
        <v>3243555.0</v>
      </c>
      <c r="H1632" s="9">
        <v>3243555.0</v>
      </c>
      <c r="I1632" s="9">
        <v>2784770.62</v>
      </c>
      <c r="J1632" s="9">
        <v>0.0</v>
      </c>
      <c r="K1632" s="9">
        <v>0.0</v>
      </c>
      <c r="L1632" s="9" t="s">
        <v>59</v>
      </c>
      <c r="M1632" s="9" t="s">
        <v>55</v>
      </c>
      <c r="N1632" s="9">
        <v>2777469.45</v>
      </c>
      <c r="O1632" s="9">
        <v>2777469.45</v>
      </c>
      <c r="R1632" s="9" t="s">
        <v>56</v>
      </c>
      <c r="S1632" s="9" t="s">
        <v>57</v>
      </c>
      <c r="T1632" s="9" t="s">
        <v>58</v>
      </c>
      <c r="V1632" s="9">
        <v>2840497.09</v>
      </c>
      <c r="W1632" s="9">
        <v>0.0</v>
      </c>
      <c r="X1632" s="9">
        <v>0.0</v>
      </c>
    </row>
    <row r="1633" ht="15.75" customHeight="1">
      <c r="A1633" s="9">
        <v>2289975.0</v>
      </c>
      <c r="B1633" s="9">
        <v>6.6401181E7</v>
      </c>
      <c r="C1633" s="9">
        <v>31442.0</v>
      </c>
      <c r="D1633" s="9" t="s">
        <v>52</v>
      </c>
      <c r="E1633" s="9" t="s">
        <v>53</v>
      </c>
      <c r="F1633" s="9">
        <v>331528.0</v>
      </c>
      <c r="G1633" s="9">
        <v>0.0</v>
      </c>
      <c r="H1633" s="9">
        <v>6.735913023E7</v>
      </c>
      <c r="I1633" s="9">
        <v>776782.72</v>
      </c>
      <c r="J1633" s="9">
        <v>36900.0</v>
      </c>
      <c r="K1633" s="9">
        <v>540521.0</v>
      </c>
      <c r="L1633" s="9" t="s">
        <v>59</v>
      </c>
      <c r="M1633" s="9" t="s">
        <v>116</v>
      </c>
      <c r="N1633" s="9">
        <v>462281.46</v>
      </c>
      <c r="O1633" s="9">
        <v>462281.46</v>
      </c>
      <c r="R1633" s="9" t="s">
        <v>60</v>
      </c>
      <c r="S1633" s="9" t="s">
        <v>57</v>
      </c>
      <c r="T1633" s="9" t="s">
        <v>61</v>
      </c>
      <c r="V1633" s="9">
        <v>451006.3</v>
      </c>
    </row>
    <row r="1634" ht="15.75" customHeight="1">
      <c r="A1634" s="9">
        <v>2292730.0</v>
      </c>
      <c r="B1634" s="9">
        <v>1.8356414E7</v>
      </c>
      <c r="C1634" s="9">
        <v>47190.0</v>
      </c>
      <c r="D1634" s="9" t="s">
        <v>52</v>
      </c>
      <c r="E1634" s="9" t="s">
        <v>53</v>
      </c>
      <c r="F1634" s="9">
        <v>334057.0</v>
      </c>
      <c r="G1634" s="9">
        <v>2.010949536E7</v>
      </c>
      <c r="H1634" s="9">
        <v>2.29722138E7</v>
      </c>
      <c r="I1634" s="9">
        <v>1.951704907E7</v>
      </c>
      <c r="J1634" s="9">
        <v>3518983.15</v>
      </c>
      <c r="K1634" s="9">
        <v>5705335.0</v>
      </c>
      <c r="L1634" s="9" t="s">
        <v>59</v>
      </c>
      <c r="M1634" s="9" t="s">
        <v>55</v>
      </c>
      <c r="N1634" s="9">
        <v>2.03898989E7</v>
      </c>
      <c r="O1634" s="9">
        <v>2.038919133E7</v>
      </c>
      <c r="P1634" s="9">
        <v>846926.66</v>
      </c>
      <c r="Q1634" s="9">
        <v>846000.0</v>
      </c>
      <c r="R1634" s="9" t="s">
        <v>131</v>
      </c>
      <c r="S1634" s="9" t="s">
        <v>82</v>
      </c>
      <c r="T1634" s="9" t="s">
        <v>132</v>
      </c>
    </row>
    <row r="1635" ht="15.75" customHeight="1">
      <c r="A1635" s="9">
        <v>2300467.0</v>
      </c>
      <c r="B1635" s="9">
        <v>4.9049008E7</v>
      </c>
      <c r="C1635" s="9">
        <v>47333.0</v>
      </c>
      <c r="D1635" s="9" t="s">
        <v>52</v>
      </c>
      <c r="E1635" s="9" t="s">
        <v>53</v>
      </c>
      <c r="F1635" s="9">
        <v>336834.0</v>
      </c>
      <c r="G1635" s="9">
        <v>4.904900877E7</v>
      </c>
      <c r="H1635" s="9">
        <v>5.612896999E7</v>
      </c>
      <c r="I1635" s="9">
        <v>4.844059444E7</v>
      </c>
      <c r="J1635" s="9">
        <v>1.464632744E7</v>
      </c>
      <c r="K1635" s="9">
        <v>2.2227572E7</v>
      </c>
      <c r="L1635" s="9" t="s">
        <v>59</v>
      </c>
      <c r="M1635" s="9" t="s">
        <v>55</v>
      </c>
      <c r="N1635" s="9">
        <v>5.347652196E7</v>
      </c>
      <c r="O1635" s="9">
        <v>4.985E7</v>
      </c>
      <c r="P1635" s="9">
        <v>2593722.89</v>
      </c>
      <c r="Q1635" s="9">
        <v>1978263.23</v>
      </c>
      <c r="R1635" s="9" t="s">
        <v>149</v>
      </c>
      <c r="S1635" s="9" t="s">
        <v>82</v>
      </c>
      <c r="T1635" s="9" t="s">
        <v>83</v>
      </c>
      <c r="U1635" s="9" t="s">
        <v>150</v>
      </c>
    </row>
    <row r="1636" ht="15.75" customHeight="1">
      <c r="A1636" s="9">
        <v>2302290.0</v>
      </c>
      <c r="B1636" s="9">
        <v>2657597.0</v>
      </c>
      <c r="C1636" s="9">
        <v>37804.0</v>
      </c>
      <c r="D1636" s="9" t="s">
        <v>52</v>
      </c>
      <c r="E1636" s="9" t="s">
        <v>53</v>
      </c>
      <c r="F1636" s="9">
        <v>338771.0</v>
      </c>
      <c r="G1636" s="9">
        <v>3152696.66</v>
      </c>
      <c r="H1636" s="9">
        <v>3152696.66</v>
      </c>
      <c r="I1636" s="9">
        <v>2568847.0</v>
      </c>
      <c r="J1636" s="9">
        <v>0.0</v>
      </c>
      <c r="K1636" s="9">
        <v>0.0</v>
      </c>
      <c r="L1636" s="9" t="s">
        <v>69</v>
      </c>
      <c r="M1636" s="9" t="s">
        <v>55</v>
      </c>
      <c r="N1636" s="9">
        <v>2829096.73</v>
      </c>
      <c r="O1636" s="9">
        <v>2687641.89</v>
      </c>
      <c r="P1636" s="9">
        <v>247464.68</v>
      </c>
      <c r="Q1636" s="9">
        <v>0.0</v>
      </c>
      <c r="R1636" s="9" t="s">
        <v>60</v>
      </c>
      <c r="S1636" s="9" t="s">
        <v>57</v>
      </c>
      <c r="T1636" s="9" t="s">
        <v>61</v>
      </c>
      <c r="V1636" s="9">
        <v>2754810.88</v>
      </c>
      <c r="W1636" s="9">
        <v>0.0</v>
      </c>
      <c r="X1636" s="9">
        <v>0.0</v>
      </c>
    </row>
    <row r="1637" ht="15.75" customHeight="1">
      <c r="A1637" s="9">
        <v>2302373.0</v>
      </c>
      <c r="B1637" s="9">
        <v>3.56734774E8</v>
      </c>
      <c r="C1637" s="9">
        <v>46810.0</v>
      </c>
      <c r="D1637" s="9" t="s">
        <v>52</v>
      </c>
      <c r="E1637" s="9" t="s">
        <v>88</v>
      </c>
      <c r="F1637" s="9">
        <v>319830.0</v>
      </c>
      <c r="H1637" s="9">
        <v>6.3682998327E8</v>
      </c>
      <c r="I1637" s="9">
        <v>1.528715946E7</v>
      </c>
      <c r="J1637" s="9">
        <v>1551101.68</v>
      </c>
      <c r="K1637" s="9">
        <v>1595294.0</v>
      </c>
      <c r="L1637" s="9" t="s">
        <v>59</v>
      </c>
      <c r="M1637" s="9" t="s">
        <v>55</v>
      </c>
      <c r="N1637" s="9">
        <v>6.8098022116E8</v>
      </c>
      <c r="O1637" s="9">
        <v>6.5823490215E8</v>
      </c>
      <c r="P1637" s="9">
        <v>3.620190864E7</v>
      </c>
      <c r="Q1637" s="9">
        <v>3.258171778E7</v>
      </c>
      <c r="R1637" s="9" t="s">
        <v>122</v>
      </c>
      <c r="S1637" s="9" t="s">
        <v>101</v>
      </c>
      <c r="T1637" s="9" t="s">
        <v>123</v>
      </c>
    </row>
    <row r="1638" ht="15.75" customHeight="1">
      <c r="A1638" s="9">
        <v>2302709.0</v>
      </c>
      <c r="B1638" s="9">
        <v>5577815.0</v>
      </c>
      <c r="C1638" s="9">
        <v>37800.0</v>
      </c>
      <c r="D1638" s="9" t="s">
        <v>52</v>
      </c>
      <c r="E1638" s="9" t="s">
        <v>53</v>
      </c>
      <c r="F1638" s="9">
        <v>337580.0</v>
      </c>
      <c r="G1638" s="9">
        <v>5686796.42</v>
      </c>
      <c r="H1638" s="9">
        <v>5686796.42</v>
      </c>
      <c r="I1638" s="9">
        <v>5602391.97</v>
      </c>
      <c r="J1638" s="9">
        <v>0.0</v>
      </c>
      <c r="K1638" s="9">
        <v>0.0</v>
      </c>
      <c r="L1638" s="9" t="s">
        <v>59</v>
      </c>
      <c r="M1638" s="9" t="s">
        <v>55</v>
      </c>
      <c r="N1638" s="9">
        <v>5386913.0</v>
      </c>
      <c r="O1638" s="9">
        <v>5386912.98</v>
      </c>
      <c r="P1638" s="9">
        <v>215476.52</v>
      </c>
      <c r="Q1638" s="9">
        <v>215476.52</v>
      </c>
      <c r="R1638" s="9" t="s">
        <v>60</v>
      </c>
      <c r="S1638" s="9" t="s">
        <v>57</v>
      </c>
      <c r="T1638" s="9" t="s">
        <v>61</v>
      </c>
      <c r="V1638" s="9">
        <v>5524207.69</v>
      </c>
      <c r="W1638" s="9">
        <v>215476.52</v>
      </c>
      <c r="X1638" s="9">
        <v>0.0</v>
      </c>
    </row>
    <row r="1639" ht="15.75" customHeight="1">
      <c r="A1639" s="9">
        <v>2436223.0</v>
      </c>
      <c r="B1639" s="9">
        <v>69978.99</v>
      </c>
      <c r="C1639" s="9">
        <v>43176.0</v>
      </c>
      <c r="D1639" s="9" t="s">
        <v>52</v>
      </c>
      <c r="E1639" s="9" t="s">
        <v>111</v>
      </c>
      <c r="F1639" s="9">
        <v>2436223.0</v>
      </c>
      <c r="G1639" s="9">
        <v>69978.99</v>
      </c>
      <c r="H1639" s="9">
        <v>72335.26</v>
      </c>
      <c r="I1639" s="9">
        <v>3302.63</v>
      </c>
      <c r="J1639" s="9">
        <v>0.0</v>
      </c>
      <c r="K1639" s="9">
        <v>0.0</v>
      </c>
      <c r="L1639" s="9" t="s">
        <v>59</v>
      </c>
      <c r="M1639" s="9" t="s">
        <v>55</v>
      </c>
      <c r="R1639" s="9" t="s">
        <v>75</v>
      </c>
      <c r="S1639" s="9" t="s">
        <v>57</v>
      </c>
      <c r="T1639" s="9" t="s">
        <v>76</v>
      </c>
    </row>
    <row r="1640" ht="15.75" customHeight="1">
      <c r="A1640" s="9">
        <v>2436225.0</v>
      </c>
      <c r="B1640" s="9">
        <v>54459.7</v>
      </c>
      <c r="C1640" s="9">
        <v>43177.0</v>
      </c>
      <c r="D1640" s="9" t="s">
        <v>52</v>
      </c>
      <c r="E1640" s="9" t="s">
        <v>111</v>
      </c>
      <c r="F1640" s="9">
        <v>2436225.0</v>
      </c>
      <c r="G1640" s="9">
        <v>54459.7</v>
      </c>
      <c r="H1640" s="9">
        <v>57020.47</v>
      </c>
      <c r="I1640" s="9">
        <v>0.0</v>
      </c>
      <c r="J1640" s="9">
        <v>0.0</v>
      </c>
      <c r="K1640" s="9">
        <v>0.0</v>
      </c>
      <c r="L1640" s="9" t="s">
        <v>59</v>
      </c>
      <c r="M1640" s="9" t="s">
        <v>55</v>
      </c>
      <c r="R1640" s="9" t="s">
        <v>94</v>
      </c>
      <c r="S1640" s="9" t="s">
        <v>57</v>
      </c>
      <c r="T1640" s="9" t="s">
        <v>95</v>
      </c>
    </row>
    <row r="1641" ht="15.75" customHeight="1">
      <c r="A1641" s="9">
        <v>2436242.0</v>
      </c>
      <c r="B1641" s="9">
        <v>307947.79</v>
      </c>
      <c r="C1641" s="9">
        <v>43362.0</v>
      </c>
      <c r="D1641" s="9" t="s">
        <v>52</v>
      </c>
      <c r="E1641" s="9" t="s">
        <v>111</v>
      </c>
      <c r="F1641" s="9">
        <v>2436242.0</v>
      </c>
      <c r="G1641" s="9">
        <v>307947.79</v>
      </c>
      <c r="H1641" s="9">
        <v>313367.89</v>
      </c>
      <c r="I1641" s="9">
        <v>18747.0</v>
      </c>
      <c r="J1641" s="9">
        <v>0.0</v>
      </c>
      <c r="K1641" s="9">
        <v>0.0</v>
      </c>
      <c r="L1641" s="9" t="s">
        <v>59</v>
      </c>
      <c r="M1641" s="9" t="s">
        <v>55</v>
      </c>
      <c r="R1641" s="9" t="s">
        <v>56</v>
      </c>
      <c r="S1641" s="9" t="s">
        <v>57</v>
      </c>
      <c r="T1641" s="9" t="s">
        <v>58</v>
      </c>
    </row>
    <row r="1642" ht="15.75" customHeight="1">
      <c r="A1642" s="9">
        <v>2436259.0</v>
      </c>
      <c r="B1642" s="9">
        <v>130105.57</v>
      </c>
      <c r="C1642" s="9">
        <v>43395.0</v>
      </c>
      <c r="D1642" s="9" t="s">
        <v>52</v>
      </c>
      <c r="E1642" s="9" t="s">
        <v>111</v>
      </c>
      <c r="F1642" s="9">
        <v>2436259.0</v>
      </c>
      <c r="G1642" s="9">
        <v>130105.57</v>
      </c>
      <c r="H1642" s="9">
        <v>131802.37</v>
      </c>
      <c r="I1642" s="9">
        <v>4678.24</v>
      </c>
      <c r="J1642" s="9">
        <v>0.0</v>
      </c>
      <c r="K1642" s="9">
        <v>0.0</v>
      </c>
      <c r="L1642" s="9" t="s">
        <v>59</v>
      </c>
      <c r="M1642" s="9" t="s">
        <v>55</v>
      </c>
      <c r="R1642" s="9" t="s">
        <v>94</v>
      </c>
      <c r="S1642" s="9" t="s">
        <v>57</v>
      </c>
      <c r="T1642" s="9" t="s">
        <v>95</v>
      </c>
    </row>
    <row r="1643" ht="15.75" customHeight="1">
      <c r="A1643" s="9">
        <v>2436391.0</v>
      </c>
      <c r="B1643" s="9">
        <v>287221.13</v>
      </c>
      <c r="C1643" s="9">
        <v>43429.0</v>
      </c>
      <c r="D1643" s="9" t="s">
        <v>52</v>
      </c>
      <c r="E1643" s="9" t="s">
        <v>111</v>
      </c>
      <c r="F1643" s="9">
        <v>2436391.0</v>
      </c>
      <c r="G1643" s="9">
        <v>287221.13</v>
      </c>
      <c r="H1643" s="9">
        <v>288854.03</v>
      </c>
      <c r="I1643" s="9">
        <v>6839.5</v>
      </c>
      <c r="J1643" s="9">
        <v>0.0</v>
      </c>
      <c r="K1643" s="9">
        <v>0.0</v>
      </c>
      <c r="L1643" s="9" t="s">
        <v>59</v>
      </c>
      <c r="M1643" s="9" t="s">
        <v>55</v>
      </c>
      <c r="R1643" s="9" t="s">
        <v>56</v>
      </c>
      <c r="S1643" s="9" t="s">
        <v>57</v>
      </c>
      <c r="T1643" s="9" t="s">
        <v>58</v>
      </c>
    </row>
    <row r="1644" ht="15.75" customHeight="1">
      <c r="A1644" s="9">
        <v>2436393.0</v>
      </c>
      <c r="B1644" s="9">
        <v>268866.44</v>
      </c>
      <c r="C1644" s="9">
        <v>43345.0</v>
      </c>
      <c r="D1644" s="9" t="s">
        <v>52</v>
      </c>
      <c r="E1644" s="9" t="s">
        <v>111</v>
      </c>
      <c r="F1644" s="9">
        <v>2436393.0</v>
      </c>
      <c r="G1644" s="9">
        <v>268866.44</v>
      </c>
      <c r="H1644" s="9">
        <v>272511.84</v>
      </c>
      <c r="I1644" s="9">
        <v>0.0</v>
      </c>
      <c r="J1644" s="9">
        <v>0.0</v>
      </c>
      <c r="K1644" s="9">
        <v>0.0</v>
      </c>
      <c r="L1644" s="9" t="s">
        <v>59</v>
      </c>
      <c r="M1644" s="9" t="s">
        <v>55</v>
      </c>
      <c r="R1644" s="9" t="s">
        <v>94</v>
      </c>
      <c r="S1644" s="9" t="s">
        <v>57</v>
      </c>
      <c r="T1644" s="9" t="s">
        <v>95</v>
      </c>
    </row>
    <row r="1645" ht="15.75" customHeight="1">
      <c r="A1645" s="9">
        <v>2436408.0</v>
      </c>
      <c r="B1645" s="9">
        <v>155179.94</v>
      </c>
      <c r="C1645" s="9">
        <v>43332.0</v>
      </c>
      <c r="D1645" s="9" t="s">
        <v>52</v>
      </c>
      <c r="E1645" s="9" t="s">
        <v>111</v>
      </c>
      <c r="F1645" s="9">
        <v>2436408.0</v>
      </c>
      <c r="G1645" s="9">
        <v>155179.94</v>
      </c>
      <c r="H1645" s="9">
        <v>158599.54</v>
      </c>
      <c r="I1645" s="9">
        <v>6024.26</v>
      </c>
      <c r="J1645" s="9">
        <v>0.0</v>
      </c>
      <c r="K1645" s="9">
        <v>0.0</v>
      </c>
      <c r="L1645" s="9" t="s">
        <v>59</v>
      </c>
      <c r="M1645" s="9" t="s">
        <v>55</v>
      </c>
      <c r="R1645" s="9" t="s">
        <v>70</v>
      </c>
      <c r="S1645" s="9" t="s">
        <v>57</v>
      </c>
      <c r="T1645" s="9" t="s">
        <v>71</v>
      </c>
    </row>
    <row r="1646" ht="15.75" customHeight="1">
      <c r="A1646" s="9">
        <v>2436410.0</v>
      </c>
      <c r="B1646" s="9">
        <v>150334.61</v>
      </c>
      <c r="C1646" s="9">
        <v>43373.0</v>
      </c>
      <c r="D1646" s="9" t="s">
        <v>52</v>
      </c>
      <c r="E1646" s="9" t="s">
        <v>111</v>
      </c>
      <c r="F1646" s="9">
        <v>2436410.0</v>
      </c>
      <c r="G1646" s="9">
        <v>150334.61</v>
      </c>
      <c r="H1646" s="9">
        <v>152643.41</v>
      </c>
      <c r="I1646" s="9">
        <v>9589.25</v>
      </c>
      <c r="J1646" s="9">
        <v>0.0</v>
      </c>
      <c r="K1646" s="9">
        <v>0.0</v>
      </c>
      <c r="L1646" s="9" t="s">
        <v>59</v>
      </c>
      <c r="M1646" s="9" t="s">
        <v>55</v>
      </c>
      <c r="R1646" s="9" t="s">
        <v>72</v>
      </c>
      <c r="S1646" s="9" t="s">
        <v>57</v>
      </c>
      <c r="T1646" s="9" t="s">
        <v>73</v>
      </c>
      <c r="V1646" s="9">
        <v>137454.35</v>
      </c>
    </row>
    <row r="1647" ht="15.75" customHeight="1">
      <c r="A1647" s="9">
        <v>2436423.0</v>
      </c>
      <c r="B1647" s="9">
        <v>70944.32</v>
      </c>
      <c r="C1647" s="9">
        <v>43313.0</v>
      </c>
      <c r="D1647" s="9" t="s">
        <v>52</v>
      </c>
      <c r="E1647" s="9" t="s">
        <v>111</v>
      </c>
      <c r="F1647" s="9">
        <v>2436423.0</v>
      </c>
      <c r="G1647" s="9">
        <v>70944.32</v>
      </c>
      <c r="H1647" s="9">
        <v>72641.12</v>
      </c>
      <c r="I1647" s="9">
        <v>3733.0</v>
      </c>
      <c r="J1647" s="9">
        <v>0.0</v>
      </c>
      <c r="K1647" s="9">
        <v>0.0</v>
      </c>
      <c r="L1647" s="9" t="s">
        <v>59</v>
      </c>
      <c r="M1647" s="9" t="s">
        <v>55</v>
      </c>
      <c r="R1647" s="9" t="s">
        <v>56</v>
      </c>
      <c r="S1647" s="9" t="s">
        <v>57</v>
      </c>
      <c r="T1647" s="9" t="s">
        <v>58</v>
      </c>
    </row>
    <row r="1648" ht="15.75" customHeight="1">
      <c r="A1648" s="9">
        <v>2436425.0</v>
      </c>
      <c r="B1648" s="9">
        <v>70443.29</v>
      </c>
      <c r="C1648" s="9">
        <v>43367.0</v>
      </c>
      <c r="D1648" s="9" t="s">
        <v>52</v>
      </c>
      <c r="E1648" s="9" t="s">
        <v>111</v>
      </c>
      <c r="F1648" s="9">
        <v>2436425.0</v>
      </c>
      <c r="G1648" s="9">
        <v>70443.29</v>
      </c>
      <c r="H1648" s="9">
        <v>72949.09</v>
      </c>
      <c r="I1648" s="9">
        <v>0.0</v>
      </c>
      <c r="J1648" s="9">
        <v>0.0</v>
      </c>
      <c r="K1648" s="9">
        <v>0.0</v>
      </c>
      <c r="L1648" s="9" t="s">
        <v>59</v>
      </c>
      <c r="M1648" s="9" t="s">
        <v>55</v>
      </c>
      <c r="R1648" s="9" t="s">
        <v>56</v>
      </c>
      <c r="S1648" s="9" t="s">
        <v>57</v>
      </c>
      <c r="T1648" s="9" t="s">
        <v>58</v>
      </c>
    </row>
    <row r="1649" ht="15.75" customHeight="1">
      <c r="A1649" s="9">
        <v>2436459.0</v>
      </c>
      <c r="B1649" s="9">
        <v>185168.0</v>
      </c>
      <c r="C1649" s="9">
        <v>43351.0</v>
      </c>
      <c r="D1649" s="9" t="s">
        <v>52</v>
      </c>
      <c r="E1649" s="9" t="s">
        <v>111</v>
      </c>
      <c r="F1649" s="9">
        <v>2436459.0</v>
      </c>
      <c r="G1649" s="9">
        <v>185168.0</v>
      </c>
      <c r="H1649" s="9">
        <v>189059.4</v>
      </c>
      <c r="I1649" s="9">
        <v>0.0</v>
      </c>
      <c r="J1649" s="9">
        <v>0.0</v>
      </c>
      <c r="K1649" s="9">
        <v>0.0</v>
      </c>
      <c r="L1649" s="9" t="s">
        <v>59</v>
      </c>
      <c r="M1649" s="9" t="s">
        <v>55</v>
      </c>
      <c r="R1649" s="9" t="s">
        <v>94</v>
      </c>
      <c r="S1649" s="9" t="s">
        <v>57</v>
      </c>
      <c r="T1649" s="9" t="s">
        <v>95</v>
      </c>
    </row>
    <row r="1650" ht="15.75" customHeight="1">
      <c r="A1650" s="9">
        <v>2436474.0</v>
      </c>
      <c r="B1650" s="9">
        <v>185159.23</v>
      </c>
      <c r="C1650" s="9">
        <v>43317.0</v>
      </c>
      <c r="D1650" s="9" t="s">
        <v>52</v>
      </c>
      <c r="E1650" s="9" t="s">
        <v>111</v>
      </c>
      <c r="F1650" s="9">
        <v>2436474.0</v>
      </c>
      <c r="G1650" s="9">
        <v>185159.23</v>
      </c>
      <c r="H1650" s="9">
        <v>189045.95</v>
      </c>
      <c r="I1650" s="9">
        <v>6419.0</v>
      </c>
      <c r="J1650" s="9">
        <v>0.0</v>
      </c>
      <c r="K1650" s="9">
        <v>0.0</v>
      </c>
      <c r="L1650" s="9" t="s">
        <v>59</v>
      </c>
      <c r="M1650" s="9" t="s">
        <v>55</v>
      </c>
      <c r="R1650" s="9" t="s">
        <v>70</v>
      </c>
      <c r="S1650" s="9" t="s">
        <v>57</v>
      </c>
      <c r="T1650" s="9" t="s">
        <v>71</v>
      </c>
    </row>
    <row r="1651" ht="15.75" customHeight="1">
      <c r="A1651" s="9">
        <v>2436476.0</v>
      </c>
      <c r="B1651" s="9">
        <v>145408.58</v>
      </c>
      <c r="C1651" s="9">
        <v>43397.0</v>
      </c>
      <c r="D1651" s="9" t="s">
        <v>52</v>
      </c>
      <c r="E1651" s="9" t="s">
        <v>111</v>
      </c>
      <c r="F1651" s="9">
        <v>2436476.0</v>
      </c>
      <c r="G1651" s="9">
        <v>145408.58</v>
      </c>
      <c r="H1651" s="9">
        <v>147105.38</v>
      </c>
      <c r="I1651" s="9">
        <v>5972.0</v>
      </c>
      <c r="J1651" s="9">
        <v>0.0</v>
      </c>
      <c r="K1651" s="9">
        <v>0.0</v>
      </c>
      <c r="L1651" s="9" t="s">
        <v>59</v>
      </c>
      <c r="M1651" s="9" t="s">
        <v>55</v>
      </c>
      <c r="R1651" s="9" t="s">
        <v>94</v>
      </c>
      <c r="S1651" s="9" t="s">
        <v>57</v>
      </c>
      <c r="T1651" s="9" t="s">
        <v>95</v>
      </c>
    </row>
    <row r="1652" ht="15.75" customHeight="1">
      <c r="A1652" s="9">
        <v>2436842.0</v>
      </c>
      <c r="B1652" s="9">
        <v>44633.69</v>
      </c>
      <c r="C1652" s="9">
        <v>43342.0</v>
      </c>
      <c r="D1652" s="9" t="s">
        <v>52</v>
      </c>
      <c r="E1652" s="9" t="s">
        <v>111</v>
      </c>
      <c r="F1652" s="9">
        <v>2436842.0</v>
      </c>
      <c r="G1652" s="9">
        <v>44633.69</v>
      </c>
      <c r="H1652" s="9">
        <v>46497.39</v>
      </c>
      <c r="I1652" s="9">
        <v>2625.0</v>
      </c>
      <c r="J1652" s="9">
        <v>0.0</v>
      </c>
      <c r="K1652" s="9">
        <v>0.0</v>
      </c>
      <c r="L1652" s="9" t="s">
        <v>59</v>
      </c>
      <c r="M1652" s="9" t="s">
        <v>55</v>
      </c>
      <c r="R1652" s="9" t="s">
        <v>56</v>
      </c>
      <c r="S1652" s="9" t="s">
        <v>57</v>
      </c>
      <c r="T1652" s="9" t="s">
        <v>58</v>
      </c>
    </row>
    <row r="1653" ht="15.75" customHeight="1">
      <c r="A1653" s="9">
        <v>2436844.0</v>
      </c>
      <c r="B1653" s="9">
        <v>177581.66</v>
      </c>
      <c r="C1653" s="9">
        <v>43315.0</v>
      </c>
      <c r="D1653" s="9" t="s">
        <v>52</v>
      </c>
      <c r="E1653" s="9" t="s">
        <v>111</v>
      </c>
      <c r="F1653" s="9">
        <v>2436844.0</v>
      </c>
      <c r="G1653" s="9">
        <v>177581.66</v>
      </c>
      <c r="H1653" s="9">
        <v>183367.66</v>
      </c>
      <c r="I1653" s="9">
        <v>0.0</v>
      </c>
      <c r="J1653" s="9">
        <v>0.0</v>
      </c>
      <c r="K1653" s="9">
        <v>0.0</v>
      </c>
      <c r="L1653" s="9" t="s">
        <v>59</v>
      </c>
      <c r="M1653" s="9" t="s">
        <v>55</v>
      </c>
      <c r="R1653" s="9" t="s">
        <v>75</v>
      </c>
      <c r="S1653" s="9" t="s">
        <v>57</v>
      </c>
      <c r="T1653" s="9" t="s">
        <v>76</v>
      </c>
    </row>
    <row r="1654" ht="15.75" customHeight="1">
      <c r="A1654" s="9">
        <v>2436859.0</v>
      </c>
      <c r="B1654" s="9">
        <v>121295.04</v>
      </c>
      <c r="C1654" s="9">
        <v>43116.0</v>
      </c>
      <c r="D1654" s="9" t="s">
        <v>52</v>
      </c>
      <c r="E1654" s="9" t="s">
        <v>111</v>
      </c>
      <c r="F1654" s="9">
        <v>2436859.0</v>
      </c>
      <c r="G1654" s="9">
        <v>121295.04</v>
      </c>
      <c r="H1654" s="9">
        <v>123098.54</v>
      </c>
      <c r="I1654" s="9">
        <v>4950.0</v>
      </c>
      <c r="J1654" s="9">
        <v>0.0</v>
      </c>
      <c r="K1654" s="9">
        <v>0.0</v>
      </c>
      <c r="L1654" s="9" t="s">
        <v>59</v>
      </c>
      <c r="M1654" s="9" t="s">
        <v>55</v>
      </c>
      <c r="R1654" s="9" t="s">
        <v>56</v>
      </c>
      <c r="S1654" s="9" t="s">
        <v>57</v>
      </c>
      <c r="T1654" s="9" t="s">
        <v>58</v>
      </c>
    </row>
    <row r="1655" ht="15.75" customHeight="1">
      <c r="A1655" s="9">
        <v>2436876.0</v>
      </c>
      <c r="B1655" s="9">
        <v>353352.52</v>
      </c>
      <c r="C1655" s="9">
        <v>43202.0</v>
      </c>
      <c r="D1655" s="9" t="s">
        <v>52</v>
      </c>
      <c r="E1655" s="9" t="s">
        <v>111</v>
      </c>
      <c r="F1655" s="9">
        <v>2436876.0</v>
      </c>
      <c r="G1655" s="9">
        <v>353352.52</v>
      </c>
      <c r="H1655" s="9">
        <v>365679.13</v>
      </c>
      <c r="I1655" s="9">
        <v>12903.0</v>
      </c>
      <c r="J1655" s="9">
        <v>0.0</v>
      </c>
      <c r="K1655" s="9">
        <v>0.0</v>
      </c>
      <c r="L1655" s="9" t="s">
        <v>59</v>
      </c>
      <c r="M1655" s="9" t="s">
        <v>55</v>
      </c>
      <c r="R1655" s="9" t="s">
        <v>56</v>
      </c>
      <c r="S1655" s="9" t="s">
        <v>57</v>
      </c>
      <c r="T1655" s="9" t="s">
        <v>58</v>
      </c>
    </row>
    <row r="1656" ht="15.75" customHeight="1">
      <c r="A1656" s="9">
        <v>2436878.0</v>
      </c>
      <c r="B1656" s="9">
        <v>32598.51</v>
      </c>
      <c r="C1656" s="9">
        <v>43333.0</v>
      </c>
      <c r="D1656" s="9" t="s">
        <v>52</v>
      </c>
      <c r="E1656" s="9" t="s">
        <v>111</v>
      </c>
      <c r="F1656" s="9">
        <v>2436878.0</v>
      </c>
      <c r="G1656" s="9">
        <v>32598.51</v>
      </c>
      <c r="H1656" s="9">
        <v>34382.21</v>
      </c>
      <c r="I1656" s="9">
        <v>1604.0</v>
      </c>
      <c r="J1656" s="9">
        <v>0.0</v>
      </c>
      <c r="K1656" s="9">
        <v>0.0</v>
      </c>
      <c r="L1656" s="9" t="s">
        <v>59</v>
      </c>
      <c r="M1656" s="9" t="s">
        <v>55</v>
      </c>
      <c r="R1656" s="9" t="s">
        <v>56</v>
      </c>
      <c r="S1656" s="9" t="s">
        <v>57</v>
      </c>
      <c r="T1656" s="9" t="s">
        <v>58</v>
      </c>
    </row>
    <row r="1657" ht="15.75" customHeight="1">
      <c r="A1657" s="9">
        <v>2437412.0</v>
      </c>
      <c r="B1657" s="9">
        <v>260702.61</v>
      </c>
      <c r="C1657" s="9">
        <v>43067.0</v>
      </c>
      <c r="D1657" s="9" t="s">
        <v>52</v>
      </c>
      <c r="E1657" s="9" t="s">
        <v>111</v>
      </c>
      <c r="F1657" s="9">
        <v>2437412.0</v>
      </c>
      <c r="G1657" s="9">
        <v>260702.61</v>
      </c>
      <c r="H1657" s="9">
        <v>266441.01</v>
      </c>
      <c r="I1657" s="9">
        <v>10327.2</v>
      </c>
      <c r="J1657" s="9">
        <v>0.0</v>
      </c>
      <c r="K1657" s="9">
        <v>0.0</v>
      </c>
      <c r="L1657" s="9" t="s">
        <v>59</v>
      </c>
      <c r="M1657" s="9" t="s">
        <v>55</v>
      </c>
      <c r="R1657" s="9" t="s">
        <v>56</v>
      </c>
      <c r="S1657" s="9" t="s">
        <v>57</v>
      </c>
      <c r="T1657" s="9" t="s">
        <v>58</v>
      </c>
    </row>
    <row r="1658" ht="15.75" customHeight="1">
      <c r="A1658" s="9">
        <v>2437610.0</v>
      </c>
      <c r="B1658" s="9">
        <v>25065.34</v>
      </c>
      <c r="C1658" s="9">
        <v>43339.0</v>
      </c>
      <c r="D1658" s="9" t="s">
        <v>52</v>
      </c>
      <c r="E1658" s="9" t="s">
        <v>111</v>
      </c>
      <c r="F1658" s="9">
        <v>2437610.0</v>
      </c>
      <c r="G1658" s="9">
        <v>25065.34</v>
      </c>
      <c r="H1658" s="9">
        <v>26386.14</v>
      </c>
      <c r="I1658" s="9">
        <v>1264.33</v>
      </c>
      <c r="J1658" s="9">
        <v>0.0</v>
      </c>
      <c r="K1658" s="9">
        <v>0.0</v>
      </c>
      <c r="L1658" s="9" t="s">
        <v>59</v>
      </c>
      <c r="M1658" s="9" t="s">
        <v>55</v>
      </c>
      <c r="R1658" s="9" t="s">
        <v>56</v>
      </c>
      <c r="S1658" s="9" t="s">
        <v>57</v>
      </c>
      <c r="T1658" s="9" t="s">
        <v>58</v>
      </c>
    </row>
    <row r="1659" ht="15.75" customHeight="1">
      <c r="A1659" s="9">
        <v>2437612.0</v>
      </c>
      <c r="B1659" s="9">
        <v>108908.64</v>
      </c>
      <c r="C1659" s="9">
        <v>43147.0</v>
      </c>
      <c r="D1659" s="9" t="s">
        <v>52</v>
      </c>
      <c r="E1659" s="9" t="s">
        <v>111</v>
      </c>
      <c r="F1659" s="9">
        <v>2437612.0</v>
      </c>
      <c r="G1659" s="9">
        <v>108908.64</v>
      </c>
      <c r="H1659" s="9">
        <v>112855.64</v>
      </c>
      <c r="I1659" s="9">
        <v>0.0</v>
      </c>
      <c r="J1659" s="9">
        <v>0.0</v>
      </c>
      <c r="K1659" s="9">
        <v>0.0</v>
      </c>
      <c r="L1659" s="9" t="s">
        <v>59</v>
      </c>
      <c r="M1659" s="9" t="s">
        <v>55</v>
      </c>
      <c r="R1659" s="9" t="s">
        <v>94</v>
      </c>
      <c r="S1659" s="9" t="s">
        <v>57</v>
      </c>
      <c r="T1659" s="9" t="s">
        <v>95</v>
      </c>
    </row>
    <row r="1660" ht="15.75" customHeight="1">
      <c r="A1660" s="9">
        <v>2437693.0</v>
      </c>
      <c r="B1660" s="9">
        <v>95148.62</v>
      </c>
      <c r="C1660" s="9">
        <v>43364.0</v>
      </c>
      <c r="D1660" s="9" t="s">
        <v>52</v>
      </c>
      <c r="E1660" s="9" t="s">
        <v>111</v>
      </c>
      <c r="F1660" s="9">
        <v>2437693.0</v>
      </c>
      <c r="G1660" s="9">
        <v>95148.62</v>
      </c>
      <c r="H1660" s="9">
        <v>96611.42</v>
      </c>
      <c r="I1660" s="9">
        <v>0.0</v>
      </c>
      <c r="J1660" s="9">
        <v>0.0</v>
      </c>
      <c r="K1660" s="9">
        <v>0.0</v>
      </c>
      <c r="L1660" s="9" t="s">
        <v>59</v>
      </c>
      <c r="M1660" s="9" t="s">
        <v>55</v>
      </c>
      <c r="R1660" s="9" t="s">
        <v>70</v>
      </c>
      <c r="S1660" s="9" t="s">
        <v>57</v>
      </c>
      <c r="T1660" s="9" t="s">
        <v>71</v>
      </c>
    </row>
    <row r="1661" ht="15.75" customHeight="1">
      <c r="A1661" s="9">
        <v>2193247.0</v>
      </c>
      <c r="B1661" s="9">
        <v>1.09756009E8</v>
      </c>
      <c r="C1661" s="9">
        <v>45066.0</v>
      </c>
      <c r="D1661" s="9" t="s">
        <v>52</v>
      </c>
      <c r="E1661" s="9" t="s">
        <v>87</v>
      </c>
      <c r="F1661" s="9">
        <v>280513.0</v>
      </c>
      <c r="H1661" s="9">
        <v>2.2384193667E8</v>
      </c>
      <c r="I1661" s="9">
        <v>5.072269839E7</v>
      </c>
      <c r="J1661" s="9">
        <v>5557867.98</v>
      </c>
      <c r="K1661" s="9">
        <v>7531190.0</v>
      </c>
      <c r="L1661" s="9" t="s">
        <v>59</v>
      </c>
      <c r="M1661" s="9" t="s">
        <v>55</v>
      </c>
      <c r="R1661" s="9" t="s">
        <v>115</v>
      </c>
      <c r="S1661" s="9" t="s">
        <v>115</v>
      </c>
    </row>
    <row r="1662" ht="15.75" customHeight="1">
      <c r="A1662" s="9">
        <v>2193247.0</v>
      </c>
      <c r="B1662" s="9">
        <v>1.09756009E8</v>
      </c>
      <c r="C1662" s="9">
        <v>42392.0</v>
      </c>
      <c r="D1662" s="9" t="s">
        <v>52</v>
      </c>
      <c r="E1662" s="9" t="s">
        <v>87</v>
      </c>
      <c r="F1662" s="9">
        <v>280513.0</v>
      </c>
      <c r="H1662" s="9">
        <v>2.2384193667E8</v>
      </c>
      <c r="I1662" s="9">
        <v>5.072269839E7</v>
      </c>
      <c r="J1662" s="9">
        <v>5557867.98</v>
      </c>
      <c r="K1662" s="9">
        <v>7531190.0</v>
      </c>
      <c r="L1662" s="9" t="s">
        <v>59</v>
      </c>
      <c r="M1662" s="9" t="s">
        <v>55</v>
      </c>
      <c r="R1662" s="9" t="s">
        <v>115</v>
      </c>
      <c r="S1662" s="9" t="s">
        <v>115</v>
      </c>
      <c r="V1662" s="9">
        <v>1848488.27</v>
      </c>
    </row>
    <row r="1663" ht="15.75" customHeight="1">
      <c r="A1663" s="9">
        <v>2193247.0</v>
      </c>
      <c r="B1663" s="9">
        <v>1.09756009E8</v>
      </c>
      <c r="C1663" s="9">
        <v>45064.0</v>
      </c>
      <c r="D1663" s="9" t="s">
        <v>52</v>
      </c>
      <c r="E1663" s="9" t="s">
        <v>87</v>
      </c>
      <c r="F1663" s="9">
        <v>280513.0</v>
      </c>
      <c r="H1663" s="9">
        <v>2.2384193667E8</v>
      </c>
      <c r="I1663" s="9">
        <v>5.072269839E7</v>
      </c>
      <c r="J1663" s="9">
        <v>5557867.98</v>
      </c>
      <c r="K1663" s="9">
        <v>7531190.0</v>
      </c>
      <c r="L1663" s="9" t="s">
        <v>59</v>
      </c>
      <c r="M1663" s="9" t="s">
        <v>55</v>
      </c>
      <c r="R1663" s="9" t="s">
        <v>115</v>
      </c>
      <c r="S1663" s="9" t="s">
        <v>115</v>
      </c>
    </row>
    <row r="1664" ht="15.75" customHeight="1">
      <c r="A1664" s="9">
        <v>2193247.0</v>
      </c>
      <c r="B1664" s="9">
        <v>1.09756009E8</v>
      </c>
      <c r="C1664" s="9">
        <v>36675.0</v>
      </c>
      <c r="D1664" s="9" t="s">
        <v>52</v>
      </c>
      <c r="E1664" s="9" t="s">
        <v>87</v>
      </c>
      <c r="F1664" s="9">
        <v>280513.0</v>
      </c>
      <c r="G1664" s="9">
        <v>1.6674994825E8</v>
      </c>
      <c r="H1664" s="9">
        <v>2.2384193667E8</v>
      </c>
      <c r="I1664" s="9">
        <v>5.072269839E7</v>
      </c>
      <c r="J1664" s="9">
        <v>5557867.98</v>
      </c>
      <c r="K1664" s="9">
        <v>7531190.0</v>
      </c>
      <c r="L1664" s="9" t="s">
        <v>59</v>
      </c>
      <c r="M1664" s="9" t="s">
        <v>55</v>
      </c>
      <c r="R1664" s="9" t="s">
        <v>115</v>
      </c>
      <c r="S1664" s="9" t="s">
        <v>115</v>
      </c>
      <c r="V1664" s="9">
        <v>562005.08</v>
      </c>
    </row>
    <row r="1665" ht="15.75" customHeight="1">
      <c r="A1665" s="9">
        <v>2193247.0</v>
      </c>
      <c r="B1665" s="9">
        <v>1.09756009E8</v>
      </c>
      <c r="C1665" s="9">
        <v>36689.0</v>
      </c>
      <c r="D1665" s="9" t="s">
        <v>52</v>
      </c>
      <c r="E1665" s="9" t="s">
        <v>87</v>
      </c>
      <c r="F1665" s="9">
        <v>280513.0</v>
      </c>
      <c r="G1665" s="9">
        <v>1.6674994825E8</v>
      </c>
      <c r="H1665" s="9">
        <v>2.2384193667E8</v>
      </c>
      <c r="I1665" s="9">
        <v>5.072269839E7</v>
      </c>
      <c r="J1665" s="9">
        <v>5557867.98</v>
      </c>
      <c r="K1665" s="9">
        <v>7531190.0</v>
      </c>
      <c r="L1665" s="9" t="s">
        <v>59</v>
      </c>
      <c r="M1665" s="9" t="s">
        <v>55</v>
      </c>
      <c r="R1665" s="9" t="s">
        <v>72</v>
      </c>
      <c r="S1665" s="9" t="s">
        <v>57</v>
      </c>
      <c r="T1665" s="9" t="s">
        <v>73</v>
      </c>
    </row>
    <row r="1666" ht="15.75" customHeight="1">
      <c r="A1666" s="9">
        <v>2193247.0</v>
      </c>
      <c r="B1666" s="9">
        <v>1.09756009E8</v>
      </c>
      <c r="C1666" s="9">
        <v>45063.0</v>
      </c>
      <c r="D1666" s="9" t="s">
        <v>52</v>
      </c>
      <c r="E1666" s="9" t="s">
        <v>87</v>
      </c>
      <c r="F1666" s="9">
        <v>280513.0</v>
      </c>
      <c r="H1666" s="9">
        <v>2.2384193667E8</v>
      </c>
      <c r="I1666" s="9">
        <v>5.072269839E7</v>
      </c>
      <c r="J1666" s="9">
        <v>5557867.98</v>
      </c>
      <c r="K1666" s="9">
        <v>7531190.0</v>
      </c>
      <c r="L1666" s="9" t="s">
        <v>59</v>
      </c>
      <c r="M1666" s="9" t="s">
        <v>55</v>
      </c>
      <c r="R1666" s="9" t="s">
        <v>115</v>
      </c>
      <c r="S1666" s="9" t="s">
        <v>115</v>
      </c>
    </row>
    <row r="1667" ht="15.75" customHeight="1">
      <c r="A1667" s="9">
        <v>2193247.0</v>
      </c>
      <c r="B1667" s="9">
        <v>1.09756009E8</v>
      </c>
      <c r="C1667" s="9">
        <v>43446.0</v>
      </c>
      <c r="D1667" s="9" t="s">
        <v>52</v>
      </c>
      <c r="E1667" s="9" t="s">
        <v>87</v>
      </c>
      <c r="F1667" s="9">
        <v>280513.0</v>
      </c>
      <c r="H1667" s="9">
        <v>2.2384193667E8</v>
      </c>
      <c r="I1667" s="9">
        <v>5.072269839E7</v>
      </c>
      <c r="J1667" s="9">
        <v>5557867.98</v>
      </c>
      <c r="K1667" s="9">
        <v>7531190.0</v>
      </c>
      <c r="L1667" s="9" t="s">
        <v>59</v>
      </c>
      <c r="M1667" s="9" t="s">
        <v>55</v>
      </c>
      <c r="R1667" s="9" t="s">
        <v>115</v>
      </c>
      <c r="S1667" s="9" t="s">
        <v>115</v>
      </c>
    </row>
    <row r="1668" ht="15.75" customHeight="1">
      <c r="A1668" s="9">
        <v>2193247.0</v>
      </c>
      <c r="B1668" s="9">
        <v>2.0970146E8</v>
      </c>
      <c r="C1668" s="9">
        <v>48164.0</v>
      </c>
      <c r="D1668" s="9" t="s">
        <v>52</v>
      </c>
      <c r="E1668" s="9" t="s">
        <v>87</v>
      </c>
      <c r="F1668" s="9">
        <v>280513.0</v>
      </c>
      <c r="H1668" s="9">
        <v>2.2384193667E8</v>
      </c>
      <c r="I1668" s="9">
        <v>5.072269839E7</v>
      </c>
      <c r="J1668" s="9">
        <v>5557867.98</v>
      </c>
      <c r="K1668" s="9">
        <v>7531190.0</v>
      </c>
      <c r="L1668" s="9" t="s">
        <v>59</v>
      </c>
      <c r="M1668" s="9" t="s">
        <v>55</v>
      </c>
      <c r="N1668" s="9">
        <v>1.053516167E7</v>
      </c>
      <c r="O1668" s="9">
        <v>9481654.51</v>
      </c>
      <c r="P1668" s="9">
        <v>654979.22</v>
      </c>
      <c r="Q1668" s="9">
        <v>586781.3</v>
      </c>
      <c r="R1668" s="9" t="s">
        <v>144</v>
      </c>
      <c r="S1668" s="9" t="s">
        <v>82</v>
      </c>
      <c r="T1668" s="9" t="s">
        <v>145</v>
      </c>
    </row>
    <row r="1669" ht="15.75" customHeight="1">
      <c r="A1669" s="9">
        <v>2193247.0</v>
      </c>
      <c r="B1669" s="9">
        <v>1.09756009E8</v>
      </c>
      <c r="C1669" s="9">
        <v>42393.0</v>
      </c>
      <c r="D1669" s="9" t="s">
        <v>52</v>
      </c>
      <c r="E1669" s="9" t="s">
        <v>87</v>
      </c>
      <c r="F1669" s="9">
        <v>280513.0</v>
      </c>
      <c r="H1669" s="9">
        <v>2.2384193667E8</v>
      </c>
      <c r="I1669" s="9">
        <v>5.072269839E7</v>
      </c>
      <c r="J1669" s="9">
        <v>5557867.98</v>
      </c>
      <c r="K1669" s="9">
        <v>7531190.0</v>
      </c>
      <c r="L1669" s="9" t="s">
        <v>59</v>
      </c>
      <c r="M1669" s="9" t="s">
        <v>55</v>
      </c>
      <c r="R1669" s="9" t="s">
        <v>115</v>
      </c>
      <c r="S1669" s="9" t="s">
        <v>115</v>
      </c>
      <c r="V1669" s="9">
        <v>1829454.45</v>
      </c>
    </row>
    <row r="1670" ht="15.75" customHeight="1">
      <c r="A1670" s="9">
        <v>2193247.0</v>
      </c>
      <c r="B1670" s="9">
        <v>1.09756009E8</v>
      </c>
      <c r="C1670" s="9">
        <v>38531.0</v>
      </c>
      <c r="D1670" s="9" t="s">
        <v>52</v>
      </c>
      <c r="E1670" s="9" t="s">
        <v>87</v>
      </c>
      <c r="F1670" s="9">
        <v>280513.0</v>
      </c>
      <c r="G1670" s="9">
        <v>1.6674994825E8</v>
      </c>
      <c r="H1670" s="9">
        <v>2.2384193667E8</v>
      </c>
      <c r="I1670" s="9">
        <v>5.072269839E7</v>
      </c>
      <c r="J1670" s="9">
        <v>5557867.98</v>
      </c>
      <c r="K1670" s="9">
        <v>7531190.0</v>
      </c>
      <c r="L1670" s="9" t="s">
        <v>59</v>
      </c>
      <c r="M1670" s="9" t="s">
        <v>55</v>
      </c>
      <c r="R1670" s="9" t="s">
        <v>115</v>
      </c>
      <c r="S1670" s="9" t="s">
        <v>115</v>
      </c>
    </row>
    <row r="1671" ht="15.75" customHeight="1">
      <c r="A1671" s="9">
        <v>2193247.0</v>
      </c>
      <c r="B1671" s="9">
        <v>1.09756009E8</v>
      </c>
      <c r="C1671" s="9">
        <v>40974.0</v>
      </c>
      <c r="D1671" s="9" t="s">
        <v>52</v>
      </c>
      <c r="E1671" s="9" t="s">
        <v>87</v>
      </c>
      <c r="F1671" s="9">
        <v>280513.0</v>
      </c>
      <c r="G1671" s="9">
        <v>1.6674994825E8</v>
      </c>
      <c r="H1671" s="9">
        <v>2.2384193667E8</v>
      </c>
      <c r="I1671" s="9">
        <v>5.072269839E7</v>
      </c>
      <c r="J1671" s="9">
        <v>5557867.98</v>
      </c>
      <c r="K1671" s="9">
        <v>7531190.0</v>
      </c>
      <c r="L1671" s="9" t="s">
        <v>59</v>
      </c>
      <c r="M1671" s="9" t="s">
        <v>55</v>
      </c>
      <c r="R1671" s="9" t="s">
        <v>115</v>
      </c>
      <c r="S1671" s="9" t="s">
        <v>115</v>
      </c>
      <c r="V1671" s="9">
        <v>1490928.72</v>
      </c>
    </row>
    <row r="1672" ht="15.75" customHeight="1">
      <c r="A1672" s="9">
        <v>2193247.0</v>
      </c>
      <c r="B1672" s="9">
        <v>1.09756009E8</v>
      </c>
      <c r="C1672" s="9">
        <v>42378.0</v>
      </c>
      <c r="D1672" s="9" t="s">
        <v>52</v>
      </c>
      <c r="E1672" s="9" t="s">
        <v>87</v>
      </c>
      <c r="F1672" s="9">
        <v>280513.0</v>
      </c>
      <c r="H1672" s="9">
        <v>2.2384193667E8</v>
      </c>
      <c r="I1672" s="9">
        <v>5.072269839E7</v>
      </c>
      <c r="J1672" s="9">
        <v>5557867.98</v>
      </c>
      <c r="K1672" s="9">
        <v>7531190.0</v>
      </c>
      <c r="L1672" s="9" t="s">
        <v>59</v>
      </c>
      <c r="M1672" s="9" t="s">
        <v>55</v>
      </c>
      <c r="R1672" s="9" t="s">
        <v>115</v>
      </c>
      <c r="S1672" s="9" t="s">
        <v>115</v>
      </c>
      <c r="V1672" s="9">
        <v>1511901.68</v>
      </c>
    </row>
    <row r="1673" ht="15.75" customHeight="1">
      <c r="A1673" s="9">
        <v>2193520.0</v>
      </c>
      <c r="B1673" s="9">
        <v>5858414.0</v>
      </c>
      <c r="C1673" s="9">
        <v>37613.0</v>
      </c>
      <c r="D1673" s="9" t="s">
        <v>52</v>
      </c>
      <c r="E1673" s="9" t="s">
        <v>53</v>
      </c>
      <c r="F1673" s="9">
        <v>279597.0</v>
      </c>
      <c r="G1673" s="9">
        <v>6526514.53</v>
      </c>
      <c r="H1673" s="9">
        <v>6542767.95</v>
      </c>
      <c r="I1673" s="9">
        <v>6542767.95</v>
      </c>
      <c r="J1673" s="9">
        <v>0.0</v>
      </c>
      <c r="K1673" s="9">
        <v>0.0</v>
      </c>
      <c r="L1673" s="9" t="s">
        <v>59</v>
      </c>
      <c r="M1673" s="9" t="s">
        <v>55</v>
      </c>
      <c r="N1673" s="9">
        <v>5768532.46</v>
      </c>
      <c r="O1673" s="9">
        <v>5768532.46</v>
      </c>
      <c r="P1673" s="9">
        <v>253690.38</v>
      </c>
      <c r="Q1673" s="9">
        <v>253690.38</v>
      </c>
      <c r="R1673" s="9" t="s">
        <v>60</v>
      </c>
      <c r="S1673" s="9" t="s">
        <v>57</v>
      </c>
      <c r="T1673" s="9" t="s">
        <v>61</v>
      </c>
      <c r="V1673" s="9">
        <v>5824157.91</v>
      </c>
      <c r="W1673" s="9">
        <v>246916.85</v>
      </c>
      <c r="X1673" s="9">
        <v>0.0</v>
      </c>
    </row>
    <row r="1674" ht="15.75" customHeight="1">
      <c r="A1674" s="9">
        <v>2197198.0</v>
      </c>
      <c r="B1674" s="9">
        <v>4.3549053E7</v>
      </c>
      <c r="C1674" s="9">
        <v>32124.0</v>
      </c>
      <c r="D1674" s="9" t="s">
        <v>52</v>
      </c>
      <c r="E1674" s="9" t="s">
        <v>53</v>
      </c>
      <c r="F1674" s="9">
        <v>207936.0</v>
      </c>
      <c r="G1674" s="9">
        <v>6.271548917E7</v>
      </c>
      <c r="H1674" s="9">
        <v>6.237884366E7</v>
      </c>
      <c r="I1674" s="9">
        <v>1621835.0</v>
      </c>
      <c r="J1674" s="9">
        <v>0.0</v>
      </c>
      <c r="K1674" s="9">
        <v>0.0</v>
      </c>
      <c r="L1674" s="9" t="s">
        <v>59</v>
      </c>
      <c r="M1674" s="9" t="s">
        <v>65</v>
      </c>
      <c r="N1674" s="9">
        <v>1218350.0</v>
      </c>
      <c r="O1674" s="9">
        <v>1218350.0</v>
      </c>
      <c r="P1674" s="9">
        <v>281650.0</v>
      </c>
      <c r="Q1674" s="9">
        <v>281650.0</v>
      </c>
      <c r="R1674" s="9" t="s">
        <v>92</v>
      </c>
      <c r="S1674" s="9" t="s">
        <v>57</v>
      </c>
      <c r="T1674" s="9" t="s">
        <v>93</v>
      </c>
    </row>
    <row r="1675" ht="15.75" customHeight="1">
      <c r="A1675" s="9">
        <v>2197334.0</v>
      </c>
      <c r="B1675" s="9">
        <v>4514625.0</v>
      </c>
      <c r="C1675" s="9">
        <v>32157.0</v>
      </c>
      <c r="D1675" s="9" t="s">
        <v>52</v>
      </c>
      <c r="E1675" s="9" t="s">
        <v>53</v>
      </c>
      <c r="F1675" s="9">
        <v>265390.0</v>
      </c>
      <c r="G1675" s="9">
        <v>8106918.0</v>
      </c>
      <c r="H1675" s="9">
        <v>8106918.0</v>
      </c>
      <c r="I1675" s="9">
        <v>8111092.0</v>
      </c>
      <c r="J1675" s="9">
        <v>0.0</v>
      </c>
      <c r="K1675" s="9">
        <v>0.0</v>
      </c>
      <c r="L1675" s="9" t="s">
        <v>54</v>
      </c>
      <c r="M1675" s="9" t="s">
        <v>55</v>
      </c>
      <c r="N1675" s="9">
        <v>7621557.37</v>
      </c>
      <c r="O1675" s="9">
        <v>7621557.37</v>
      </c>
      <c r="P1675" s="9">
        <v>304862.29</v>
      </c>
      <c r="Q1675" s="9">
        <v>304862.29</v>
      </c>
      <c r="R1675" s="9" t="s">
        <v>60</v>
      </c>
      <c r="S1675" s="9" t="s">
        <v>57</v>
      </c>
      <c r="T1675" s="9" t="s">
        <v>61</v>
      </c>
      <c r="V1675" s="9">
        <v>8011373.63</v>
      </c>
      <c r="W1675" s="9">
        <v>304862.29</v>
      </c>
      <c r="X1675" s="9">
        <v>0.0</v>
      </c>
    </row>
    <row r="1676" ht="15.75" customHeight="1">
      <c r="A1676" s="9">
        <v>2199270.0</v>
      </c>
      <c r="B1676" s="9">
        <v>1699103.0</v>
      </c>
      <c r="C1676" s="9">
        <v>37632.0</v>
      </c>
      <c r="D1676" s="9" t="s">
        <v>52</v>
      </c>
      <c r="E1676" s="9" t="s">
        <v>53</v>
      </c>
      <c r="F1676" s="9">
        <v>287902.0</v>
      </c>
      <c r="G1676" s="9">
        <v>2322930.0</v>
      </c>
      <c r="H1676" s="9">
        <v>2322930.0</v>
      </c>
      <c r="I1676" s="9">
        <v>2228955.21</v>
      </c>
      <c r="J1676" s="9">
        <v>0.0</v>
      </c>
      <c r="K1676" s="9">
        <v>0.0</v>
      </c>
      <c r="L1676" s="9" t="s">
        <v>59</v>
      </c>
      <c r="M1676" s="9" t="s">
        <v>55</v>
      </c>
      <c r="N1676" s="9">
        <v>2128172.07</v>
      </c>
      <c r="O1676" s="9">
        <v>2128172.07</v>
      </c>
      <c r="P1676" s="9">
        <v>85126.88</v>
      </c>
      <c r="Q1676" s="9">
        <v>85126.88</v>
      </c>
      <c r="R1676" s="9" t="s">
        <v>94</v>
      </c>
      <c r="S1676" s="9" t="s">
        <v>57</v>
      </c>
      <c r="T1676" s="9" t="s">
        <v>95</v>
      </c>
    </row>
    <row r="1677" ht="15.75" customHeight="1">
      <c r="A1677" s="9">
        <v>2200508.0</v>
      </c>
      <c r="B1677" s="9">
        <v>1720728.0</v>
      </c>
      <c r="C1677" s="9">
        <v>32148.0</v>
      </c>
      <c r="D1677" s="9" t="s">
        <v>52</v>
      </c>
      <c r="E1677" s="9" t="s">
        <v>53</v>
      </c>
      <c r="F1677" s="9">
        <v>246677.0</v>
      </c>
      <c r="G1677" s="9">
        <v>1959645.98</v>
      </c>
      <c r="H1677" s="9">
        <v>1959645.98</v>
      </c>
      <c r="I1677" s="9">
        <v>1959646.0</v>
      </c>
      <c r="J1677" s="9">
        <v>0.0</v>
      </c>
      <c r="K1677" s="9">
        <v>0.0</v>
      </c>
      <c r="L1677" s="9" t="s">
        <v>54</v>
      </c>
      <c r="M1677" s="9" t="s">
        <v>55</v>
      </c>
      <c r="N1677" s="9">
        <v>1685630.52</v>
      </c>
      <c r="O1677" s="9">
        <v>1685630.51</v>
      </c>
      <c r="P1677" s="9">
        <v>0.0</v>
      </c>
      <c r="Q1677" s="9">
        <v>0.0</v>
      </c>
      <c r="R1677" s="9" t="s">
        <v>60</v>
      </c>
      <c r="S1677" s="9" t="s">
        <v>57</v>
      </c>
      <c r="T1677" s="9" t="s">
        <v>61</v>
      </c>
      <c r="V1677" s="9">
        <v>1906305.68</v>
      </c>
      <c r="W1677" s="9">
        <v>0.0</v>
      </c>
      <c r="X1677" s="9">
        <v>0.0</v>
      </c>
    </row>
    <row r="1678" ht="15.75" customHeight="1">
      <c r="A1678" s="9">
        <v>2201410.0</v>
      </c>
      <c r="B1678" s="9">
        <v>3250945.0</v>
      </c>
      <c r="C1678" s="9">
        <v>47363.0</v>
      </c>
      <c r="D1678" s="9" t="s">
        <v>52</v>
      </c>
      <c r="E1678" s="9" t="s">
        <v>53</v>
      </c>
      <c r="F1678" s="9">
        <v>234089.0</v>
      </c>
      <c r="G1678" s="9">
        <v>3882974.98</v>
      </c>
      <c r="H1678" s="9">
        <v>5992486.59</v>
      </c>
      <c r="I1678" s="9">
        <v>2981130.25</v>
      </c>
      <c r="J1678" s="9">
        <v>0.0</v>
      </c>
      <c r="K1678" s="9">
        <v>0.0</v>
      </c>
      <c r="L1678" s="9" t="s">
        <v>59</v>
      </c>
      <c r="M1678" s="9" t="s">
        <v>62</v>
      </c>
      <c r="N1678" s="9">
        <v>2935913.84</v>
      </c>
      <c r="O1678" s="9">
        <v>2935913.84</v>
      </c>
      <c r="P1678" s="9">
        <v>146795.69</v>
      </c>
      <c r="Q1678" s="9">
        <v>146795.69</v>
      </c>
      <c r="R1678" s="9" t="s">
        <v>124</v>
      </c>
      <c r="S1678" s="9" t="s">
        <v>82</v>
      </c>
      <c r="T1678" s="9" t="s">
        <v>107</v>
      </c>
      <c r="U1678" s="9" t="s">
        <v>125</v>
      </c>
    </row>
    <row r="1679" ht="15.75" customHeight="1">
      <c r="A1679" s="9">
        <v>2202205.0</v>
      </c>
      <c r="B1679" s="9">
        <v>1.321172369E7</v>
      </c>
      <c r="C1679" s="9">
        <v>45839.0</v>
      </c>
      <c r="D1679" s="9" t="s">
        <v>52</v>
      </c>
      <c r="E1679" s="9" t="s">
        <v>103</v>
      </c>
      <c r="F1679" s="9">
        <v>2202205.0</v>
      </c>
      <c r="H1679" s="9">
        <v>1.321172369E7</v>
      </c>
      <c r="I1679" s="9">
        <v>950132.0</v>
      </c>
      <c r="J1679" s="9">
        <v>0.0</v>
      </c>
      <c r="K1679" s="9">
        <v>4794924.0</v>
      </c>
      <c r="L1679" s="9" t="s">
        <v>59</v>
      </c>
      <c r="M1679" s="9" t="s">
        <v>65</v>
      </c>
      <c r="N1679" s="9">
        <v>1063770.93</v>
      </c>
      <c r="O1679" s="9">
        <v>1063770.93</v>
      </c>
      <c r="R1679" s="9" t="s">
        <v>63</v>
      </c>
      <c r="S1679" s="9" t="s">
        <v>63</v>
      </c>
    </row>
    <row r="1680" ht="15.75" customHeight="1">
      <c r="A1680" s="9">
        <v>2202214.0</v>
      </c>
      <c r="B1680" s="9">
        <v>591247.49</v>
      </c>
      <c r="C1680" s="9">
        <v>39589.0</v>
      </c>
      <c r="D1680" s="9" t="s">
        <v>52</v>
      </c>
      <c r="E1680" s="9" t="s">
        <v>53</v>
      </c>
      <c r="F1680" s="9">
        <v>290429.0</v>
      </c>
      <c r="G1680" s="9">
        <v>804385.39</v>
      </c>
      <c r="H1680" s="9">
        <v>804385.39</v>
      </c>
      <c r="I1680" s="9">
        <v>668760.26</v>
      </c>
      <c r="J1680" s="9">
        <v>0.0</v>
      </c>
      <c r="K1680" s="9">
        <v>0.0</v>
      </c>
      <c r="L1680" s="9" t="s">
        <v>69</v>
      </c>
      <c r="M1680" s="9" t="s">
        <v>55</v>
      </c>
      <c r="R1680" s="9" t="s">
        <v>75</v>
      </c>
      <c r="S1680" s="9" t="s">
        <v>57</v>
      </c>
      <c r="T1680" s="9" t="s">
        <v>76</v>
      </c>
      <c r="V1680" s="9">
        <v>658760.26</v>
      </c>
      <c r="W1680" s="9">
        <v>0.0</v>
      </c>
      <c r="X1680" s="9">
        <v>0.0</v>
      </c>
    </row>
    <row r="1681" ht="15.75" customHeight="1">
      <c r="A1681" s="9">
        <v>2202303.0</v>
      </c>
      <c r="B1681" s="9">
        <v>5723718.0</v>
      </c>
      <c r="C1681" s="9">
        <v>37603.0</v>
      </c>
      <c r="D1681" s="9" t="s">
        <v>52</v>
      </c>
      <c r="E1681" s="9" t="s">
        <v>53</v>
      </c>
      <c r="F1681" s="9">
        <v>274036.0</v>
      </c>
      <c r="G1681" s="9">
        <v>6970367.81</v>
      </c>
      <c r="H1681" s="9">
        <v>6970367.81</v>
      </c>
      <c r="I1681" s="9">
        <v>165410.74</v>
      </c>
      <c r="J1681" s="9">
        <v>41000.0</v>
      </c>
      <c r="K1681" s="9">
        <v>41000.0</v>
      </c>
      <c r="L1681" s="9" t="s">
        <v>59</v>
      </c>
      <c r="M1681" s="9" t="s">
        <v>55</v>
      </c>
      <c r="R1681" s="9" t="s">
        <v>100</v>
      </c>
      <c r="S1681" s="9" t="s">
        <v>101</v>
      </c>
      <c r="T1681" s="9" t="s">
        <v>102</v>
      </c>
    </row>
    <row r="1682" ht="15.75" customHeight="1">
      <c r="A1682" s="9">
        <v>2202839.0</v>
      </c>
      <c r="B1682" s="9">
        <v>6787228.0</v>
      </c>
      <c r="C1682" s="9">
        <v>39156.0</v>
      </c>
      <c r="D1682" s="9" t="s">
        <v>52</v>
      </c>
      <c r="E1682" s="9" t="s">
        <v>52</v>
      </c>
      <c r="F1682" s="9">
        <v>220755.0</v>
      </c>
      <c r="G1682" s="9">
        <v>6753944.74</v>
      </c>
      <c r="H1682" s="9">
        <v>7421938.16</v>
      </c>
      <c r="I1682" s="9">
        <v>7204916.37</v>
      </c>
      <c r="J1682" s="9">
        <v>0.0</v>
      </c>
      <c r="K1682" s="9">
        <v>0.0</v>
      </c>
      <c r="L1682" s="9" t="s">
        <v>59</v>
      </c>
      <c r="M1682" s="9" t="s">
        <v>116</v>
      </c>
      <c r="N1682" s="9">
        <v>0.0</v>
      </c>
      <c r="O1682" s="9">
        <v>0.0</v>
      </c>
      <c r="R1682" s="9" t="s">
        <v>57</v>
      </c>
      <c r="S1682" s="9" t="s">
        <v>57</v>
      </c>
    </row>
    <row r="1683" ht="15.75" customHeight="1">
      <c r="A1683" s="9">
        <v>2203116.0</v>
      </c>
      <c r="B1683" s="9">
        <v>3636070.0</v>
      </c>
      <c r="C1683" s="9">
        <v>32070.0</v>
      </c>
      <c r="D1683" s="9" t="s">
        <v>52</v>
      </c>
      <c r="E1683" s="9" t="s">
        <v>53</v>
      </c>
      <c r="F1683" s="9">
        <v>178708.0</v>
      </c>
      <c r="G1683" s="9">
        <v>3115225.31</v>
      </c>
      <c r="H1683" s="9">
        <v>3115225.31</v>
      </c>
      <c r="I1683" s="9">
        <v>3079107.73</v>
      </c>
      <c r="J1683" s="9">
        <v>0.0</v>
      </c>
      <c r="K1683" s="9">
        <v>0.0</v>
      </c>
      <c r="L1683" s="9" t="s">
        <v>59</v>
      </c>
      <c r="M1683" s="9" t="s">
        <v>55</v>
      </c>
      <c r="N1683" s="9">
        <v>2895266.41</v>
      </c>
      <c r="O1683" s="9">
        <v>2895266.41</v>
      </c>
      <c r="P1683" s="9">
        <v>110743.94</v>
      </c>
      <c r="Q1683" s="9">
        <v>110743.94</v>
      </c>
      <c r="R1683" s="9" t="s">
        <v>60</v>
      </c>
      <c r="S1683" s="9" t="s">
        <v>57</v>
      </c>
      <c r="T1683" s="9" t="s">
        <v>61</v>
      </c>
      <c r="V1683" s="9">
        <v>2895266.14</v>
      </c>
      <c r="W1683" s="9">
        <v>110743.94</v>
      </c>
      <c r="X1683" s="9">
        <v>0.0</v>
      </c>
    </row>
    <row r="1684" ht="15.75" customHeight="1">
      <c r="A1684" s="9">
        <v>2436248.0</v>
      </c>
      <c r="B1684" s="9">
        <v>135011.5</v>
      </c>
      <c r="C1684" s="9">
        <v>43287.0</v>
      </c>
      <c r="D1684" s="9" t="s">
        <v>52</v>
      </c>
      <c r="E1684" s="9" t="s">
        <v>111</v>
      </c>
      <c r="F1684" s="9">
        <v>2436248.0</v>
      </c>
      <c r="G1684" s="9">
        <v>135011.5</v>
      </c>
      <c r="H1684" s="9">
        <v>139223.5</v>
      </c>
      <c r="I1684" s="9">
        <v>5972.0</v>
      </c>
      <c r="J1684" s="9">
        <v>0.0</v>
      </c>
      <c r="K1684" s="9">
        <v>0.0</v>
      </c>
      <c r="L1684" s="9" t="s">
        <v>59</v>
      </c>
      <c r="M1684" s="9" t="s">
        <v>55</v>
      </c>
      <c r="R1684" s="9" t="s">
        <v>94</v>
      </c>
      <c r="S1684" s="9" t="s">
        <v>57</v>
      </c>
      <c r="T1684" s="9" t="s">
        <v>95</v>
      </c>
    </row>
    <row r="1685" ht="15.75" customHeight="1">
      <c r="A1685" s="9">
        <v>2436265.0</v>
      </c>
      <c r="B1685" s="9">
        <v>53876.13</v>
      </c>
      <c r="C1685" s="9">
        <v>43183.0</v>
      </c>
      <c r="D1685" s="9" t="s">
        <v>52</v>
      </c>
      <c r="E1685" s="9" t="s">
        <v>111</v>
      </c>
      <c r="F1685" s="9">
        <v>2436265.0</v>
      </c>
      <c r="G1685" s="9">
        <v>53876.13</v>
      </c>
      <c r="H1685" s="9">
        <v>56351.4</v>
      </c>
      <c r="I1685" s="9">
        <v>0.0</v>
      </c>
      <c r="J1685" s="9">
        <v>0.0</v>
      </c>
      <c r="K1685" s="9">
        <v>0.0</v>
      </c>
      <c r="L1685" s="9" t="s">
        <v>59</v>
      </c>
      <c r="M1685" s="9" t="s">
        <v>55</v>
      </c>
      <c r="R1685" s="9" t="s">
        <v>94</v>
      </c>
      <c r="S1685" s="9" t="s">
        <v>57</v>
      </c>
      <c r="T1685" s="9" t="s">
        <v>95</v>
      </c>
    </row>
    <row r="1686" ht="15.75" customHeight="1">
      <c r="A1686" s="9">
        <v>2436398.0</v>
      </c>
      <c r="B1686" s="9">
        <v>93949.38</v>
      </c>
      <c r="C1686" s="9">
        <v>43394.0</v>
      </c>
      <c r="D1686" s="9" t="s">
        <v>52</v>
      </c>
      <c r="E1686" s="9" t="s">
        <v>111</v>
      </c>
      <c r="F1686" s="9">
        <v>2436398.0</v>
      </c>
      <c r="G1686" s="9">
        <v>93949.38</v>
      </c>
      <c r="H1686" s="9">
        <v>95646.18</v>
      </c>
      <c r="I1686" s="9">
        <v>0.0</v>
      </c>
      <c r="J1686" s="9">
        <v>0.0</v>
      </c>
      <c r="K1686" s="9">
        <v>0.0</v>
      </c>
      <c r="L1686" s="9" t="s">
        <v>59</v>
      </c>
      <c r="M1686" s="9" t="s">
        <v>55</v>
      </c>
      <c r="R1686" s="9" t="s">
        <v>70</v>
      </c>
      <c r="S1686" s="9" t="s">
        <v>57</v>
      </c>
      <c r="T1686" s="9" t="s">
        <v>71</v>
      </c>
    </row>
    <row r="1687" ht="15.75" customHeight="1">
      <c r="A1687" s="9">
        <v>2436401.0</v>
      </c>
      <c r="B1687" s="9">
        <v>212569.7</v>
      </c>
      <c r="C1687" s="9">
        <v>43320.0</v>
      </c>
      <c r="D1687" s="9" t="s">
        <v>52</v>
      </c>
      <c r="E1687" s="9" t="s">
        <v>111</v>
      </c>
      <c r="F1687" s="9">
        <v>2436401.0</v>
      </c>
      <c r="G1687" s="9">
        <v>212569.7</v>
      </c>
      <c r="H1687" s="9">
        <v>217010.58</v>
      </c>
      <c r="I1687" s="9">
        <v>0.0</v>
      </c>
      <c r="J1687" s="9">
        <v>0.0</v>
      </c>
      <c r="K1687" s="9">
        <v>0.0</v>
      </c>
      <c r="L1687" s="9" t="s">
        <v>59</v>
      </c>
      <c r="M1687" s="9" t="s">
        <v>55</v>
      </c>
      <c r="R1687" s="9" t="s">
        <v>94</v>
      </c>
      <c r="S1687" s="9" t="s">
        <v>57</v>
      </c>
      <c r="T1687" s="9" t="s">
        <v>95</v>
      </c>
    </row>
    <row r="1688" ht="15.75" customHeight="1">
      <c r="A1688" s="9">
        <v>2436415.0</v>
      </c>
      <c r="B1688" s="9">
        <v>156717.83</v>
      </c>
      <c r="C1688" s="9">
        <v>43360.0</v>
      </c>
      <c r="D1688" s="9" t="s">
        <v>52</v>
      </c>
      <c r="E1688" s="9" t="s">
        <v>111</v>
      </c>
      <c r="F1688" s="9">
        <v>2436415.0</v>
      </c>
      <c r="G1688" s="9">
        <v>156717.83</v>
      </c>
      <c r="H1688" s="9">
        <v>159990.23</v>
      </c>
      <c r="I1688" s="9">
        <v>9339.25</v>
      </c>
      <c r="J1688" s="9">
        <v>0.0</v>
      </c>
      <c r="K1688" s="9">
        <v>0.0</v>
      </c>
      <c r="L1688" s="9" t="s">
        <v>59</v>
      </c>
      <c r="M1688" s="9" t="s">
        <v>55</v>
      </c>
      <c r="R1688" s="9" t="s">
        <v>56</v>
      </c>
      <c r="S1688" s="9" t="s">
        <v>57</v>
      </c>
      <c r="T1688" s="9" t="s">
        <v>58</v>
      </c>
    </row>
    <row r="1689" ht="15.75" customHeight="1">
      <c r="A1689" s="9">
        <v>2436416.0</v>
      </c>
      <c r="B1689" s="9">
        <v>130588.37</v>
      </c>
      <c r="C1689" s="9">
        <v>43365.0</v>
      </c>
      <c r="D1689" s="9" t="s">
        <v>52</v>
      </c>
      <c r="E1689" s="9" t="s">
        <v>111</v>
      </c>
      <c r="F1689" s="9">
        <v>2436416.0</v>
      </c>
      <c r="G1689" s="9">
        <v>130588.37</v>
      </c>
      <c r="H1689" s="9">
        <v>133250.77</v>
      </c>
      <c r="I1689" s="9">
        <v>2288.49</v>
      </c>
      <c r="J1689" s="9">
        <v>0.0</v>
      </c>
      <c r="K1689" s="9">
        <v>0.0</v>
      </c>
      <c r="L1689" s="9" t="s">
        <v>59</v>
      </c>
      <c r="M1689" s="9" t="s">
        <v>55</v>
      </c>
      <c r="R1689" s="9" t="s">
        <v>94</v>
      </c>
      <c r="S1689" s="9" t="s">
        <v>57</v>
      </c>
      <c r="T1689" s="9" t="s">
        <v>95</v>
      </c>
    </row>
    <row r="1690" ht="15.75" customHeight="1">
      <c r="A1690" s="9">
        <v>2436465.0</v>
      </c>
      <c r="B1690" s="9">
        <v>85268.07</v>
      </c>
      <c r="C1690" s="9">
        <v>43324.0</v>
      </c>
      <c r="D1690" s="9" t="s">
        <v>52</v>
      </c>
      <c r="E1690" s="9" t="s">
        <v>111</v>
      </c>
      <c r="F1690" s="9">
        <v>2436465.0</v>
      </c>
      <c r="G1690" s="9">
        <v>85268.07</v>
      </c>
      <c r="H1690" s="9">
        <v>88035.27</v>
      </c>
      <c r="I1690" s="9">
        <v>3896.0</v>
      </c>
      <c r="J1690" s="9">
        <v>0.0</v>
      </c>
      <c r="K1690" s="9">
        <v>0.0</v>
      </c>
      <c r="L1690" s="9" t="s">
        <v>59</v>
      </c>
      <c r="M1690" s="9" t="s">
        <v>55</v>
      </c>
      <c r="R1690" s="9" t="s">
        <v>94</v>
      </c>
      <c r="S1690" s="9" t="s">
        <v>57</v>
      </c>
      <c r="T1690" s="9" t="s">
        <v>95</v>
      </c>
    </row>
    <row r="1691" ht="15.75" customHeight="1">
      <c r="A1691" s="9">
        <v>2436466.0</v>
      </c>
      <c r="B1691" s="9">
        <v>145785.34</v>
      </c>
      <c r="C1691" s="9">
        <v>43069.0</v>
      </c>
      <c r="D1691" s="9" t="s">
        <v>52</v>
      </c>
      <c r="E1691" s="9" t="s">
        <v>111</v>
      </c>
      <c r="F1691" s="9">
        <v>2436466.0</v>
      </c>
      <c r="G1691" s="9">
        <v>145785.34</v>
      </c>
      <c r="H1691" s="9">
        <v>149191.74</v>
      </c>
      <c r="I1691" s="9">
        <v>6295.6</v>
      </c>
      <c r="J1691" s="9">
        <v>0.0</v>
      </c>
      <c r="K1691" s="9">
        <v>0.0</v>
      </c>
      <c r="L1691" s="9" t="s">
        <v>59</v>
      </c>
      <c r="M1691" s="9" t="s">
        <v>55</v>
      </c>
      <c r="R1691" s="9" t="s">
        <v>94</v>
      </c>
      <c r="S1691" s="9" t="s">
        <v>57</v>
      </c>
      <c r="T1691" s="9" t="s">
        <v>95</v>
      </c>
    </row>
    <row r="1692" ht="15.75" customHeight="1">
      <c r="A1692" s="9">
        <v>2436483.0</v>
      </c>
      <c r="B1692" s="9">
        <v>99170.67</v>
      </c>
      <c r="C1692" s="9">
        <v>43371.0</v>
      </c>
      <c r="D1692" s="9" t="s">
        <v>52</v>
      </c>
      <c r="E1692" s="9" t="s">
        <v>111</v>
      </c>
      <c r="F1692" s="9">
        <v>2436483.0</v>
      </c>
      <c r="G1692" s="9">
        <v>99170.67</v>
      </c>
      <c r="H1692" s="9">
        <v>101827.07</v>
      </c>
      <c r="I1692" s="9">
        <v>2874.25</v>
      </c>
      <c r="J1692" s="9">
        <v>0.0</v>
      </c>
      <c r="K1692" s="9">
        <v>0.0</v>
      </c>
      <c r="L1692" s="9" t="s">
        <v>59</v>
      </c>
      <c r="M1692" s="9" t="s">
        <v>55</v>
      </c>
      <c r="R1692" s="9" t="s">
        <v>106</v>
      </c>
      <c r="S1692" s="9" t="s">
        <v>82</v>
      </c>
      <c r="T1692" s="9" t="s">
        <v>107</v>
      </c>
      <c r="U1692" s="9" t="s">
        <v>108</v>
      </c>
    </row>
    <row r="1693" ht="15.75" customHeight="1">
      <c r="A1693" s="9">
        <v>2436833.0</v>
      </c>
      <c r="B1693" s="9">
        <v>67494.19</v>
      </c>
      <c r="C1693" s="9">
        <v>43142.0</v>
      </c>
      <c r="D1693" s="9" t="s">
        <v>52</v>
      </c>
      <c r="E1693" s="9" t="s">
        <v>111</v>
      </c>
      <c r="F1693" s="9">
        <v>2436833.0</v>
      </c>
      <c r="G1693" s="9">
        <v>67494.19</v>
      </c>
      <c r="H1693" s="9">
        <v>70719.69</v>
      </c>
      <c r="I1693" s="9">
        <v>3896.0</v>
      </c>
      <c r="J1693" s="9">
        <v>0.0</v>
      </c>
      <c r="K1693" s="9">
        <v>0.0</v>
      </c>
      <c r="L1693" s="9" t="s">
        <v>59</v>
      </c>
      <c r="M1693" s="9" t="s">
        <v>55</v>
      </c>
      <c r="R1693" s="9" t="s">
        <v>56</v>
      </c>
      <c r="S1693" s="9" t="s">
        <v>57</v>
      </c>
      <c r="T1693" s="9" t="s">
        <v>58</v>
      </c>
    </row>
    <row r="1694" ht="15.75" customHeight="1">
      <c r="A1694" s="9">
        <v>2436834.0</v>
      </c>
      <c r="B1694" s="9">
        <v>93138.23</v>
      </c>
      <c r="C1694" s="9">
        <v>43157.0</v>
      </c>
      <c r="D1694" s="9" t="s">
        <v>52</v>
      </c>
      <c r="E1694" s="9" t="s">
        <v>111</v>
      </c>
      <c r="F1694" s="9">
        <v>2436834.0</v>
      </c>
      <c r="G1694" s="9">
        <v>93138.23</v>
      </c>
      <c r="H1694" s="9">
        <v>95119.23</v>
      </c>
      <c r="I1694" s="9">
        <v>4853.64</v>
      </c>
      <c r="J1694" s="9">
        <v>0.0</v>
      </c>
      <c r="K1694" s="9">
        <v>0.0</v>
      </c>
      <c r="L1694" s="9" t="s">
        <v>59</v>
      </c>
      <c r="M1694" s="9" t="s">
        <v>55</v>
      </c>
      <c r="R1694" s="9" t="s">
        <v>56</v>
      </c>
      <c r="S1694" s="9" t="s">
        <v>57</v>
      </c>
      <c r="T1694" s="9" t="s">
        <v>58</v>
      </c>
    </row>
    <row r="1695" ht="15.75" customHeight="1">
      <c r="A1695" s="9">
        <v>2436852.0</v>
      </c>
      <c r="B1695" s="9">
        <v>136057.91</v>
      </c>
      <c r="C1695" s="9">
        <v>43101.0</v>
      </c>
      <c r="D1695" s="9" t="s">
        <v>52</v>
      </c>
      <c r="E1695" s="9" t="s">
        <v>111</v>
      </c>
      <c r="F1695" s="9">
        <v>2436852.0</v>
      </c>
      <c r="G1695" s="9">
        <v>136057.91</v>
      </c>
      <c r="H1695" s="9">
        <v>139450.91</v>
      </c>
      <c r="I1695" s="9">
        <v>6269.5</v>
      </c>
      <c r="J1695" s="9">
        <v>0.0</v>
      </c>
      <c r="K1695" s="9">
        <v>0.0</v>
      </c>
      <c r="L1695" s="9" t="s">
        <v>59</v>
      </c>
      <c r="M1695" s="9" t="s">
        <v>55</v>
      </c>
      <c r="R1695" s="9" t="s">
        <v>56</v>
      </c>
      <c r="S1695" s="9" t="s">
        <v>57</v>
      </c>
      <c r="T1695" s="9" t="s">
        <v>58</v>
      </c>
    </row>
    <row r="1696" ht="15.75" customHeight="1">
      <c r="A1696" s="9">
        <v>2436866.0</v>
      </c>
      <c r="B1696" s="9">
        <v>105668.06</v>
      </c>
      <c r="C1696" s="9">
        <v>43271.0</v>
      </c>
      <c r="D1696" s="9" t="s">
        <v>52</v>
      </c>
      <c r="E1696" s="9" t="s">
        <v>111</v>
      </c>
      <c r="F1696" s="9">
        <v>2436866.0</v>
      </c>
      <c r="G1696" s="9">
        <v>105668.06</v>
      </c>
      <c r="H1696" s="9">
        <v>109390.76</v>
      </c>
      <c r="I1696" s="9">
        <v>0.0</v>
      </c>
      <c r="J1696" s="9">
        <v>0.0</v>
      </c>
      <c r="K1696" s="9">
        <v>0.0</v>
      </c>
      <c r="L1696" s="9" t="s">
        <v>59</v>
      </c>
      <c r="M1696" s="9" t="s">
        <v>55</v>
      </c>
      <c r="R1696" s="9" t="s">
        <v>94</v>
      </c>
      <c r="S1696" s="9" t="s">
        <v>57</v>
      </c>
      <c r="T1696" s="9" t="s">
        <v>95</v>
      </c>
    </row>
    <row r="1697" ht="15.75" customHeight="1">
      <c r="A1697" s="9">
        <v>2436869.0</v>
      </c>
      <c r="B1697" s="9">
        <v>83891.95</v>
      </c>
      <c r="C1697" s="9">
        <v>43273.0</v>
      </c>
      <c r="D1697" s="9" t="s">
        <v>52</v>
      </c>
      <c r="E1697" s="9" t="s">
        <v>111</v>
      </c>
      <c r="F1697" s="9">
        <v>2436869.0</v>
      </c>
      <c r="G1697" s="9">
        <v>83891.95</v>
      </c>
      <c r="H1697" s="9">
        <v>87614.65</v>
      </c>
      <c r="I1697" s="9">
        <v>0.0</v>
      </c>
      <c r="J1697" s="9">
        <v>0.0</v>
      </c>
      <c r="K1697" s="9">
        <v>0.0</v>
      </c>
      <c r="L1697" s="9" t="s">
        <v>59</v>
      </c>
      <c r="M1697" s="9" t="s">
        <v>55</v>
      </c>
      <c r="R1697" s="9" t="s">
        <v>94</v>
      </c>
      <c r="S1697" s="9" t="s">
        <v>57</v>
      </c>
      <c r="T1697" s="9" t="s">
        <v>95</v>
      </c>
    </row>
    <row r="1698" ht="15.75" customHeight="1">
      <c r="A1698" s="9">
        <v>2436883.0</v>
      </c>
      <c r="B1698" s="9">
        <v>162527.44</v>
      </c>
      <c r="C1698" s="9">
        <v>43187.0</v>
      </c>
      <c r="D1698" s="9" t="s">
        <v>52</v>
      </c>
      <c r="E1698" s="9" t="s">
        <v>111</v>
      </c>
      <c r="F1698" s="9">
        <v>2436883.0</v>
      </c>
      <c r="G1698" s="9">
        <v>162527.44</v>
      </c>
      <c r="H1698" s="9">
        <v>164676.91</v>
      </c>
      <c r="I1698" s="9">
        <v>4301.7</v>
      </c>
      <c r="J1698" s="9">
        <v>0.0</v>
      </c>
      <c r="K1698" s="9">
        <v>0.0</v>
      </c>
      <c r="L1698" s="9" t="s">
        <v>59</v>
      </c>
      <c r="M1698" s="9" t="s">
        <v>55</v>
      </c>
      <c r="R1698" s="9" t="s">
        <v>56</v>
      </c>
      <c r="S1698" s="9" t="s">
        <v>57</v>
      </c>
      <c r="T1698" s="9" t="s">
        <v>58</v>
      </c>
    </row>
    <row r="1699" ht="15.75" customHeight="1">
      <c r="A1699" s="9">
        <v>2436884.0</v>
      </c>
      <c r="B1699" s="9">
        <v>237805.38</v>
      </c>
      <c r="C1699" s="9">
        <v>43378.0</v>
      </c>
      <c r="D1699" s="9" t="s">
        <v>52</v>
      </c>
      <c r="E1699" s="9" t="s">
        <v>111</v>
      </c>
      <c r="F1699" s="9">
        <v>2436884.0</v>
      </c>
      <c r="G1699" s="9">
        <v>237805.38</v>
      </c>
      <c r="H1699" s="9">
        <v>242636.98</v>
      </c>
      <c r="I1699" s="9">
        <v>0.0</v>
      </c>
      <c r="J1699" s="9">
        <v>0.0</v>
      </c>
      <c r="K1699" s="9">
        <v>0.0</v>
      </c>
      <c r="L1699" s="9" t="s">
        <v>59</v>
      </c>
      <c r="M1699" s="9" t="s">
        <v>55</v>
      </c>
      <c r="R1699" s="9" t="s">
        <v>94</v>
      </c>
      <c r="S1699" s="9" t="s">
        <v>57</v>
      </c>
      <c r="T1699" s="9" t="s">
        <v>95</v>
      </c>
    </row>
    <row r="1700" ht="15.75" customHeight="1">
      <c r="A1700" s="9">
        <v>2437402.0</v>
      </c>
      <c r="B1700" s="9">
        <v>109002.42</v>
      </c>
      <c r="C1700" s="9">
        <v>43389.0</v>
      </c>
      <c r="D1700" s="9" t="s">
        <v>52</v>
      </c>
      <c r="E1700" s="9" t="s">
        <v>111</v>
      </c>
      <c r="F1700" s="9">
        <v>2437402.0</v>
      </c>
      <c r="G1700" s="9">
        <v>109002.42</v>
      </c>
      <c r="H1700" s="9">
        <v>112557.32</v>
      </c>
      <c r="I1700" s="9">
        <v>4016.0</v>
      </c>
      <c r="J1700" s="9">
        <v>0.0</v>
      </c>
      <c r="K1700" s="9">
        <v>0.0</v>
      </c>
      <c r="L1700" s="9" t="s">
        <v>59</v>
      </c>
      <c r="M1700" s="9" t="s">
        <v>55</v>
      </c>
      <c r="R1700" s="9" t="s">
        <v>94</v>
      </c>
      <c r="S1700" s="9" t="s">
        <v>57</v>
      </c>
      <c r="T1700" s="9" t="s">
        <v>95</v>
      </c>
    </row>
    <row r="1701" ht="15.75" customHeight="1">
      <c r="A1701" s="9">
        <v>2437602.0</v>
      </c>
      <c r="B1701" s="9">
        <v>124065.01</v>
      </c>
      <c r="C1701" s="9">
        <v>43379.0</v>
      </c>
      <c r="D1701" s="9" t="s">
        <v>52</v>
      </c>
      <c r="E1701" s="9" t="s">
        <v>111</v>
      </c>
      <c r="F1701" s="9">
        <v>2437602.0</v>
      </c>
      <c r="G1701" s="9">
        <v>124065.01</v>
      </c>
      <c r="H1701" s="9">
        <v>127524.31</v>
      </c>
      <c r="I1701" s="9">
        <v>7465.0</v>
      </c>
      <c r="J1701" s="9">
        <v>0.0</v>
      </c>
      <c r="K1701" s="9">
        <v>0.0</v>
      </c>
      <c r="L1701" s="9" t="s">
        <v>59</v>
      </c>
      <c r="M1701" s="9" t="s">
        <v>55</v>
      </c>
      <c r="R1701" s="9" t="s">
        <v>72</v>
      </c>
      <c r="S1701" s="9" t="s">
        <v>57</v>
      </c>
      <c r="T1701" s="9" t="s">
        <v>73</v>
      </c>
      <c r="V1701" s="9">
        <v>115518.7</v>
      </c>
    </row>
    <row r="1702" ht="15.75" customHeight="1">
      <c r="A1702" s="9">
        <v>2437605.0</v>
      </c>
      <c r="B1702" s="9">
        <v>72949.6</v>
      </c>
      <c r="C1702" s="9">
        <v>43327.0</v>
      </c>
      <c r="D1702" s="9" t="s">
        <v>52</v>
      </c>
      <c r="E1702" s="9" t="s">
        <v>111</v>
      </c>
      <c r="F1702" s="9">
        <v>2437605.0</v>
      </c>
      <c r="G1702" s="9">
        <v>72949.6</v>
      </c>
      <c r="H1702" s="9">
        <v>74384.4</v>
      </c>
      <c r="I1702" s="9">
        <v>0.0</v>
      </c>
      <c r="J1702" s="9">
        <v>0.0</v>
      </c>
      <c r="K1702" s="9">
        <v>0.0</v>
      </c>
      <c r="L1702" s="9" t="s">
        <v>59</v>
      </c>
      <c r="M1702" s="9" t="s">
        <v>55</v>
      </c>
      <c r="R1702" s="9" t="s">
        <v>56</v>
      </c>
      <c r="S1702" s="9" t="s">
        <v>57</v>
      </c>
      <c r="T1702" s="9" t="s">
        <v>58</v>
      </c>
    </row>
    <row r="1703" ht="15.75" customHeight="1">
      <c r="A1703" s="9">
        <v>2437619.0</v>
      </c>
      <c r="B1703" s="9">
        <v>130791.18</v>
      </c>
      <c r="C1703" s="9">
        <v>43124.0</v>
      </c>
      <c r="D1703" s="9" t="s">
        <v>52</v>
      </c>
      <c r="E1703" s="9" t="s">
        <v>111</v>
      </c>
      <c r="F1703" s="9">
        <v>2437619.0</v>
      </c>
      <c r="G1703" s="9">
        <v>130791.18</v>
      </c>
      <c r="H1703" s="9">
        <v>132715.18</v>
      </c>
      <c r="I1703" s="9">
        <v>0.0</v>
      </c>
      <c r="J1703" s="9">
        <v>0.0</v>
      </c>
      <c r="K1703" s="9">
        <v>0.0</v>
      </c>
      <c r="L1703" s="9" t="s">
        <v>59</v>
      </c>
      <c r="M1703" s="9" t="s">
        <v>55</v>
      </c>
      <c r="R1703" s="9" t="s">
        <v>94</v>
      </c>
      <c r="S1703" s="9" t="s">
        <v>57</v>
      </c>
      <c r="T1703" s="9" t="s">
        <v>95</v>
      </c>
    </row>
    <row r="1704" ht="15.75" customHeight="1">
      <c r="A1704" s="9">
        <v>2437620.0</v>
      </c>
      <c r="B1704" s="9">
        <v>151100.79</v>
      </c>
      <c r="C1704" s="9">
        <v>43199.0</v>
      </c>
      <c r="D1704" s="9" t="s">
        <v>52</v>
      </c>
      <c r="E1704" s="9" t="s">
        <v>111</v>
      </c>
      <c r="F1704" s="9">
        <v>2437620.0</v>
      </c>
      <c r="G1704" s="9">
        <v>151100.79</v>
      </c>
      <c r="H1704" s="9">
        <v>155964.73</v>
      </c>
      <c r="I1704" s="9">
        <v>0.0</v>
      </c>
      <c r="J1704" s="9">
        <v>0.0</v>
      </c>
      <c r="K1704" s="9">
        <v>0.0</v>
      </c>
      <c r="L1704" s="9" t="s">
        <v>59</v>
      </c>
      <c r="M1704" s="9" t="s">
        <v>55</v>
      </c>
      <c r="R1704" s="9" t="s">
        <v>63</v>
      </c>
      <c r="S1704" s="9" t="s">
        <v>63</v>
      </c>
    </row>
    <row r="1705" ht="15.75" customHeight="1">
      <c r="A1705" s="9">
        <v>2436417.0</v>
      </c>
      <c r="B1705" s="9">
        <v>346525.81</v>
      </c>
      <c r="C1705" s="9">
        <v>43372.0</v>
      </c>
      <c r="D1705" s="9" t="s">
        <v>52</v>
      </c>
      <c r="E1705" s="9" t="s">
        <v>111</v>
      </c>
      <c r="F1705" s="9">
        <v>2436417.0</v>
      </c>
      <c r="G1705" s="9">
        <v>346525.81</v>
      </c>
      <c r="H1705" s="9">
        <v>351480.41</v>
      </c>
      <c r="I1705" s="9">
        <v>14638.8</v>
      </c>
      <c r="J1705" s="9">
        <v>0.0</v>
      </c>
      <c r="K1705" s="9">
        <v>0.0</v>
      </c>
      <c r="L1705" s="9" t="s">
        <v>59</v>
      </c>
      <c r="M1705" s="9" t="s">
        <v>55</v>
      </c>
      <c r="R1705" s="9" t="s">
        <v>70</v>
      </c>
      <c r="S1705" s="9" t="s">
        <v>57</v>
      </c>
      <c r="T1705" s="9" t="s">
        <v>71</v>
      </c>
    </row>
    <row r="1706" ht="15.75" customHeight="1">
      <c r="A1706" s="9">
        <v>2436418.0</v>
      </c>
      <c r="B1706" s="9">
        <v>75828.78</v>
      </c>
      <c r="C1706" s="9">
        <v>43154.0</v>
      </c>
      <c r="D1706" s="9" t="s">
        <v>52</v>
      </c>
      <c r="E1706" s="9" t="s">
        <v>111</v>
      </c>
      <c r="F1706" s="9">
        <v>2436418.0</v>
      </c>
      <c r="G1706" s="9">
        <v>75828.78</v>
      </c>
      <c r="H1706" s="9">
        <v>78779.78</v>
      </c>
      <c r="I1706" s="9">
        <v>4790.13</v>
      </c>
      <c r="J1706" s="9">
        <v>0.0</v>
      </c>
      <c r="K1706" s="9">
        <v>0.0</v>
      </c>
      <c r="L1706" s="9" t="s">
        <v>59</v>
      </c>
      <c r="M1706" s="9" t="s">
        <v>55</v>
      </c>
      <c r="R1706" s="9" t="s">
        <v>56</v>
      </c>
      <c r="S1706" s="9" t="s">
        <v>57</v>
      </c>
      <c r="T1706" s="9" t="s">
        <v>58</v>
      </c>
    </row>
    <row r="1707" ht="15.75" customHeight="1">
      <c r="A1707" s="9">
        <v>2436467.0</v>
      </c>
      <c r="B1707" s="9">
        <v>100359.93</v>
      </c>
      <c r="C1707" s="9">
        <v>43115.0</v>
      </c>
      <c r="D1707" s="9" t="s">
        <v>52</v>
      </c>
      <c r="E1707" s="9" t="s">
        <v>111</v>
      </c>
      <c r="F1707" s="9">
        <v>2436467.0</v>
      </c>
      <c r="G1707" s="9">
        <v>100359.93</v>
      </c>
      <c r="H1707" s="9">
        <v>102163.43</v>
      </c>
      <c r="I1707" s="9">
        <v>5020.0</v>
      </c>
      <c r="J1707" s="9">
        <v>0.0</v>
      </c>
      <c r="K1707" s="9">
        <v>0.0</v>
      </c>
      <c r="L1707" s="9" t="s">
        <v>59</v>
      </c>
      <c r="M1707" s="9" t="s">
        <v>55</v>
      </c>
      <c r="R1707" s="9" t="s">
        <v>56</v>
      </c>
      <c r="S1707" s="9" t="s">
        <v>57</v>
      </c>
      <c r="T1707" s="9" t="s">
        <v>58</v>
      </c>
    </row>
    <row r="1708" ht="15.75" customHeight="1">
      <c r="A1708" s="9">
        <v>2436468.0</v>
      </c>
      <c r="B1708" s="9">
        <v>109687.82</v>
      </c>
      <c r="C1708" s="9">
        <v>43118.0</v>
      </c>
      <c r="D1708" s="9" t="s">
        <v>52</v>
      </c>
      <c r="E1708" s="9" t="s">
        <v>111</v>
      </c>
      <c r="F1708" s="9">
        <v>2436468.0</v>
      </c>
      <c r="G1708" s="9">
        <v>109687.82</v>
      </c>
      <c r="H1708" s="9">
        <v>111491.32</v>
      </c>
      <c r="I1708" s="9">
        <v>5020.0</v>
      </c>
      <c r="J1708" s="9">
        <v>0.0</v>
      </c>
      <c r="K1708" s="9">
        <v>0.0</v>
      </c>
      <c r="L1708" s="9" t="s">
        <v>59</v>
      </c>
      <c r="M1708" s="9" t="s">
        <v>55</v>
      </c>
      <c r="R1708" s="9" t="s">
        <v>56</v>
      </c>
      <c r="S1708" s="9" t="s">
        <v>57</v>
      </c>
      <c r="T1708" s="9" t="s">
        <v>58</v>
      </c>
    </row>
    <row r="1709" ht="15.75" customHeight="1">
      <c r="A1709" s="9">
        <v>2436482.0</v>
      </c>
      <c r="B1709" s="9">
        <v>285422.6</v>
      </c>
      <c r="C1709" s="9">
        <v>43352.0</v>
      </c>
      <c r="D1709" s="9" t="s">
        <v>52</v>
      </c>
      <c r="E1709" s="9" t="s">
        <v>111</v>
      </c>
      <c r="F1709" s="9">
        <v>2436482.0</v>
      </c>
      <c r="G1709" s="9">
        <v>285422.6</v>
      </c>
      <c r="H1709" s="9">
        <v>290556.4</v>
      </c>
      <c r="I1709" s="9">
        <v>14638.79</v>
      </c>
      <c r="J1709" s="9">
        <v>0.0</v>
      </c>
      <c r="K1709" s="9">
        <v>0.0</v>
      </c>
      <c r="L1709" s="9" t="s">
        <v>59</v>
      </c>
      <c r="M1709" s="9" t="s">
        <v>55</v>
      </c>
      <c r="R1709" s="9" t="s">
        <v>94</v>
      </c>
      <c r="S1709" s="9" t="s">
        <v>57</v>
      </c>
      <c r="T1709" s="9" t="s">
        <v>95</v>
      </c>
    </row>
    <row r="1710" ht="15.75" customHeight="1">
      <c r="A1710" s="9">
        <v>2436835.0</v>
      </c>
      <c r="B1710" s="9">
        <v>68644.0</v>
      </c>
      <c r="C1710" s="9">
        <v>43337.0</v>
      </c>
      <c r="D1710" s="9" t="s">
        <v>52</v>
      </c>
      <c r="E1710" s="9" t="s">
        <v>111</v>
      </c>
      <c r="F1710" s="9">
        <v>2436835.0</v>
      </c>
      <c r="G1710" s="9">
        <v>68644.0</v>
      </c>
      <c r="H1710" s="9">
        <v>71120.5</v>
      </c>
      <c r="I1710" s="9">
        <v>0.0</v>
      </c>
      <c r="J1710" s="9">
        <v>0.0</v>
      </c>
      <c r="K1710" s="9">
        <v>0.0</v>
      </c>
      <c r="L1710" s="9" t="s">
        <v>59</v>
      </c>
      <c r="M1710" s="9" t="s">
        <v>55</v>
      </c>
      <c r="R1710" s="9" t="s">
        <v>94</v>
      </c>
      <c r="S1710" s="9" t="s">
        <v>57</v>
      </c>
      <c r="T1710" s="9" t="s">
        <v>95</v>
      </c>
    </row>
    <row r="1711" ht="15.75" customHeight="1">
      <c r="A1711" s="9">
        <v>2436850.0</v>
      </c>
      <c r="B1711" s="9">
        <v>171413.1</v>
      </c>
      <c r="C1711" s="9">
        <v>43103.0</v>
      </c>
      <c r="D1711" s="9" t="s">
        <v>52</v>
      </c>
      <c r="E1711" s="9" t="s">
        <v>111</v>
      </c>
      <c r="F1711" s="9">
        <v>2436850.0</v>
      </c>
      <c r="G1711" s="9">
        <v>171413.1</v>
      </c>
      <c r="H1711" s="9">
        <v>175280.6</v>
      </c>
      <c r="I1711" s="9">
        <v>9589.25</v>
      </c>
      <c r="J1711" s="9">
        <v>0.0</v>
      </c>
      <c r="K1711" s="9">
        <v>0.0</v>
      </c>
      <c r="L1711" s="9" t="s">
        <v>59</v>
      </c>
      <c r="M1711" s="9" t="s">
        <v>55</v>
      </c>
      <c r="R1711" s="9" t="s">
        <v>56</v>
      </c>
      <c r="S1711" s="9" t="s">
        <v>57</v>
      </c>
      <c r="T1711" s="9" t="s">
        <v>58</v>
      </c>
    </row>
    <row r="1712" ht="15.75" customHeight="1">
      <c r="A1712" s="9">
        <v>2436853.0</v>
      </c>
      <c r="B1712" s="9">
        <v>211495.44</v>
      </c>
      <c r="C1712" s="9">
        <v>43359.0</v>
      </c>
      <c r="D1712" s="9" t="s">
        <v>52</v>
      </c>
      <c r="E1712" s="9" t="s">
        <v>111</v>
      </c>
      <c r="F1712" s="9">
        <v>2436853.0</v>
      </c>
      <c r="G1712" s="9">
        <v>211495.44</v>
      </c>
      <c r="H1712" s="9">
        <v>214653.14</v>
      </c>
      <c r="I1712" s="9">
        <v>12209.0</v>
      </c>
      <c r="J1712" s="9">
        <v>0.0</v>
      </c>
      <c r="K1712" s="9">
        <v>0.0</v>
      </c>
      <c r="L1712" s="9" t="s">
        <v>59</v>
      </c>
      <c r="M1712" s="9" t="s">
        <v>55</v>
      </c>
      <c r="R1712" s="9" t="s">
        <v>72</v>
      </c>
      <c r="S1712" s="9" t="s">
        <v>57</v>
      </c>
      <c r="T1712" s="9" t="s">
        <v>73</v>
      </c>
      <c r="V1712" s="9">
        <v>182499.83</v>
      </c>
    </row>
    <row r="1713" ht="15.75" customHeight="1">
      <c r="A1713" s="9">
        <v>2436867.0</v>
      </c>
      <c r="B1713" s="9">
        <v>234836.1</v>
      </c>
      <c r="C1713" s="9">
        <v>43274.0</v>
      </c>
      <c r="D1713" s="9" t="s">
        <v>52</v>
      </c>
      <c r="E1713" s="9" t="s">
        <v>111</v>
      </c>
      <c r="F1713" s="9">
        <v>2436867.0</v>
      </c>
      <c r="G1713" s="9">
        <v>234836.1</v>
      </c>
      <c r="H1713" s="9">
        <v>241680.12</v>
      </c>
      <c r="I1713" s="9">
        <v>0.0</v>
      </c>
      <c r="J1713" s="9">
        <v>0.0</v>
      </c>
      <c r="K1713" s="9">
        <v>0.0</v>
      </c>
      <c r="L1713" s="9" t="s">
        <v>59</v>
      </c>
      <c r="M1713" s="9" t="s">
        <v>55</v>
      </c>
      <c r="R1713" s="9" t="s">
        <v>94</v>
      </c>
      <c r="S1713" s="9" t="s">
        <v>57</v>
      </c>
      <c r="T1713" s="9" t="s">
        <v>95</v>
      </c>
    </row>
    <row r="1714" ht="15.75" customHeight="1">
      <c r="A1714" s="9">
        <v>2436868.0</v>
      </c>
      <c r="B1714" s="9">
        <v>266931.8</v>
      </c>
      <c r="C1714" s="9">
        <v>43275.0</v>
      </c>
      <c r="D1714" s="9" t="s">
        <v>52</v>
      </c>
      <c r="E1714" s="9" t="s">
        <v>111</v>
      </c>
      <c r="F1714" s="9">
        <v>2436868.0</v>
      </c>
      <c r="G1714" s="9">
        <v>266931.8</v>
      </c>
      <c r="H1714" s="9">
        <v>272181.18</v>
      </c>
      <c r="I1714" s="9">
        <v>7671.4</v>
      </c>
      <c r="J1714" s="9">
        <v>0.0</v>
      </c>
      <c r="K1714" s="9">
        <v>0.0</v>
      </c>
      <c r="L1714" s="9" t="s">
        <v>59</v>
      </c>
      <c r="M1714" s="9" t="s">
        <v>55</v>
      </c>
      <c r="R1714" s="9" t="s">
        <v>94</v>
      </c>
      <c r="S1714" s="9" t="s">
        <v>57</v>
      </c>
      <c r="T1714" s="9" t="s">
        <v>95</v>
      </c>
    </row>
    <row r="1715" ht="15.75" customHeight="1">
      <c r="A1715" s="9">
        <v>2437304.0</v>
      </c>
      <c r="B1715" s="9">
        <v>1130402.87</v>
      </c>
      <c r="C1715" s="9">
        <v>45651.0</v>
      </c>
      <c r="D1715" s="9" t="s">
        <v>52</v>
      </c>
      <c r="E1715" s="9" t="s">
        <v>111</v>
      </c>
      <c r="F1715" s="9">
        <v>2437304.0</v>
      </c>
      <c r="H1715" s="9">
        <v>951484.91</v>
      </c>
      <c r="I1715" s="9">
        <v>940118.52</v>
      </c>
      <c r="J1715" s="9">
        <v>0.0</v>
      </c>
      <c r="K1715" s="9">
        <v>0.0</v>
      </c>
      <c r="L1715" s="9" t="s">
        <v>59</v>
      </c>
      <c r="M1715" s="9" t="s">
        <v>55</v>
      </c>
      <c r="N1715" s="9">
        <v>1013552.12</v>
      </c>
      <c r="O1715" s="9">
        <v>864212.17</v>
      </c>
      <c r="P1715" s="9">
        <v>116850.75</v>
      </c>
      <c r="Q1715" s="9">
        <v>105165.68</v>
      </c>
      <c r="R1715" s="9" t="s">
        <v>72</v>
      </c>
      <c r="S1715" s="9" t="s">
        <v>57</v>
      </c>
      <c r="T1715" s="9" t="s">
        <v>73</v>
      </c>
      <c r="V1715" s="9">
        <v>842976.51</v>
      </c>
      <c r="W1715" s="9">
        <v>108508.4</v>
      </c>
    </row>
    <row r="1716" ht="15.75" customHeight="1">
      <c r="A1716" s="9">
        <v>2437403.0</v>
      </c>
      <c r="B1716" s="9">
        <v>51391.4</v>
      </c>
      <c r="C1716" s="9">
        <v>43328.0</v>
      </c>
      <c r="D1716" s="9" t="s">
        <v>52</v>
      </c>
      <c r="E1716" s="9" t="s">
        <v>111</v>
      </c>
      <c r="F1716" s="9">
        <v>2437403.0</v>
      </c>
      <c r="G1716" s="9">
        <v>51391.4</v>
      </c>
      <c r="H1716" s="9">
        <v>53759.99</v>
      </c>
      <c r="I1716" s="9">
        <v>0.0</v>
      </c>
      <c r="J1716" s="9">
        <v>0.0</v>
      </c>
      <c r="K1716" s="9">
        <v>0.0</v>
      </c>
      <c r="L1716" s="9" t="s">
        <v>59</v>
      </c>
      <c r="M1716" s="9" t="s">
        <v>55</v>
      </c>
      <c r="R1716" s="9" t="s">
        <v>94</v>
      </c>
      <c r="S1716" s="9" t="s">
        <v>57</v>
      </c>
      <c r="T1716" s="9" t="s">
        <v>95</v>
      </c>
    </row>
    <row r="1717" ht="15.75" customHeight="1">
      <c r="A1717" s="9">
        <v>2437404.0</v>
      </c>
      <c r="B1717" s="9">
        <v>182871.51</v>
      </c>
      <c r="C1717" s="9">
        <v>43424.0</v>
      </c>
      <c r="D1717" s="9" t="s">
        <v>52</v>
      </c>
      <c r="E1717" s="9" t="s">
        <v>111</v>
      </c>
      <c r="F1717" s="9">
        <v>2437404.0</v>
      </c>
      <c r="G1717" s="9">
        <v>182871.51</v>
      </c>
      <c r="H1717" s="9">
        <v>186181.77</v>
      </c>
      <c r="I1717" s="9">
        <v>0.0</v>
      </c>
      <c r="J1717" s="9">
        <v>0.0</v>
      </c>
      <c r="K1717" s="9">
        <v>0.0</v>
      </c>
      <c r="L1717" s="9" t="s">
        <v>59</v>
      </c>
      <c r="M1717" s="9" t="s">
        <v>55</v>
      </c>
      <c r="R1717" s="9" t="s">
        <v>94</v>
      </c>
      <c r="S1717" s="9" t="s">
        <v>57</v>
      </c>
      <c r="T1717" s="9" t="s">
        <v>95</v>
      </c>
    </row>
    <row r="1718" ht="15.75" customHeight="1">
      <c r="A1718" s="9">
        <v>2437618.0</v>
      </c>
      <c r="B1718" s="9">
        <v>347615.58</v>
      </c>
      <c r="C1718" s="9">
        <v>43254.0</v>
      </c>
      <c r="D1718" s="9" t="s">
        <v>52</v>
      </c>
      <c r="E1718" s="9" t="s">
        <v>111</v>
      </c>
      <c r="F1718" s="9">
        <v>2437618.0</v>
      </c>
      <c r="G1718" s="9">
        <v>347615.58</v>
      </c>
      <c r="H1718" s="9">
        <v>353990.64</v>
      </c>
      <c r="I1718" s="9">
        <v>9173.35</v>
      </c>
      <c r="J1718" s="9">
        <v>0.0</v>
      </c>
      <c r="K1718" s="9">
        <v>0.0</v>
      </c>
      <c r="L1718" s="9" t="s">
        <v>59</v>
      </c>
      <c r="M1718" s="9" t="s">
        <v>55</v>
      </c>
      <c r="R1718" s="9" t="s">
        <v>56</v>
      </c>
      <c r="S1718" s="9" t="s">
        <v>57</v>
      </c>
      <c r="T1718" s="9" t="s">
        <v>58</v>
      </c>
    </row>
    <row r="1719" ht="15.75" customHeight="1">
      <c r="A1719" s="9">
        <v>2437685.0</v>
      </c>
      <c r="B1719" s="9">
        <v>202003.89</v>
      </c>
      <c r="C1719" s="9">
        <v>43300.0</v>
      </c>
      <c r="D1719" s="9" t="s">
        <v>52</v>
      </c>
      <c r="E1719" s="9" t="s">
        <v>111</v>
      </c>
      <c r="F1719" s="9">
        <v>2437685.0</v>
      </c>
      <c r="G1719" s="9">
        <v>202003.89</v>
      </c>
      <c r="H1719" s="9">
        <v>206885.49</v>
      </c>
      <c r="I1719" s="9">
        <v>0.0</v>
      </c>
      <c r="J1719" s="9">
        <v>0.0</v>
      </c>
      <c r="K1719" s="9">
        <v>0.0</v>
      </c>
      <c r="L1719" s="9" t="s">
        <v>59</v>
      </c>
      <c r="M1719" s="9" t="s">
        <v>55</v>
      </c>
      <c r="R1719" s="9" t="s">
        <v>94</v>
      </c>
      <c r="S1719" s="9" t="s">
        <v>57</v>
      </c>
      <c r="T1719" s="9" t="s">
        <v>95</v>
      </c>
    </row>
    <row r="1720" ht="15.75" customHeight="1">
      <c r="A1720" s="9">
        <v>2437686.0</v>
      </c>
      <c r="B1720" s="9">
        <v>102537.88</v>
      </c>
      <c r="C1720" s="9">
        <v>43149.0</v>
      </c>
      <c r="D1720" s="9" t="s">
        <v>52</v>
      </c>
      <c r="E1720" s="9" t="s">
        <v>111</v>
      </c>
      <c r="F1720" s="9">
        <v>2437686.0</v>
      </c>
      <c r="G1720" s="9">
        <v>102537.88</v>
      </c>
      <c r="H1720" s="9">
        <v>106420.88</v>
      </c>
      <c r="I1720" s="9">
        <v>0.0</v>
      </c>
      <c r="J1720" s="9">
        <v>0.0</v>
      </c>
      <c r="K1720" s="9">
        <v>0.0</v>
      </c>
      <c r="L1720" s="9" t="s">
        <v>59</v>
      </c>
      <c r="M1720" s="9" t="s">
        <v>55</v>
      </c>
      <c r="R1720" s="9" t="s">
        <v>94</v>
      </c>
      <c r="S1720" s="9" t="s">
        <v>57</v>
      </c>
      <c r="T1720" s="9" t="s">
        <v>95</v>
      </c>
    </row>
    <row r="1721" ht="15.75" customHeight="1">
      <c r="A1721" s="9">
        <v>2438504.0</v>
      </c>
      <c r="B1721" s="9">
        <v>169790.36</v>
      </c>
      <c r="C1721" s="9">
        <v>43086.0</v>
      </c>
      <c r="D1721" s="9" t="s">
        <v>52</v>
      </c>
      <c r="E1721" s="9" t="s">
        <v>111</v>
      </c>
      <c r="F1721" s="9">
        <v>2438504.0</v>
      </c>
      <c r="G1721" s="9">
        <v>169790.36</v>
      </c>
      <c r="H1721" s="9">
        <v>174334.16</v>
      </c>
      <c r="I1721" s="9">
        <v>5473.89</v>
      </c>
      <c r="J1721" s="9">
        <v>0.0</v>
      </c>
      <c r="K1721" s="9">
        <v>0.0</v>
      </c>
      <c r="L1721" s="9" t="s">
        <v>59</v>
      </c>
      <c r="M1721" s="9" t="s">
        <v>55</v>
      </c>
      <c r="R1721" s="9" t="s">
        <v>94</v>
      </c>
      <c r="S1721" s="9" t="s">
        <v>57</v>
      </c>
      <c r="T1721" s="9" t="s">
        <v>95</v>
      </c>
    </row>
    <row r="1722" ht="15.75" customHeight="1">
      <c r="A1722" s="9">
        <v>2438507.0</v>
      </c>
      <c r="B1722" s="9">
        <v>82815.75</v>
      </c>
      <c r="C1722" s="9">
        <v>43075.0</v>
      </c>
      <c r="D1722" s="9" t="s">
        <v>52</v>
      </c>
      <c r="E1722" s="9" t="s">
        <v>111</v>
      </c>
      <c r="F1722" s="9">
        <v>2438507.0</v>
      </c>
      <c r="G1722" s="9">
        <v>82815.75</v>
      </c>
      <c r="H1722" s="9">
        <v>86222.15</v>
      </c>
      <c r="I1722" s="9">
        <v>3236.11</v>
      </c>
      <c r="J1722" s="9">
        <v>0.0</v>
      </c>
      <c r="K1722" s="9">
        <v>0.0</v>
      </c>
      <c r="L1722" s="9" t="s">
        <v>59</v>
      </c>
      <c r="M1722" s="9" t="s">
        <v>55</v>
      </c>
      <c r="R1722" s="9" t="s">
        <v>94</v>
      </c>
      <c r="S1722" s="9" t="s">
        <v>57</v>
      </c>
      <c r="T1722" s="9" t="s">
        <v>95</v>
      </c>
    </row>
    <row r="1723" ht="15.75" customHeight="1">
      <c r="A1723" s="9">
        <v>2438658.0</v>
      </c>
      <c r="B1723" s="9">
        <v>91657.86</v>
      </c>
      <c r="C1723" s="9">
        <v>43391.0</v>
      </c>
      <c r="D1723" s="9" t="s">
        <v>52</v>
      </c>
      <c r="E1723" s="9" t="s">
        <v>111</v>
      </c>
      <c r="F1723" s="9">
        <v>2438658.0</v>
      </c>
      <c r="G1723" s="9">
        <v>91657.86</v>
      </c>
      <c r="H1723" s="9">
        <v>94490.26</v>
      </c>
      <c r="I1723" s="9">
        <v>0.0</v>
      </c>
      <c r="J1723" s="9">
        <v>0.0</v>
      </c>
      <c r="K1723" s="9">
        <v>0.0</v>
      </c>
      <c r="L1723" s="9" t="s">
        <v>59</v>
      </c>
      <c r="M1723" s="9" t="s">
        <v>55</v>
      </c>
      <c r="R1723" s="9" t="s">
        <v>94</v>
      </c>
      <c r="S1723" s="9" t="s">
        <v>57</v>
      </c>
      <c r="T1723" s="9" t="s">
        <v>95</v>
      </c>
    </row>
    <row r="1724" ht="15.75" customHeight="1">
      <c r="A1724" s="9">
        <v>2438689.0</v>
      </c>
      <c r="B1724" s="9">
        <v>96551.17</v>
      </c>
      <c r="C1724" s="9">
        <v>43106.0</v>
      </c>
      <c r="D1724" s="9" t="s">
        <v>52</v>
      </c>
      <c r="E1724" s="9" t="s">
        <v>111</v>
      </c>
      <c r="F1724" s="9">
        <v>2438689.0</v>
      </c>
      <c r="G1724" s="9">
        <v>96551.17</v>
      </c>
      <c r="H1724" s="9">
        <v>98354.67</v>
      </c>
      <c r="I1724" s="9">
        <v>1347.3</v>
      </c>
      <c r="J1724" s="9">
        <v>0.0</v>
      </c>
      <c r="K1724" s="9">
        <v>0.0</v>
      </c>
      <c r="L1724" s="9" t="s">
        <v>69</v>
      </c>
      <c r="M1724" s="9" t="s">
        <v>55</v>
      </c>
      <c r="R1724" s="9" t="s">
        <v>94</v>
      </c>
      <c r="S1724" s="9" t="s">
        <v>57</v>
      </c>
      <c r="T1724" s="9" t="s">
        <v>95</v>
      </c>
    </row>
    <row r="1725" ht="15.75" customHeight="1">
      <c r="A1725" s="9">
        <v>2438708.0</v>
      </c>
      <c r="B1725" s="9">
        <v>36923.28</v>
      </c>
      <c r="C1725" s="9">
        <v>43193.0</v>
      </c>
      <c r="D1725" s="9" t="s">
        <v>52</v>
      </c>
      <c r="E1725" s="9" t="s">
        <v>111</v>
      </c>
      <c r="F1725" s="9">
        <v>2438708.0</v>
      </c>
      <c r="G1725" s="9">
        <v>36923.28</v>
      </c>
      <c r="H1725" s="9">
        <v>40275.15</v>
      </c>
      <c r="I1725" s="9">
        <v>2100.0</v>
      </c>
      <c r="J1725" s="9">
        <v>0.0</v>
      </c>
      <c r="K1725" s="9">
        <v>0.0</v>
      </c>
      <c r="L1725" s="9" t="s">
        <v>59</v>
      </c>
      <c r="M1725" s="9" t="s">
        <v>55</v>
      </c>
      <c r="R1725" s="9" t="s">
        <v>56</v>
      </c>
      <c r="S1725" s="9" t="s">
        <v>57</v>
      </c>
      <c r="T1725" s="9" t="s">
        <v>58</v>
      </c>
    </row>
    <row r="1726" ht="15.75" customHeight="1">
      <c r="A1726" s="9">
        <v>2438721.0</v>
      </c>
      <c r="B1726" s="9">
        <v>204396.96</v>
      </c>
      <c r="C1726" s="9">
        <v>43189.0</v>
      </c>
      <c r="D1726" s="9" t="s">
        <v>52</v>
      </c>
      <c r="E1726" s="9" t="s">
        <v>111</v>
      </c>
      <c r="F1726" s="9">
        <v>2438721.0</v>
      </c>
      <c r="G1726" s="9">
        <v>204396.96</v>
      </c>
      <c r="H1726" s="9">
        <v>209757.5</v>
      </c>
      <c r="I1726" s="9">
        <v>0.0</v>
      </c>
      <c r="J1726" s="9">
        <v>0.0</v>
      </c>
      <c r="K1726" s="9">
        <v>0.0</v>
      </c>
      <c r="L1726" s="9" t="s">
        <v>59</v>
      </c>
      <c r="M1726" s="9" t="s">
        <v>55</v>
      </c>
      <c r="R1726" s="9" t="s">
        <v>70</v>
      </c>
      <c r="S1726" s="9" t="s">
        <v>57</v>
      </c>
      <c r="T1726" s="9" t="s">
        <v>71</v>
      </c>
    </row>
    <row r="1727" ht="15.75" customHeight="1">
      <c r="A1727" s="9">
        <v>2437695.0</v>
      </c>
      <c r="B1727" s="9">
        <v>86908.18</v>
      </c>
      <c r="C1727" s="9">
        <v>43125.0</v>
      </c>
      <c r="D1727" s="9" t="s">
        <v>52</v>
      </c>
      <c r="E1727" s="9" t="s">
        <v>111</v>
      </c>
      <c r="F1727" s="9">
        <v>2437695.0</v>
      </c>
      <c r="G1727" s="9">
        <v>86908.18</v>
      </c>
      <c r="H1727" s="9">
        <v>88746.18</v>
      </c>
      <c r="I1727" s="9">
        <v>0.0</v>
      </c>
      <c r="J1727" s="9">
        <v>0.0</v>
      </c>
      <c r="K1727" s="9">
        <v>0.0</v>
      </c>
      <c r="L1727" s="9" t="s">
        <v>59</v>
      </c>
      <c r="M1727" s="9" t="s">
        <v>55</v>
      </c>
      <c r="R1727" s="9" t="s">
        <v>56</v>
      </c>
      <c r="S1727" s="9" t="s">
        <v>57</v>
      </c>
      <c r="T1727" s="9" t="s">
        <v>58</v>
      </c>
    </row>
    <row r="1728" ht="15.75" customHeight="1">
      <c r="A1728" s="9">
        <v>2438512.0</v>
      </c>
      <c r="B1728" s="9">
        <v>225900.37</v>
      </c>
      <c r="C1728" s="9">
        <v>43085.0</v>
      </c>
      <c r="D1728" s="9" t="s">
        <v>52</v>
      </c>
      <c r="E1728" s="9" t="s">
        <v>111</v>
      </c>
      <c r="F1728" s="9">
        <v>2438512.0</v>
      </c>
      <c r="G1728" s="9">
        <v>225900.37</v>
      </c>
      <c r="H1728" s="9">
        <v>230444.17</v>
      </c>
      <c r="I1728" s="9">
        <v>8224.28</v>
      </c>
      <c r="J1728" s="9">
        <v>0.0</v>
      </c>
      <c r="K1728" s="9">
        <v>0.0</v>
      </c>
      <c r="L1728" s="9" t="s">
        <v>59</v>
      </c>
      <c r="M1728" s="9" t="s">
        <v>55</v>
      </c>
      <c r="R1728" s="9" t="s">
        <v>56</v>
      </c>
      <c r="S1728" s="9" t="s">
        <v>57</v>
      </c>
      <c r="T1728" s="9" t="s">
        <v>58</v>
      </c>
    </row>
    <row r="1729" ht="15.75" customHeight="1">
      <c r="A1729" s="9">
        <v>2438665.0</v>
      </c>
      <c r="B1729" s="9">
        <v>125335.82</v>
      </c>
      <c r="C1729" s="9">
        <v>43235.0</v>
      </c>
      <c r="D1729" s="9" t="s">
        <v>52</v>
      </c>
      <c r="E1729" s="9" t="s">
        <v>111</v>
      </c>
      <c r="F1729" s="9">
        <v>2438665.0</v>
      </c>
      <c r="G1729" s="9">
        <v>125335.82</v>
      </c>
      <c r="H1729" s="9">
        <v>127139.32</v>
      </c>
      <c r="I1729" s="9">
        <v>1476.96</v>
      </c>
      <c r="J1729" s="9">
        <v>0.0</v>
      </c>
      <c r="K1729" s="9">
        <v>0.0</v>
      </c>
      <c r="L1729" s="9" t="s">
        <v>59</v>
      </c>
      <c r="M1729" s="9" t="s">
        <v>55</v>
      </c>
      <c r="R1729" s="9" t="s">
        <v>56</v>
      </c>
      <c r="S1729" s="9" t="s">
        <v>57</v>
      </c>
      <c r="T1729" s="9" t="s">
        <v>58</v>
      </c>
    </row>
    <row r="1730" ht="15.75" customHeight="1">
      <c r="A1730" s="9">
        <v>2438697.0</v>
      </c>
      <c r="B1730" s="9">
        <v>199898.17</v>
      </c>
      <c r="C1730" s="9">
        <v>43108.0</v>
      </c>
      <c r="D1730" s="9" t="s">
        <v>52</v>
      </c>
      <c r="E1730" s="9" t="s">
        <v>111</v>
      </c>
      <c r="F1730" s="9">
        <v>2438697.0</v>
      </c>
      <c r="G1730" s="9">
        <v>199898.17</v>
      </c>
      <c r="H1730" s="9">
        <v>204098.17</v>
      </c>
      <c r="I1730" s="9">
        <v>0.0</v>
      </c>
      <c r="J1730" s="9">
        <v>0.0</v>
      </c>
      <c r="K1730" s="9">
        <v>0.0</v>
      </c>
      <c r="L1730" s="9" t="s">
        <v>69</v>
      </c>
      <c r="M1730" s="9" t="s">
        <v>55</v>
      </c>
      <c r="R1730" s="9" t="s">
        <v>94</v>
      </c>
      <c r="S1730" s="9" t="s">
        <v>57</v>
      </c>
      <c r="T1730" s="9" t="s">
        <v>95</v>
      </c>
    </row>
    <row r="1731" ht="15.75" customHeight="1">
      <c r="A1731" s="9">
        <v>2438716.0</v>
      </c>
      <c r="B1731" s="9">
        <v>156788.49</v>
      </c>
      <c r="C1731" s="9">
        <v>43186.0</v>
      </c>
      <c r="D1731" s="9" t="s">
        <v>52</v>
      </c>
      <c r="E1731" s="9" t="s">
        <v>111</v>
      </c>
      <c r="F1731" s="9">
        <v>2438716.0</v>
      </c>
      <c r="G1731" s="9">
        <v>156788.49</v>
      </c>
      <c r="H1731" s="9">
        <v>158937.96</v>
      </c>
      <c r="I1731" s="9">
        <v>4091.7</v>
      </c>
      <c r="J1731" s="9">
        <v>0.0</v>
      </c>
      <c r="K1731" s="9">
        <v>0.0</v>
      </c>
      <c r="L1731" s="9" t="s">
        <v>59</v>
      </c>
      <c r="M1731" s="9" t="s">
        <v>55</v>
      </c>
      <c r="R1731" s="9" t="s">
        <v>56</v>
      </c>
      <c r="S1731" s="9" t="s">
        <v>57</v>
      </c>
      <c r="T1731" s="9" t="s">
        <v>58</v>
      </c>
    </row>
    <row r="1732" ht="15.75" customHeight="1">
      <c r="A1732" s="9">
        <v>2439214.0</v>
      </c>
      <c r="B1732" s="9">
        <v>55313.45</v>
      </c>
      <c r="C1732" s="9">
        <v>43433.0</v>
      </c>
      <c r="D1732" s="9" t="s">
        <v>52</v>
      </c>
      <c r="E1732" s="9" t="s">
        <v>111</v>
      </c>
      <c r="F1732" s="9">
        <v>2439214.0</v>
      </c>
      <c r="G1732" s="9">
        <v>55313.45</v>
      </c>
      <c r="H1732" s="9">
        <v>56748.25</v>
      </c>
      <c r="I1732" s="9">
        <v>2100.0</v>
      </c>
      <c r="J1732" s="9">
        <v>0.0</v>
      </c>
      <c r="K1732" s="9">
        <v>0.0</v>
      </c>
      <c r="L1732" s="9" t="s">
        <v>59</v>
      </c>
      <c r="M1732" s="9" t="s">
        <v>55</v>
      </c>
      <c r="R1732" s="9" t="s">
        <v>94</v>
      </c>
      <c r="S1732" s="9" t="s">
        <v>57</v>
      </c>
      <c r="T1732" s="9" t="s">
        <v>95</v>
      </c>
    </row>
    <row r="1733" ht="15.75" customHeight="1">
      <c r="A1733" s="9">
        <v>2439216.0</v>
      </c>
      <c r="B1733" s="9">
        <v>90229.74</v>
      </c>
      <c r="C1733" s="9">
        <v>43161.0</v>
      </c>
      <c r="D1733" s="9" t="s">
        <v>52</v>
      </c>
      <c r="E1733" s="9" t="s">
        <v>111</v>
      </c>
      <c r="F1733" s="9">
        <v>2439216.0</v>
      </c>
      <c r="G1733" s="9">
        <v>90229.74</v>
      </c>
      <c r="H1733" s="9">
        <v>91664.74</v>
      </c>
      <c r="I1733" s="9">
        <v>0.0</v>
      </c>
      <c r="J1733" s="9">
        <v>0.0</v>
      </c>
      <c r="K1733" s="9">
        <v>0.0</v>
      </c>
      <c r="L1733" s="9" t="s">
        <v>59</v>
      </c>
      <c r="M1733" s="9" t="s">
        <v>55</v>
      </c>
      <c r="R1733" s="9" t="s">
        <v>94</v>
      </c>
      <c r="S1733" s="9" t="s">
        <v>57</v>
      </c>
      <c r="T1733" s="9" t="s">
        <v>95</v>
      </c>
    </row>
    <row r="1734" ht="15.75" customHeight="1">
      <c r="A1734" s="9">
        <v>2439233.0</v>
      </c>
      <c r="B1734" s="9">
        <v>182789.32</v>
      </c>
      <c r="C1734" s="9">
        <v>43314.0</v>
      </c>
      <c r="D1734" s="9" t="s">
        <v>52</v>
      </c>
      <c r="E1734" s="9" t="s">
        <v>111</v>
      </c>
      <c r="F1734" s="9">
        <v>2439233.0</v>
      </c>
      <c r="G1734" s="9">
        <v>182789.32</v>
      </c>
      <c r="H1734" s="9">
        <v>188244.42</v>
      </c>
      <c r="I1734" s="9">
        <v>0.0</v>
      </c>
      <c r="J1734" s="9">
        <v>0.0</v>
      </c>
      <c r="K1734" s="9">
        <v>0.0</v>
      </c>
      <c r="L1734" s="9" t="s">
        <v>59</v>
      </c>
      <c r="M1734" s="9" t="s">
        <v>55</v>
      </c>
      <c r="R1734" s="9" t="s">
        <v>75</v>
      </c>
      <c r="S1734" s="9" t="s">
        <v>57</v>
      </c>
      <c r="T1734" s="9" t="s">
        <v>76</v>
      </c>
    </row>
    <row r="1735" ht="15.75" customHeight="1">
      <c r="A1735" s="9">
        <v>2439284.0</v>
      </c>
      <c r="B1735" s="9">
        <v>328817.44</v>
      </c>
      <c r="C1735" s="9">
        <v>43425.0</v>
      </c>
      <c r="D1735" s="9" t="s">
        <v>52</v>
      </c>
      <c r="E1735" s="9" t="s">
        <v>111</v>
      </c>
      <c r="F1735" s="9">
        <v>2439284.0</v>
      </c>
      <c r="G1735" s="9">
        <v>328817.44</v>
      </c>
      <c r="H1735" s="9">
        <v>334200.24</v>
      </c>
      <c r="I1735" s="9">
        <v>15828.0</v>
      </c>
      <c r="J1735" s="9">
        <v>0.0</v>
      </c>
      <c r="K1735" s="9">
        <v>0.0</v>
      </c>
      <c r="L1735" s="9" t="s">
        <v>59</v>
      </c>
      <c r="M1735" s="9" t="s">
        <v>55</v>
      </c>
      <c r="R1735" s="9" t="s">
        <v>56</v>
      </c>
      <c r="S1735" s="9" t="s">
        <v>57</v>
      </c>
      <c r="T1735" s="9" t="s">
        <v>58</v>
      </c>
    </row>
    <row r="1736" ht="15.75" customHeight="1">
      <c r="A1736" s="9">
        <v>2439318.0</v>
      </c>
      <c r="B1736" s="9">
        <v>143773.66</v>
      </c>
      <c r="C1736" s="9">
        <v>43095.0</v>
      </c>
      <c r="D1736" s="9" t="s">
        <v>52</v>
      </c>
      <c r="E1736" s="9" t="s">
        <v>111</v>
      </c>
      <c r="F1736" s="9">
        <v>2439318.0</v>
      </c>
      <c r="G1736" s="9">
        <v>143773.66</v>
      </c>
      <c r="H1736" s="9">
        <v>148448.16</v>
      </c>
      <c r="I1736" s="9">
        <v>0.0</v>
      </c>
      <c r="J1736" s="9">
        <v>0.0</v>
      </c>
      <c r="K1736" s="9">
        <v>0.0</v>
      </c>
      <c r="L1736" s="9" t="s">
        <v>59</v>
      </c>
      <c r="M1736" s="9" t="s">
        <v>55</v>
      </c>
      <c r="R1736" s="9" t="s">
        <v>94</v>
      </c>
      <c r="S1736" s="9" t="s">
        <v>57</v>
      </c>
      <c r="T1736" s="9" t="s">
        <v>95</v>
      </c>
    </row>
    <row r="1737" ht="15.75" customHeight="1">
      <c r="A1737" s="9">
        <v>2439331.0</v>
      </c>
      <c r="B1737" s="9">
        <v>203575.9</v>
      </c>
      <c r="C1737" s="9">
        <v>43192.0</v>
      </c>
      <c r="D1737" s="9" t="s">
        <v>52</v>
      </c>
      <c r="E1737" s="9" t="s">
        <v>111</v>
      </c>
      <c r="F1737" s="9">
        <v>2439331.0</v>
      </c>
      <c r="G1737" s="9">
        <v>203575.9</v>
      </c>
      <c r="H1737" s="9">
        <v>210226.14</v>
      </c>
      <c r="I1737" s="9">
        <v>7446.18</v>
      </c>
      <c r="J1737" s="9">
        <v>0.0</v>
      </c>
      <c r="K1737" s="9">
        <v>0.0</v>
      </c>
      <c r="L1737" s="9" t="s">
        <v>59</v>
      </c>
      <c r="M1737" s="9" t="s">
        <v>55</v>
      </c>
      <c r="R1737" s="9" t="s">
        <v>56</v>
      </c>
      <c r="S1737" s="9" t="s">
        <v>57</v>
      </c>
      <c r="T1737" s="9" t="s">
        <v>58</v>
      </c>
    </row>
    <row r="1738" ht="15.75" customHeight="1">
      <c r="A1738" s="9">
        <v>2439333.0</v>
      </c>
      <c r="B1738" s="9">
        <v>100636.14</v>
      </c>
      <c r="C1738" s="9">
        <v>43311.0</v>
      </c>
      <c r="D1738" s="9" t="s">
        <v>52</v>
      </c>
      <c r="E1738" s="9" t="s">
        <v>111</v>
      </c>
      <c r="F1738" s="9">
        <v>2439333.0</v>
      </c>
      <c r="G1738" s="9">
        <v>100636.14</v>
      </c>
      <c r="H1738" s="9">
        <v>104221.94</v>
      </c>
      <c r="I1738" s="9">
        <v>0.0</v>
      </c>
      <c r="J1738" s="9">
        <v>0.0</v>
      </c>
      <c r="K1738" s="9">
        <v>0.0</v>
      </c>
      <c r="L1738" s="9" t="s">
        <v>59</v>
      </c>
      <c r="M1738" s="9" t="s">
        <v>55</v>
      </c>
      <c r="R1738" s="9" t="s">
        <v>94</v>
      </c>
      <c r="S1738" s="9" t="s">
        <v>57</v>
      </c>
      <c r="T1738" s="9" t="s">
        <v>95</v>
      </c>
    </row>
    <row r="1739" ht="15.75" customHeight="1">
      <c r="A1739" s="9">
        <v>2439348.0</v>
      </c>
      <c r="B1739" s="9">
        <v>95163.21</v>
      </c>
      <c r="C1739" s="9">
        <v>43340.0</v>
      </c>
      <c r="D1739" s="9" t="s">
        <v>52</v>
      </c>
      <c r="E1739" s="9" t="s">
        <v>111</v>
      </c>
      <c r="F1739" s="9">
        <v>2439348.0</v>
      </c>
      <c r="G1739" s="9">
        <v>95163.21</v>
      </c>
      <c r="H1739" s="9">
        <v>97641.71</v>
      </c>
      <c r="I1739" s="9">
        <v>1875.62</v>
      </c>
      <c r="J1739" s="9">
        <v>0.0</v>
      </c>
      <c r="K1739" s="9">
        <v>0.0</v>
      </c>
      <c r="L1739" s="9" t="s">
        <v>59</v>
      </c>
      <c r="M1739" s="9" t="s">
        <v>55</v>
      </c>
      <c r="R1739" s="9" t="s">
        <v>94</v>
      </c>
      <c r="S1739" s="9" t="s">
        <v>57</v>
      </c>
      <c r="T1739" s="9" t="s">
        <v>95</v>
      </c>
    </row>
    <row r="1740" ht="15.75" customHeight="1">
      <c r="A1740" s="9">
        <v>2439350.0</v>
      </c>
      <c r="B1740" s="9">
        <v>46582.01</v>
      </c>
      <c r="C1740" s="9">
        <v>43244.0</v>
      </c>
      <c r="D1740" s="9" t="s">
        <v>52</v>
      </c>
      <c r="E1740" s="9" t="s">
        <v>111</v>
      </c>
      <c r="F1740" s="9">
        <v>2439350.0</v>
      </c>
      <c r="G1740" s="9">
        <v>46582.01</v>
      </c>
      <c r="H1740" s="9">
        <v>48385.51</v>
      </c>
      <c r="I1740" s="9">
        <v>2180.0</v>
      </c>
      <c r="J1740" s="9">
        <v>0.0</v>
      </c>
      <c r="K1740" s="9">
        <v>0.0</v>
      </c>
      <c r="L1740" s="9" t="s">
        <v>59</v>
      </c>
      <c r="M1740" s="9" t="s">
        <v>55</v>
      </c>
      <c r="R1740" s="9" t="s">
        <v>94</v>
      </c>
      <c r="S1740" s="9" t="s">
        <v>57</v>
      </c>
      <c r="T1740" s="9" t="s">
        <v>95</v>
      </c>
    </row>
    <row r="1741" ht="15.75" customHeight="1">
      <c r="A1741" s="9">
        <v>2439401.0</v>
      </c>
      <c r="B1741" s="9">
        <v>132432.6</v>
      </c>
      <c r="C1741" s="9">
        <v>43306.0</v>
      </c>
      <c r="D1741" s="9" t="s">
        <v>52</v>
      </c>
      <c r="E1741" s="9" t="s">
        <v>111</v>
      </c>
      <c r="F1741" s="9">
        <v>2439401.0</v>
      </c>
      <c r="G1741" s="9">
        <v>132432.6</v>
      </c>
      <c r="H1741" s="9">
        <v>136728.5</v>
      </c>
      <c r="I1741" s="9">
        <v>0.0</v>
      </c>
      <c r="J1741" s="9">
        <v>0.0</v>
      </c>
      <c r="K1741" s="9">
        <v>0.0</v>
      </c>
      <c r="L1741" s="9" t="s">
        <v>59</v>
      </c>
      <c r="M1741" s="9" t="s">
        <v>55</v>
      </c>
      <c r="R1741" s="9" t="s">
        <v>75</v>
      </c>
      <c r="S1741" s="9" t="s">
        <v>57</v>
      </c>
      <c r="T1741" s="9" t="s">
        <v>76</v>
      </c>
    </row>
    <row r="1742" ht="15.75" customHeight="1">
      <c r="A1742" s="9">
        <v>2439448.0</v>
      </c>
      <c r="B1742" s="9">
        <v>121010.31</v>
      </c>
      <c r="C1742" s="9">
        <v>43283.0</v>
      </c>
      <c r="D1742" s="9" t="s">
        <v>52</v>
      </c>
      <c r="E1742" s="9" t="s">
        <v>111</v>
      </c>
      <c r="F1742" s="9">
        <v>2439448.0</v>
      </c>
      <c r="G1742" s="9">
        <v>121010.31</v>
      </c>
      <c r="H1742" s="9">
        <v>125787.69</v>
      </c>
      <c r="I1742" s="9">
        <v>0.0</v>
      </c>
      <c r="J1742" s="9">
        <v>0.0</v>
      </c>
      <c r="K1742" s="9">
        <v>0.0</v>
      </c>
      <c r="L1742" s="9" t="s">
        <v>59</v>
      </c>
      <c r="M1742" s="9" t="s">
        <v>55</v>
      </c>
      <c r="R1742" s="9" t="s">
        <v>75</v>
      </c>
      <c r="S1742" s="9" t="s">
        <v>57</v>
      </c>
      <c r="T1742" s="9" t="s">
        <v>76</v>
      </c>
    </row>
    <row r="1743" ht="15.75" customHeight="1">
      <c r="A1743" s="9">
        <v>2439450.0</v>
      </c>
      <c r="B1743" s="9">
        <v>150387.07</v>
      </c>
      <c r="C1743" s="9">
        <v>43281.0</v>
      </c>
      <c r="D1743" s="9" t="s">
        <v>52</v>
      </c>
      <c r="E1743" s="9" t="s">
        <v>111</v>
      </c>
      <c r="F1743" s="9">
        <v>2439450.0</v>
      </c>
      <c r="G1743" s="9">
        <v>150387.07</v>
      </c>
      <c r="H1743" s="9">
        <v>155359.45</v>
      </c>
      <c r="I1743" s="9">
        <v>0.0</v>
      </c>
      <c r="J1743" s="9">
        <v>0.0</v>
      </c>
      <c r="K1743" s="9">
        <v>0.0</v>
      </c>
      <c r="L1743" s="9" t="s">
        <v>59</v>
      </c>
      <c r="M1743" s="9" t="s">
        <v>55</v>
      </c>
      <c r="R1743" s="9" t="s">
        <v>141</v>
      </c>
      <c r="S1743" s="9" t="s">
        <v>101</v>
      </c>
      <c r="T1743" s="9" t="s">
        <v>142</v>
      </c>
    </row>
    <row r="1744" ht="15.75" customHeight="1">
      <c r="A1744" s="9">
        <v>2440003.0</v>
      </c>
      <c r="B1744" s="9">
        <v>257847.14</v>
      </c>
      <c r="C1744" s="9">
        <v>43414.0</v>
      </c>
      <c r="D1744" s="9" t="s">
        <v>52</v>
      </c>
      <c r="E1744" s="9" t="s">
        <v>111</v>
      </c>
      <c r="F1744" s="9">
        <v>2440003.0</v>
      </c>
      <c r="G1744" s="9">
        <v>257847.14</v>
      </c>
      <c r="H1744" s="9">
        <v>263633.13</v>
      </c>
      <c r="I1744" s="9">
        <v>0.0</v>
      </c>
      <c r="J1744" s="9">
        <v>0.0</v>
      </c>
      <c r="K1744" s="9">
        <v>0.0</v>
      </c>
      <c r="L1744" s="9" t="s">
        <v>59</v>
      </c>
      <c r="M1744" s="9" t="s">
        <v>55</v>
      </c>
      <c r="R1744" s="9" t="s">
        <v>70</v>
      </c>
      <c r="S1744" s="9" t="s">
        <v>57</v>
      </c>
      <c r="T1744" s="9" t="s">
        <v>71</v>
      </c>
    </row>
    <row r="1745" ht="15.75" customHeight="1">
      <c r="A1745" s="9">
        <v>2440033.0</v>
      </c>
      <c r="B1745" s="9">
        <v>337398.18</v>
      </c>
      <c r="C1745" s="9">
        <v>43079.0</v>
      </c>
      <c r="D1745" s="9" t="s">
        <v>52</v>
      </c>
      <c r="E1745" s="9" t="s">
        <v>111</v>
      </c>
      <c r="F1745" s="9">
        <v>2440033.0</v>
      </c>
      <c r="G1745" s="9">
        <v>337398.18</v>
      </c>
      <c r="H1745" s="9">
        <v>343372.58</v>
      </c>
      <c r="I1745" s="9">
        <v>0.0</v>
      </c>
      <c r="J1745" s="9">
        <v>0.0</v>
      </c>
      <c r="K1745" s="9">
        <v>0.0</v>
      </c>
      <c r="L1745" s="9" t="s">
        <v>59</v>
      </c>
      <c r="M1745" s="9" t="s">
        <v>55</v>
      </c>
      <c r="R1745" s="9" t="s">
        <v>70</v>
      </c>
      <c r="S1745" s="9" t="s">
        <v>57</v>
      </c>
      <c r="T1745" s="9" t="s">
        <v>71</v>
      </c>
    </row>
    <row r="1746" ht="15.75" customHeight="1">
      <c r="A1746" s="9">
        <v>2440035.0</v>
      </c>
      <c r="B1746" s="9">
        <v>78905.12</v>
      </c>
      <c r="C1746" s="9">
        <v>43141.0</v>
      </c>
      <c r="D1746" s="9" t="s">
        <v>52</v>
      </c>
      <c r="E1746" s="9" t="s">
        <v>111</v>
      </c>
      <c r="F1746" s="9">
        <v>2440035.0</v>
      </c>
      <c r="G1746" s="9">
        <v>78905.12</v>
      </c>
      <c r="H1746" s="9">
        <v>82684.12</v>
      </c>
      <c r="I1746" s="9">
        <v>3896.0</v>
      </c>
      <c r="J1746" s="9">
        <v>0.0</v>
      </c>
      <c r="K1746" s="9">
        <v>0.0</v>
      </c>
      <c r="L1746" s="9" t="s">
        <v>59</v>
      </c>
      <c r="M1746" s="9" t="s">
        <v>55</v>
      </c>
      <c r="R1746" s="9" t="s">
        <v>56</v>
      </c>
      <c r="S1746" s="9" t="s">
        <v>57</v>
      </c>
      <c r="T1746" s="9" t="s">
        <v>58</v>
      </c>
    </row>
    <row r="1747" ht="15.75" customHeight="1">
      <c r="A1747" s="9">
        <v>2440484.0</v>
      </c>
      <c r="B1747" s="9">
        <v>270622.08</v>
      </c>
      <c r="C1747" s="9">
        <v>43092.0</v>
      </c>
      <c r="D1747" s="9" t="s">
        <v>52</v>
      </c>
      <c r="E1747" s="9" t="s">
        <v>111</v>
      </c>
      <c r="F1747" s="9">
        <v>2440484.0</v>
      </c>
      <c r="G1747" s="9">
        <v>270622.08</v>
      </c>
      <c r="H1747" s="9">
        <v>275939.58</v>
      </c>
      <c r="I1747" s="9">
        <v>3117.63</v>
      </c>
      <c r="J1747" s="9">
        <v>0.0</v>
      </c>
      <c r="K1747" s="9">
        <v>0.0</v>
      </c>
      <c r="L1747" s="9" t="s">
        <v>59</v>
      </c>
      <c r="M1747" s="9" t="s">
        <v>55</v>
      </c>
      <c r="R1747" s="9" t="s">
        <v>75</v>
      </c>
      <c r="S1747" s="9" t="s">
        <v>57</v>
      </c>
      <c r="T1747" s="9" t="s">
        <v>76</v>
      </c>
    </row>
    <row r="1748" ht="15.75" customHeight="1">
      <c r="A1748" s="9">
        <v>2440488.0</v>
      </c>
      <c r="B1748" s="9">
        <v>94253.44</v>
      </c>
      <c r="C1748" s="9">
        <v>43222.0</v>
      </c>
      <c r="D1748" s="9" t="s">
        <v>52</v>
      </c>
      <c r="E1748" s="9" t="s">
        <v>111</v>
      </c>
      <c r="F1748" s="9">
        <v>2440488.0</v>
      </c>
      <c r="G1748" s="9">
        <v>94253.44</v>
      </c>
      <c r="H1748" s="9">
        <v>96056.94</v>
      </c>
      <c r="I1748" s="9">
        <v>4400.0</v>
      </c>
      <c r="J1748" s="9">
        <v>0.0</v>
      </c>
      <c r="K1748" s="9">
        <v>0.0</v>
      </c>
      <c r="L1748" s="9" t="s">
        <v>59</v>
      </c>
      <c r="M1748" s="9" t="s">
        <v>55</v>
      </c>
      <c r="R1748" s="9" t="s">
        <v>56</v>
      </c>
      <c r="S1748" s="9" t="s">
        <v>57</v>
      </c>
      <c r="T1748" s="9" t="s">
        <v>58</v>
      </c>
    </row>
    <row r="1749" ht="15.75" customHeight="1">
      <c r="A1749" s="9">
        <v>2304530.0</v>
      </c>
      <c r="B1749" s="9">
        <v>3.912173E7</v>
      </c>
      <c r="C1749" s="9">
        <v>39056.0</v>
      </c>
      <c r="D1749" s="9" t="s">
        <v>52</v>
      </c>
      <c r="E1749" s="9" t="s">
        <v>53</v>
      </c>
      <c r="F1749" s="9">
        <v>299948.0</v>
      </c>
      <c r="G1749" s="9">
        <v>0.0</v>
      </c>
      <c r="H1749" s="9">
        <v>6.394435396E7</v>
      </c>
      <c r="I1749" s="9">
        <v>302802.46</v>
      </c>
      <c r="J1749" s="9">
        <v>0.0</v>
      </c>
      <c r="K1749" s="9">
        <v>602014.0</v>
      </c>
      <c r="L1749" s="9" t="s">
        <v>59</v>
      </c>
      <c r="M1749" s="9" t="s">
        <v>116</v>
      </c>
      <c r="R1749" s="9" t="s">
        <v>63</v>
      </c>
      <c r="S1749" s="9" t="s">
        <v>63</v>
      </c>
    </row>
    <row r="1750" ht="15.75" customHeight="1">
      <c r="A1750" s="9">
        <v>2309846.0</v>
      </c>
      <c r="B1750" s="9">
        <v>1.25654086E8</v>
      </c>
      <c r="C1750" s="9">
        <v>46809.0</v>
      </c>
      <c r="D1750" s="9" t="s">
        <v>52</v>
      </c>
      <c r="E1750" s="9" t="s">
        <v>88</v>
      </c>
      <c r="F1750" s="9">
        <v>333160.0</v>
      </c>
      <c r="H1750" s="9">
        <v>1.529112237E8</v>
      </c>
      <c r="I1750" s="9">
        <v>5.818074815E7</v>
      </c>
      <c r="J1750" s="9">
        <v>5.179900934E7</v>
      </c>
      <c r="K1750" s="9">
        <v>5.2209426E7</v>
      </c>
      <c r="L1750" s="9" t="s">
        <v>59</v>
      </c>
      <c r="M1750" s="9" t="s">
        <v>55</v>
      </c>
      <c r="N1750" s="9">
        <v>1.4017359741E8</v>
      </c>
      <c r="O1750" s="9">
        <v>1.3693009728E8</v>
      </c>
      <c r="P1750" s="9">
        <v>6211376.11</v>
      </c>
      <c r="Q1750" s="9">
        <v>5590238.5</v>
      </c>
      <c r="R1750" s="9" t="s">
        <v>131</v>
      </c>
      <c r="S1750" s="9" t="s">
        <v>82</v>
      </c>
      <c r="T1750" s="9" t="s">
        <v>132</v>
      </c>
    </row>
    <row r="1751" ht="15.75" customHeight="1">
      <c r="A1751" s="9">
        <v>2310161.0</v>
      </c>
      <c r="B1751" s="9">
        <v>5774173.0</v>
      </c>
      <c r="C1751" s="9">
        <v>42575.0</v>
      </c>
      <c r="D1751" s="9" t="s">
        <v>52</v>
      </c>
      <c r="E1751" s="9" t="s">
        <v>53</v>
      </c>
      <c r="F1751" s="9">
        <v>337545.0</v>
      </c>
      <c r="G1751" s="9">
        <v>502154.44</v>
      </c>
      <c r="H1751" s="9">
        <v>502154.44</v>
      </c>
      <c r="I1751" s="9">
        <v>441018.98</v>
      </c>
      <c r="J1751" s="9">
        <v>0.0</v>
      </c>
      <c r="K1751" s="9">
        <v>0.0</v>
      </c>
      <c r="L1751" s="9" t="s">
        <v>69</v>
      </c>
      <c r="M1751" s="9" t="s">
        <v>55</v>
      </c>
      <c r="N1751" s="9">
        <v>454810.14</v>
      </c>
      <c r="O1751" s="9">
        <v>385432.32</v>
      </c>
      <c r="R1751" s="9" t="s">
        <v>94</v>
      </c>
      <c r="S1751" s="9" t="s">
        <v>57</v>
      </c>
      <c r="T1751" s="9" t="s">
        <v>95</v>
      </c>
    </row>
    <row r="1752" ht="15.75" customHeight="1">
      <c r="A1752" s="9">
        <v>2315375.0</v>
      </c>
      <c r="B1752" s="9">
        <v>3387196.0</v>
      </c>
      <c r="C1752" s="9">
        <v>45899.0</v>
      </c>
      <c r="D1752" s="9" t="s">
        <v>52</v>
      </c>
      <c r="E1752" s="9" t="s">
        <v>53</v>
      </c>
      <c r="F1752" s="9">
        <v>352812.0</v>
      </c>
      <c r="G1752" s="9">
        <v>6178416.21</v>
      </c>
      <c r="H1752" s="9">
        <v>6463095.8</v>
      </c>
      <c r="I1752" s="9">
        <v>6002865.12</v>
      </c>
      <c r="J1752" s="9">
        <v>0.0</v>
      </c>
      <c r="K1752" s="9">
        <v>0.0</v>
      </c>
      <c r="L1752" s="9" t="s">
        <v>59</v>
      </c>
      <c r="M1752" s="9" t="s">
        <v>55</v>
      </c>
      <c r="N1752" s="9">
        <v>6062205.6</v>
      </c>
      <c r="O1752" s="9">
        <v>5880950.0</v>
      </c>
      <c r="P1752" s="9">
        <v>277390.0</v>
      </c>
      <c r="Q1752" s="9">
        <v>249651.0</v>
      </c>
      <c r="R1752" s="9" t="s">
        <v>119</v>
      </c>
      <c r="S1752" s="9" t="s">
        <v>120</v>
      </c>
      <c r="T1752" s="9" t="s">
        <v>121</v>
      </c>
      <c r="V1752" s="9">
        <v>6056440.88</v>
      </c>
      <c r="W1752" s="9">
        <v>247685.91</v>
      </c>
      <c r="X1752" s="9">
        <v>0.0</v>
      </c>
    </row>
    <row r="1753" ht="15.75" customHeight="1">
      <c r="A1753" s="9">
        <v>2322731.0</v>
      </c>
      <c r="B1753" s="9">
        <v>2.8835688E7</v>
      </c>
      <c r="C1753" s="9">
        <v>46815.0</v>
      </c>
      <c r="D1753" s="9" t="s">
        <v>52</v>
      </c>
      <c r="E1753" s="9" t="s">
        <v>53</v>
      </c>
      <c r="F1753" s="9">
        <v>359653.0</v>
      </c>
      <c r="G1753" s="9">
        <v>3.001697573E7</v>
      </c>
      <c r="H1753" s="9">
        <v>3.513900168E7</v>
      </c>
      <c r="I1753" s="9">
        <v>3.47495736E7</v>
      </c>
      <c r="J1753" s="9">
        <v>659046.91</v>
      </c>
      <c r="K1753" s="9">
        <v>695999.0</v>
      </c>
      <c r="L1753" s="9" t="s">
        <v>59</v>
      </c>
      <c r="M1753" s="9" t="s">
        <v>55</v>
      </c>
      <c r="N1753" s="9">
        <v>2.803993071E7</v>
      </c>
      <c r="O1753" s="9">
        <v>2.803993071E7</v>
      </c>
      <c r="P1753" s="9">
        <v>1308441.67</v>
      </c>
      <c r="Q1753" s="9">
        <v>1177597.51</v>
      </c>
      <c r="R1753" s="9" t="s">
        <v>60</v>
      </c>
      <c r="S1753" s="9" t="s">
        <v>57</v>
      </c>
      <c r="T1753" s="9" t="s">
        <v>61</v>
      </c>
      <c r="V1753" s="9">
        <v>3.237121598E7</v>
      </c>
      <c r="W1753" s="9">
        <v>1691460.66</v>
      </c>
      <c r="X1753" s="9">
        <v>0.0</v>
      </c>
    </row>
    <row r="1754" ht="15.75" customHeight="1">
      <c r="A1754" s="9">
        <v>2322829.0</v>
      </c>
      <c r="B1754" s="9">
        <v>7275087.0</v>
      </c>
      <c r="C1754" s="9">
        <v>47198.0</v>
      </c>
      <c r="D1754" s="9" t="s">
        <v>52</v>
      </c>
      <c r="E1754" s="9" t="s">
        <v>53</v>
      </c>
      <c r="F1754" s="9">
        <v>359743.0</v>
      </c>
      <c r="G1754" s="9">
        <v>7225433.39</v>
      </c>
      <c r="H1754" s="9">
        <v>7088119.03</v>
      </c>
      <c r="I1754" s="9">
        <v>3930769.46</v>
      </c>
      <c r="J1754" s="9">
        <v>170874.0</v>
      </c>
      <c r="K1754" s="9">
        <v>3788873.0</v>
      </c>
      <c r="L1754" s="9" t="s">
        <v>59</v>
      </c>
      <c r="M1754" s="9" t="s">
        <v>55</v>
      </c>
      <c r="N1754" s="9">
        <v>7087505.66</v>
      </c>
      <c r="O1754" s="9">
        <v>6606996.8</v>
      </c>
      <c r="P1754" s="9">
        <v>354375.27</v>
      </c>
      <c r="Q1754" s="9">
        <v>270286.23</v>
      </c>
      <c r="R1754" s="9" t="s">
        <v>63</v>
      </c>
      <c r="S1754" s="9" t="s">
        <v>63</v>
      </c>
    </row>
    <row r="1755" ht="15.75" customHeight="1">
      <c r="A1755" s="9">
        <v>2325237.0</v>
      </c>
      <c r="B1755" s="9">
        <v>6241419.0</v>
      </c>
      <c r="C1755" s="9">
        <v>40304.0</v>
      </c>
      <c r="D1755" s="9" t="s">
        <v>52</v>
      </c>
      <c r="E1755" s="9" t="s">
        <v>53</v>
      </c>
      <c r="F1755" s="9">
        <v>361938.0</v>
      </c>
      <c r="G1755" s="9">
        <v>7082313.28</v>
      </c>
      <c r="H1755" s="9">
        <v>7082313.28</v>
      </c>
      <c r="I1755" s="9">
        <v>6122140.07</v>
      </c>
      <c r="J1755" s="9">
        <v>0.0</v>
      </c>
      <c r="K1755" s="9">
        <v>0.0</v>
      </c>
      <c r="L1755" s="9" t="s">
        <v>69</v>
      </c>
      <c r="M1755" s="9" t="s">
        <v>55</v>
      </c>
      <c r="N1755" s="9">
        <v>6766546.98</v>
      </c>
      <c r="O1755" s="9">
        <v>6090083.09</v>
      </c>
      <c r="P1755" s="9">
        <v>248509.0</v>
      </c>
      <c r="Q1755" s="9">
        <v>248508.92</v>
      </c>
      <c r="R1755" s="9" t="s">
        <v>60</v>
      </c>
      <c r="S1755" s="9" t="s">
        <v>57</v>
      </c>
      <c r="T1755" s="9" t="s">
        <v>61</v>
      </c>
      <c r="V1755" s="9">
        <v>5869951.07</v>
      </c>
      <c r="W1755" s="9">
        <v>250973.98</v>
      </c>
      <c r="X1755" s="9">
        <v>0.0</v>
      </c>
    </row>
    <row r="1756" ht="15.75" customHeight="1">
      <c r="A1756" s="9">
        <v>2326388.0</v>
      </c>
      <c r="B1756" s="9">
        <v>1.0590716E7</v>
      </c>
      <c r="C1756" s="9">
        <v>44252.0</v>
      </c>
      <c r="D1756" s="9" t="s">
        <v>52</v>
      </c>
      <c r="E1756" s="9" t="s">
        <v>53</v>
      </c>
      <c r="F1756" s="9">
        <v>362914.0</v>
      </c>
      <c r="G1756" s="9">
        <v>5866108.19</v>
      </c>
      <c r="H1756" s="9">
        <v>5570923.14</v>
      </c>
      <c r="I1756" s="9">
        <v>5277829.0</v>
      </c>
      <c r="J1756" s="9">
        <v>0.0</v>
      </c>
      <c r="K1756" s="9">
        <v>0.0</v>
      </c>
      <c r="L1756" s="9" t="s">
        <v>69</v>
      </c>
      <c r="M1756" s="9" t="s">
        <v>55</v>
      </c>
      <c r="N1756" s="9">
        <v>5681989.35</v>
      </c>
      <c r="O1756" s="9">
        <v>5113790.43</v>
      </c>
      <c r="P1756" s="9">
        <v>227104.38</v>
      </c>
      <c r="Q1756" s="9">
        <v>204393.95</v>
      </c>
      <c r="R1756" s="9" t="s">
        <v>60</v>
      </c>
      <c r="S1756" s="9" t="s">
        <v>57</v>
      </c>
      <c r="T1756" s="9" t="s">
        <v>61</v>
      </c>
      <c r="V1756" s="9">
        <v>5372971.57</v>
      </c>
      <c r="W1756" s="9">
        <v>197951.57</v>
      </c>
      <c r="X1756" s="9">
        <v>0.0</v>
      </c>
    </row>
    <row r="1757" ht="15.75" customHeight="1">
      <c r="A1757" s="9">
        <v>2327960.0</v>
      </c>
      <c r="B1757" s="9">
        <v>2445855.0</v>
      </c>
      <c r="C1757" s="9">
        <v>41945.0</v>
      </c>
      <c r="D1757" s="9" t="s">
        <v>52</v>
      </c>
      <c r="E1757" s="9" t="s">
        <v>53</v>
      </c>
      <c r="F1757" s="9">
        <v>364346.0</v>
      </c>
      <c r="G1757" s="9">
        <v>1314517.34</v>
      </c>
      <c r="H1757" s="9">
        <v>1489949.12</v>
      </c>
      <c r="I1757" s="9">
        <v>1248240.6</v>
      </c>
      <c r="J1757" s="9">
        <v>0.0</v>
      </c>
      <c r="K1757" s="9">
        <v>0.0</v>
      </c>
      <c r="L1757" s="9" t="s">
        <v>69</v>
      </c>
      <c r="M1757" s="9" t="s">
        <v>55</v>
      </c>
      <c r="N1757" s="9">
        <v>1206517.34</v>
      </c>
      <c r="O1757" s="9">
        <v>1085865.61</v>
      </c>
      <c r="P1757" s="9">
        <v>75000.0</v>
      </c>
      <c r="Q1757" s="9">
        <v>75000.0</v>
      </c>
      <c r="R1757" s="9" t="s">
        <v>60</v>
      </c>
      <c r="S1757" s="9" t="s">
        <v>57</v>
      </c>
      <c r="T1757" s="9" t="s">
        <v>61</v>
      </c>
      <c r="V1757" s="9">
        <v>1173240.57</v>
      </c>
      <c r="W1757" s="9">
        <v>75000.0</v>
      </c>
      <c r="X1757" s="9">
        <v>0.0</v>
      </c>
    </row>
    <row r="1758" ht="15.75" customHeight="1">
      <c r="A1758" s="9">
        <v>2331087.0</v>
      </c>
      <c r="B1758" s="9">
        <v>5.3506712E7</v>
      </c>
      <c r="C1758" s="9">
        <v>46837.0</v>
      </c>
      <c r="D1758" s="9" t="s">
        <v>52</v>
      </c>
      <c r="E1758" s="9" t="s">
        <v>126</v>
      </c>
      <c r="F1758" s="9">
        <v>369620.0</v>
      </c>
      <c r="H1758" s="9">
        <v>1.1972965189E8</v>
      </c>
      <c r="I1758" s="9">
        <v>1.2119791485E8</v>
      </c>
      <c r="J1758" s="9">
        <v>2.332691668E7</v>
      </c>
      <c r="K1758" s="9">
        <v>2.5999806E7</v>
      </c>
      <c r="L1758" s="9" t="s">
        <v>59</v>
      </c>
      <c r="M1758" s="9" t="s">
        <v>62</v>
      </c>
      <c r="N1758" s="9">
        <v>9.1444041E7</v>
      </c>
      <c r="O1758" s="9">
        <v>8.7993617E7</v>
      </c>
      <c r="P1758" s="9">
        <v>9712143.0</v>
      </c>
      <c r="Q1758" s="9">
        <v>4621551.76</v>
      </c>
      <c r="R1758" s="9" t="s">
        <v>131</v>
      </c>
      <c r="S1758" s="9" t="s">
        <v>82</v>
      </c>
      <c r="T1758" s="9" t="s">
        <v>132</v>
      </c>
    </row>
    <row r="1759" ht="15.75" customHeight="1">
      <c r="A1759" s="9">
        <v>2333644.0</v>
      </c>
      <c r="B1759" s="9">
        <v>970769.49</v>
      </c>
      <c r="C1759" s="9">
        <v>45900.0</v>
      </c>
      <c r="D1759" s="9" t="s">
        <v>52</v>
      </c>
      <c r="E1759" s="9" t="s">
        <v>53</v>
      </c>
      <c r="F1759" s="9">
        <v>372904.0</v>
      </c>
      <c r="G1759" s="9">
        <v>1119166.81</v>
      </c>
      <c r="H1759" s="9">
        <v>1269748.43</v>
      </c>
      <c r="I1759" s="9">
        <v>1105760.89</v>
      </c>
      <c r="J1759" s="9">
        <v>0.0</v>
      </c>
      <c r="K1759" s="9">
        <v>0.0</v>
      </c>
      <c r="L1759" s="9" t="s">
        <v>59</v>
      </c>
      <c r="M1759" s="9" t="s">
        <v>55</v>
      </c>
      <c r="N1759" s="9">
        <v>1183644.43</v>
      </c>
      <c r="O1759" s="9">
        <v>1065279.99</v>
      </c>
      <c r="P1759" s="9">
        <v>71104.0</v>
      </c>
      <c r="Q1759" s="9">
        <v>63993.6</v>
      </c>
      <c r="R1759" s="9" t="s">
        <v>56</v>
      </c>
      <c r="S1759" s="9" t="s">
        <v>57</v>
      </c>
      <c r="T1759" s="9" t="s">
        <v>58</v>
      </c>
    </row>
    <row r="1760" ht="15.75" customHeight="1">
      <c r="A1760" s="9">
        <v>2333710.0</v>
      </c>
      <c r="B1760" s="9">
        <v>1146906.375</v>
      </c>
      <c r="C1760" s="9">
        <v>46816.0</v>
      </c>
      <c r="D1760" s="9" t="s">
        <v>52</v>
      </c>
      <c r="E1760" s="9" t="s">
        <v>53</v>
      </c>
      <c r="F1760" s="9">
        <v>372935.0</v>
      </c>
      <c r="G1760" s="9">
        <v>1961641.81</v>
      </c>
      <c r="H1760" s="9">
        <v>1904298.4</v>
      </c>
      <c r="I1760" s="9">
        <v>1887735.04</v>
      </c>
      <c r="J1760" s="9">
        <v>0.0</v>
      </c>
      <c r="K1760" s="9">
        <v>0.0</v>
      </c>
      <c r="L1760" s="9" t="s">
        <v>59</v>
      </c>
      <c r="M1760" s="9" t="s">
        <v>55</v>
      </c>
      <c r="N1760" s="9">
        <v>1928321.08</v>
      </c>
      <c r="O1760" s="9">
        <v>1666973.13</v>
      </c>
      <c r="R1760" s="9" t="s">
        <v>56</v>
      </c>
      <c r="S1760" s="9" t="s">
        <v>57</v>
      </c>
      <c r="T1760" s="9" t="s">
        <v>58</v>
      </c>
      <c r="V1760" s="9">
        <v>1664719.68</v>
      </c>
      <c r="W1760" s="9">
        <v>78638.0</v>
      </c>
      <c r="X1760" s="9">
        <v>0.0</v>
      </c>
    </row>
    <row r="1761" ht="15.75" customHeight="1">
      <c r="A1761" s="9">
        <v>2334329.0</v>
      </c>
      <c r="B1761" s="9">
        <v>2596021.0</v>
      </c>
      <c r="C1761" s="9">
        <v>40584.0</v>
      </c>
      <c r="D1761" s="9" t="s">
        <v>52</v>
      </c>
      <c r="E1761" s="9" t="s">
        <v>53</v>
      </c>
      <c r="F1761" s="9">
        <v>373489.0</v>
      </c>
      <c r="G1761" s="9">
        <v>3370678.79</v>
      </c>
      <c r="H1761" s="9">
        <v>3370678.79</v>
      </c>
      <c r="I1761" s="9">
        <v>3138006.35</v>
      </c>
      <c r="J1761" s="9">
        <v>0.0</v>
      </c>
      <c r="K1761" s="9">
        <v>0.0</v>
      </c>
      <c r="L1761" s="9" t="s">
        <v>69</v>
      </c>
      <c r="M1761" s="9" t="s">
        <v>55</v>
      </c>
      <c r="N1761" s="9">
        <v>3208678.79</v>
      </c>
      <c r="O1761" s="9">
        <v>3208678.79</v>
      </c>
      <c r="R1761" s="9" t="s">
        <v>56</v>
      </c>
      <c r="S1761" s="9" t="s">
        <v>57</v>
      </c>
      <c r="T1761" s="9" t="s">
        <v>58</v>
      </c>
      <c r="V1761" s="9">
        <v>3136006.35</v>
      </c>
      <c r="W1761" s="9">
        <v>0.0</v>
      </c>
      <c r="X1761" s="9">
        <v>0.0</v>
      </c>
    </row>
    <row r="1762" ht="15.75" customHeight="1">
      <c r="A1762" s="9">
        <v>2339943.0</v>
      </c>
      <c r="B1762" s="9">
        <v>1.821058282E7</v>
      </c>
      <c r="C1762" s="9">
        <v>48301.0</v>
      </c>
      <c r="D1762" s="9" t="s">
        <v>52</v>
      </c>
      <c r="E1762" s="9" t="s">
        <v>53</v>
      </c>
      <c r="F1762" s="9">
        <v>378759.0</v>
      </c>
      <c r="H1762" s="9">
        <v>1.821058282E7</v>
      </c>
      <c r="I1762" s="9">
        <v>1.467104681E7</v>
      </c>
      <c r="J1762" s="9">
        <v>459330.11</v>
      </c>
      <c r="K1762" s="9">
        <v>1175584.0</v>
      </c>
      <c r="L1762" s="9" t="s">
        <v>59</v>
      </c>
      <c r="M1762" s="9" t="s">
        <v>55</v>
      </c>
      <c r="R1762" s="9" t="s">
        <v>96</v>
      </c>
      <c r="S1762" s="9" t="s">
        <v>78</v>
      </c>
      <c r="T1762" s="9" t="s">
        <v>79</v>
      </c>
      <c r="U1762" s="9" t="s">
        <v>97</v>
      </c>
    </row>
    <row r="1763" ht="15.75" customHeight="1">
      <c r="A1763" s="9">
        <v>2352730.0</v>
      </c>
      <c r="B1763" s="9">
        <v>1133346.34</v>
      </c>
      <c r="C1763" s="9">
        <v>45908.0</v>
      </c>
      <c r="D1763" s="9" t="s">
        <v>52</v>
      </c>
      <c r="E1763" s="9" t="s">
        <v>53</v>
      </c>
      <c r="F1763" s="9">
        <v>384216.0</v>
      </c>
      <c r="G1763" s="9">
        <v>0.0</v>
      </c>
      <c r="H1763" s="9">
        <v>3.796685007E7</v>
      </c>
      <c r="I1763" s="9">
        <v>481939.89</v>
      </c>
      <c r="J1763" s="9">
        <v>0.0</v>
      </c>
      <c r="K1763" s="9">
        <v>0.0</v>
      </c>
      <c r="L1763" s="9" t="s">
        <v>59</v>
      </c>
      <c r="M1763" s="9" t="s">
        <v>55</v>
      </c>
      <c r="R1763" s="9" t="s">
        <v>109</v>
      </c>
      <c r="S1763" s="9" t="s">
        <v>78</v>
      </c>
      <c r="T1763" s="9" t="s">
        <v>79</v>
      </c>
      <c r="U1763" s="9" t="s">
        <v>110</v>
      </c>
    </row>
    <row r="1764" ht="15.75" customHeight="1">
      <c r="A1764" s="9">
        <v>2387743.0</v>
      </c>
      <c r="B1764" s="9">
        <v>8590138.16</v>
      </c>
      <c r="C1764" s="9">
        <v>41812.0</v>
      </c>
      <c r="D1764" s="9" t="s">
        <v>52</v>
      </c>
      <c r="E1764" s="9" t="s">
        <v>64</v>
      </c>
      <c r="F1764" s="9">
        <v>2387743.0</v>
      </c>
      <c r="G1764" s="9">
        <v>8590138.16</v>
      </c>
      <c r="H1764" s="9">
        <v>2.728938681E7</v>
      </c>
      <c r="I1764" s="9">
        <v>1530990.98</v>
      </c>
      <c r="J1764" s="9">
        <v>55000.0</v>
      </c>
      <c r="K1764" s="9">
        <v>55000.0</v>
      </c>
      <c r="L1764" s="9" t="s">
        <v>59</v>
      </c>
      <c r="M1764" s="9" t="s">
        <v>65</v>
      </c>
      <c r="N1764" s="9">
        <v>1076391.43</v>
      </c>
      <c r="O1764" s="9">
        <v>968752.29</v>
      </c>
      <c r="R1764" s="9" t="s">
        <v>127</v>
      </c>
      <c r="S1764" s="9" t="s">
        <v>57</v>
      </c>
      <c r="T1764" s="9" t="s">
        <v>128</v>
      </c>
    </row>
    <row r="1765" ht="15.75" customHeight="1">
      <c r="A1765" s="9">
        <v>2409135.0</v>
      </c>
      <c r="B1765" s="9">
        <v>4053052.0</v>
      </c>
      <c r="C1765" s="9">
        <v>47369.0</v>
      </c>
      <c r="D1765" s="9" t="s">
        <v>52</v>
      </c>
      <c r="E1765" s="9" t="s">
        <v>111</v>
      </c>
      <c r="F1765" s="9">
        <v>2409135.0</v>
      </c>
      <c r="H1765" s="9">
        <v>8159926.8</v>
      </c>
      <c r="I1765" s="9">
        <v>2530852.21</v>
      </c>
      <c r="J1765" s="9">
        <v>0.0</v>
      </c>
      <c r="K1765" s="9">
        <v>0.0</v>
      </c>
      <c r="L1765" s="9" t="s">
        <v>59</v>
      </c>
      <c r="M1765" s="9" t="s">
        <v>62</v>
      </c>
      <c r="R1765" s="9" t="s">
        <v>100</v>
      </c>
      <c r="S1765" s="9" t="s">
        <v>101</v>
      </c>
      <c r="T1765" s="9" t="s">
        <v>102</v>
      </c>
    </row>
    <row r="1766" ht="15.75" customHeight="1">
      <c r="A1766" s="9">
        <v>2409901.0</v>
      </c>
      <c r="B1766" s="9">
        <v>1182994.74</v>
      </c>
      <c r="C1766" s="9">
        <v>41831.0</v>
      </c>
      <c r="D1766" s="9" t="s">
        <v>52</v>
      </c>
      <c r="E1766" s="9" t="s">
        <v>53</v>
      </c>
      <c r="F1766" s="9">
        <v>310848.0</v>
      </c>
      <c r="G1766" s="9">
        <v>2657505.89</v>
      </c>
      <c r="H1766" s="9">
        <v>3199663.77</v>
      </c>
      <c r="I1766" s="9">
        <v>3196804.9</v>
      </c>
      <c r="J1766" s="9">
        <v>0.0</v>
      </c>
      <c r="K1766" s="9">
        <v>0.0</v>
      </c>
      <c r="L1766" s="9" t="s">
        <v>59</v>
      </c>
      <c r="M1766" s="9" t="s">
        <v>55</v>
      </c>
      <c r="N1766" s="9">
        <v>2669949.38</v>
      </c>
      <c r="O1766" s="9">
        <v>2218242.46</v>
      </c>
      <c r="P1766" s="9">
        <v>76550.97</v>
      </c>
      <c r="Q1766" s="9">
        <v>58386.34</v>
      </c>
      <c r="R1766" s="9" t="s">
        <v>56</v>
      </c>
      <c r="S1766" s="9" t="s">
        <v>57</v>
      </c>
      <c r="T1766" s="9" t="s">
        <v>58</v>
      </c>
      <c r="V1766" s="9">
        <v>3051619.9</v>
      </c>
      <c r="W1766" s="9">
        <v>124744.54</v>
      </c>
      <c r="X1766" s="9">
        <v>0.0</v>
      </c>
    </row>
    <row r="1767" ht="15.75" customHeight="1">
      <c r="A1767" s="9">
        <v>2410520.0</v>
      </c>
      <c r="B1767" s="9">
        <v>1609268.96</v>
      </c>
      <c r="C1767" s="9">
        <v>45650.0</v>
      </c>
      <c r="D1767" s="9" t="s">
        <v>52</v>
      </c>
      <c r="E1767" s="9" t="s">
        <v>111</v>
      </c>
      <c r="F1767" s="9">
        <v>2410520.0</v>
      </c>
      <c r="H1767" s="9">
        <v>1698163.47</v>
      </c>
      <c r="I1767" s="9">
        <v>1693526.03</v>
      </c>
      <c r="J1767" s="9">
        <v>0.0</v>
      </c>
      <c r="K1767" s="9">
        <v>0.0</v>
      </c>
      <c r="L1767" s="9" t="s">
        <v>59</v>
      </c>
      <c r="M1767" s="9" t="s">
        <v>55</v>
      </c>
      <c r="N1767" s="9">
        <v>1462218.2</v>
      </c>
      <c r="O1767" s="9">
        <v>1270613.73</v>
      </c>
      <c r="P1767" s="9">
        <v>163388.42</v>
      </c>
      <c r="Q1767" s="9">
        <v>0.0</v>
      </c>
      <c r="R1767" s="9" t="s">
        <v>72</v>
      </c>
      <c r="S1767" s="9" t="s">
        <v>57</v>
      </c>
      <c r="T1767" s="9" t="s">
        <v>73</v>
      </c>
    </row>
    <row r="1768" ht="15.75" customHeight="1">
      <c r="A1768" s="9">
        <v>2428087.0</v>
      </c>
      <c r="B1768" s="9">
        <v>3.7528583831E8</v>
      </c>
      <c r="C1768" s="9">
        <v>47159.0</v>
      </c>
      <c r="D1768" s="9" t="s">
        <v>52</v>
      </c>
      <c r="E1768" s="9" t="s">
        <v>103</v>
      </c>
      <c r="F1768" s="9">
        <v>2428087.0</v>
      </c>
      <c r="H1768" s="9">
        <v>3.7660708337E8</v>
      </c>
      <c r="I1768" s="9">
        <v>1.830158749E7</v>
      </c>
      <c r="J1768" s="9">
        <v>417518.23</v>
      </c>
      <c r="K1768" s="9">
        <v>5.8932112E7</v>
      </c>
      <c r="L1768" s="9" t="s">
        <v>59</v>
      </c>
      <c r="M1768" s="9" t="s">
        <v>55</v>
      </c>
      <c r="N1768" s="9">
        <v>0.0</v>
      </c>
      <c r="O1768" s="9">
        <v>0.0</v>
      </c>
      <c r="R1768" s="9" t="s">
        <v>100</v>
      </c>
      <c r="S1768" s="9" t="s">
        <v>101</v>
      </c>
      <c r="T1768" s="9" t="s">
        <v>102</v>
      </c>
    </row>
    <row r="1769" ht="15.75" customHeight="1">
      <c r="A1769" s="9">
        <v>2435086.0</v>
      </c>
      <c r="B1769" s="9">
        <v>3959966.0</v>
      </c>
      <c r="C1769" s="9">
        <v>45648.0</v>
      </c>
      <c r="D1769" s="9" t="s">
        <v>52</v>
      </c>
      <c r="E1769" s="9" t="s">
        <v>111</v>
      </c>
      <c r="F1769" s="9">
        <v>2435086.0</v>
      </c>
      <c r="H1769" s="9">
        <v>3959966.0</v>
      </c>
      <c r="I1769" s="9">
        <v>2011586.99</v>
      </c>
      <c r="J1769" s="9">
        <v>0.0</v>
      </c>
      <c r="K1769" s="9">
        <v>0.0</v>
      </c>
      <c r="L1769" s="9" t="s">
        <v>59</v>
      </c>
      <c r="M1769" s="9" t="s">
        <v>55</v>
      </c>
      <c r="N1769" s="9">
        <v>3667127.41</v>
      </c>
      <c r="O1769" s="9">
        <v>3300414.68</v>
      </c>
      <c r="R1769" s="9" t="s">
        <v>115</v>
      </c>
      <c r="S1769" s="9" t="s">
        <v>115</v>
      </c>
    </row>
    <row r="1770" ht="15.75" customHeight="1">
      <c r="A1770" s="9">
        <v>2436058.0</v>
      </c>
      <c r="B1770" s="9">
        <v>108227.2</v>
      </c>
      <c r="C1770" s="9">
        <v>43297.0</v>
      </c>
      <c r="D1770" s="9" t="s">
        <v>52</v>
      </c>
      <c r="E1770" s="9" t="s">
        <v>111</v>
      </c>
      <c r="F1770" s="9">
        <v>2436058.0</v>
      </c>
      <c r="G1770" s="9">
        <v>108227.2</v>
      </c>
      <c r="H1770" s="9">
        <v>110835.6</v>
      </c>
      <c r="I1770" s="9">
        <v>3896.0</v>
      </c>
      <c r="J1770" s="9">
        <v>0.0</v>
      </c>
      <c r="K1770" s="9">
        <v>0.0</v>
      </c>
      <c r="L1770" s="9" t="s">
        <v>59</v>
      </c>
      <c r="M1770" s="9" t="s">
        <v>55</v>
      </c>
      <c r="R1770" s="9" t="s">
        <v>94</v>
      </c>
      <c r="S1770" s="9" t="s">
        <v>57</v>
      </c>
      <c r="T1770" s="9" t="s">
        <v>95</v>
      </c>
    </row>
    <row r="1771" ht="15.75" customHeight="1">
      <c r="A1771" s="9">
        <v>2143695.0</v>
      </c>
      <c r="B1771" s="9">
        <v>8991073.0</v>
      </c>
      <c r="C1771" s="9">
        <v>45907.0</v>
      </c>
      <c r="D1771" s="9" t="s">
        <v>52</v>
      </c>
      <c r="E1771" s="9" t="s">
        <v>53</v>
      </c>
      <c r="F1771" s="9">
        <v>138792.0</v>
      </c>
      <c r="G1771" s="9">
        <v>9648143.46</v>
      </c>
      <c r="H1771" s="9">
        <v>6.507915732E7</v>
      </c>
      <c r="I1771" s="9">
        <v>1.024313344E7</v>
      </c>
      <c r="J1771" s="9">
        <v>0.0</v>
      </c>
      <c r="K1771" s="9">
        <v>3500.0</v>
      </c>
      <c r="L1771" s="9" t="s">
        <v>59</v>
      </c>
      <c r="M1771" s="9" t="s">
        <v>74</v>
      </c>
      <c r="N1771" s="9">
        <v>399990.68</v>
      </c>
      <c r="O1771" s="9">
        <v>399990.68</v>
      </c>
      <c r="P1771" s="9">
        <v>196556.14</v>
      </c>
      <c r="Q1771" s="9">
        <v>196556.14</v>
      </c>
      <c r="R1771" s="9" t="s">
        <v>66</v>
      </c>
      <c r="S1771" s="9" t="s">
        <v>67</v>
      </c>
      <c r="T1771" s="9" t="s">
        <v>68</v>
      </c>
    </row>
    <row r="1772" ht="15.75" customHeight="1">
      <c r="A1772" s="9">
        <v>2146603.0</v>
      </c>
      <c r="B1772" s="9">
        <v>296658.36</v>
      </c>
      <c r="C1772" s="9">
        <v>31074.0</v>
      </c>
      <c r="D1772" s="9" t="s">
        <v>52</v>
      </c>
      <c r="E1772" s="9" t="s">
        <v>53</v>
      </c>
      <c r="F1772" s="9">
        <v>187533.0</v>
      </c>
      <c r="G1772" s="9">
        <v>296658.36</v>
      </c>
      <c r="H1772" s="9">
        <v>296658.36</v>
      </c>
      <c r="I1772" s="9">
        <v>288657.4</v>
      </c>
      <c r="J1772" s="9">
        <v>0.0</v>
      </c>
      <c r="K1772" s="9">
        <v>0.0</v>
      </c>
      <c r="L1772" s="9" t="s">
        <v>69</v>
      </c>
      <c r="M1772" s="9" t="s">
        <v>55</v>
      </c>
      <c r="R1772" s="9" t="s">
        <v>60</v>
      </c>
      <c r="S1772" s="9" t="s">
        <v>57</v>
      </c>
      <c r="T1772" s="9" t="s">
        <v>61</v>
      </c>
      <c r="V1772" s="9">
        <v>294657.4</v>
      </c>
      <c r="W1772" s="9">
        <v>0.0</v>
      </c>
      <c r="X1772" s="9">
        <v>0.0</v>
      </c>
    </row>
    <row r="1773" ht="15.75" customHeight="1">
      <c r="A1773" s="9">
        <v>2147035.0</v>
      </c>
      <c r="B1773" s="9">
        <v>5188868.0</v>
      </c>
      <c r="C1773" s="9">
        <v>31556.0</v>
      </c>
      <c r="D1773" s="9" t="s">
        <v>52</v>
      </c>
      <c r="E1773" s="9" t="s">
        <v>53</v>
      </c>
      <c r="F1773" s="9">
        <v>175324.0</v>
      </c>
      <c r="G1773" s="9">
        <v>6674527.69</v>
      </c>
      <c r="H1773" s="9">
        <v>6692327.7</v>
      </c>
      <c r="I1773" s="9">
        <v>6506346.58</v>
      </c>
      <c r="J1773" s="9">
        <v>0.0</v>
      </c>
      <c r="K1773" s="9">
        <v>0.0</v>
      </c>
      <c r="L1773" s="9" t="s">
        <v>59</v>
      </c>
      <c r="M1773" s="9" t="s">
        <v>55</v>
      </c>
      <c r="N1773" s="9">
        <v>6150938.39</v>
      </c>
      <c r="O1773" s="9">
        <v>6150938.39</v>
      </c>
      <c r="P1773" s="9">
        <v>184528.15</v>
      </c>
      <c r="Q1773" s="9">
        <v>184528.15</v>
      </c>
      <c r="R1773" s="9" t="s">
        <v>77</v>
      </c>
      <c r="S1773" s="9" t="s">
        <v>78</v>
      </c>
      <c r="T1773" s="9" t="s">
        <v>79</v>
      </c>
      <c r="U1773" s="9" t="s">
        <v>80</v>
      </c>
    </row>
    <row r="1774" ht="15.75" customHeight="1">
      <c r="A1774" s="9">
        <v>2147403.0</v>
      </c>
      <c r="B1774" s="9">
        <v>2035463.0</v>
      </c>
      <c r="C1774" s="9">
        <v>30802.0</v>
      </c>
      <c r="D1774" s="9" t="s">
        <v>52</v>
      </c>
      <c r="E1774" s="9" t="s">
        <v>53</v>
      </c>
      <c r="F1774" s="9">
        <v>177520.0</v>
      </c>
      <c r="G1774" s="9">
        <v>2015961.41</v>
      </c>
      <c r="H1774" s="9">
        <v>2015961.41</v>
      </c>
      <c r="I1774" s="9">
        <v>2064285.0</v>
      </c>
      <c r="J1774" s="9">
        <v>0.0</v>
      </c>
      <c r="K1774" s="9">
        <v>0.0</v>
      </c>
      <c r="L1774" s="9" t="s">
        <v>69</v>
      </c>
      <c r="M1774" s="9" t="s">
        <v>55</v>
      </c>
      <c r="N1774" s="9">
        <v>1933386.46</v>
      </c>
      <c r="O1774" s="9">
        <v>1933386.46</v>
      </c>
      <c r="P1774" s="9">
        <v>70275.0</v>
      </c>
      <c r="Q1774" s="9">
        <v>70275.0</v>
      </c>
      <c r="R1774" s="9" t="s">
        <v>60</v>
      </c>
      <c r="S1774" s="9" t="s">
        <v>57</v>
      </c>
      <c r="T1774" s="9" t="s">
        <v>61</v>
      </c>
      <c r="V1774" s="9">
        <v>2029498.31</v>
      </c>
      <c r="W1774" s="9">
        <v>70274.99</v>
      </c>
      <c r="X1774" s="9">
        <v>0.0</v>
      </c>
    </row>
    <row r="1775" ht="15.75" customHeight="1">
      <c r="A1775" s="9">
        <v>2147839.0</v>
      </c>
      <c r="B1775" s="9">
        <v>666827.18</v>
      </c>
      <c r="C1775" s="9">
        <v>30563.0</v>
      </c>
      <c r="D1775" s="9" t="s">
        <v>52</v>
      </c>
      <c r="E1775" s="9" t="s">
        <v>53</v>
      </c>
      <c r="F1775" s="9">
        <v>189373.0</v>
      </c>
      <c r="G1775" s="9">
        <v>666827.18</v>
      </c>
      <c r="H1775" s="9">
        <v>666827.18</v>
      </c>
      <c r="I1775" s="9">
        <v>662776.61</v>
      </c>
      <c r="J1775" s="9">
        <v>0.0</v>
      </c>
      <c r="K1775" s="9">
        <v>0.0</v>
      </c>
      <c r="L1775" s="9" t="s">
        <v>69</v>
      </c>
      <c r="M1775" s="9" t="s">
        <v>55</v>
      </c>
      <c r="N1775" s="9">
        <v>622841.22</v>
      </c>
      <c r="O1775" s="9">
        <v>622841.22</v>
      </c>
      <c r="P1775" s="9">
        <v>622841.22</v>
      </c>
      <c r="Q1775" s="9">
        <v>21992.98</v>
      </c>
      <c r="R1775" s="9" t="s">
        <v>60</v>
      </c>
      <c r="S1775" s="9" t="s">
        <v>57</v>
      </c>
      <c r="T1775" s="9" t="s">
        <v>61</v>
      </c>
      <c r="V1775" s="9">
        <v>619256.63</v>
      </c>
      <c r="W1775" s="9">
        <v>21992.98</v>
      </c>
      <c r="X1775" s="9">
        <v>0.0</v>
      </c>
    </row>
    <row r="1776" ht="15.75" customHeight="1">
      <c r="A1776" s="9">
        <v>2148807.0</v>
      </c>
      <c r="B1776" s="9">
        <v>1633835.0</v>
      </c>
      <c r="C1776" s="9">
        <v>26350.0</v>
      </c>
      <c r="D1776" s="9" t="s">
        <v>52</v>
      </c>
      <c r="E1776" s="9" t="s">
        <v>53</v>
      </c>
      <c r="F1776" s="9">
        <v>191495.0</v>
      </c>
      <c r="G1776" s="9">
        <v>1635284.04</v>
      </c>
      <c r="H1776" s="9">
        <v>1635284.04</v>
      </c>
      <c r="I1776" s="9">
        <v>1633817.55</v>
      </c>
      <c r="J1776" s="9">
        <v>0.0</v>
      </c>
      <c r="K1776" s="9">
        <v>0.0</v>
      </c>
      <c r="L1776" s="9" t="s">
        <v>69</v>
      </c>
      <c r="M1776" s="9" t="s">
        <v>55</v>
      </c>
      <c r="N1776" s="9">
        <v>1106667.0</v>
      </c>
      <c r="O1776" s="9">
        <v>1106667.0</v>
      </c>
      <c r="P1776" s="9">
        <v>34645.88</v>
      </c>
      <c r="Q1776" s="9">
        <v>34645.88</v>
      </c>
      <c r="R1776" s="9" t="s">
        <v>60</v>
      </c>
      <c r="S1776" s="9" t="s">
        <v>57</v>
      </c>
      <c r="T1776" s="9" t="s">
        <v>61</v>
      </c>
      <c r="V1776" s="9">
        <v>1633835.0</v>
      </c>
      <c r="W1776" s="9">
        <v>0.0</v>
      </c>
      <c r="X1776" s="9">
        <v>0.0</v>
      </c>
    </row>
    <row r="1777" ht="15.75" customHeight="1">
      <c r="A1777" s="9">
        <v>2149309.0</v>
      </c>
      <c r="B1777" s="9">
        <v>2656628.0</v>
      </c>
      <c r="C1777" s="9">
        <v>37493.0</v>
      </c>
      <c r="D1777" s="9" t="s">
        <v>52</v>
      </c>
      <c r="E1777" s="9" t="s">
        <v>53</v>
      </c>
      <c r="F1777" s="9">
        <v>76235.0</v>
      </c>
      <c r="G1777" s="9">
        <v>6589555.0</v>
      </c>
      <c r="H1777" s="9">
        <v>6589555.0</v>
      </c>
      <c r="I1777" s="9">
        <v>6044476.84</v>
      </c>
      <c r="J1777" s="9">
        <v>0.0</v>
      </c>
      <c r="K1777" s="9">
        <v>0.0</v>
      </c>
      <c r="L1777" s="9" t="s">
        <v>69</v>
      </c>
      <c r="M1777" s="9" t="s">
        <v>55</v>
      </c>
      <c r="N1777" s="9">
        <v>6162411.77</v>
      </c>
      <c r="O1777" s="9">
        <v>5719755.49</v>
      </c>
      <c r="P1777" s="9">
        <v>210718.1</v>
      </c>
      <c r="Q1777" s="9">
        <v>196432.0</v>
      </c>
      <c r="R1777" s="9" t="s">
        <v>60</v>
      </c>
      <c r="S1777" s="9" t="s">
        <v>57</v>
      </c>
      <c r="T1777" s="9" t="s">
        <v>61</v>
      </c>
      <c r="V1777" s="9">
        <v>5723256.94</v>
      </c>
      <c r="W1777" s="9">
        <v>245538.4</v>
      </c>
      <c r="X1777" s="9">
        <v>0.0</v>
      </c>
    </row>
    <row r="1778" ht="15.75" customHeight="1">
      <c r="A1778" s="9">
        <v>2150954.0</v>
      </c>
      <c r="B1778" s="9">
        <v>1.4712988E7</v>
      </c>
      <c r="C1778" s="9">
        <v>26619.0</v>
      </c>
      <c r="D1778" s="9" t="s">
        <v>52</v>
      </c>
      <c r="E1778" s="9" t="s">
        <v>53</v>
      </c>
      <c r="F1778" s="9">
        <v>168705.0</v>
      </c>
      <c r="G1778" s="9">
        <v>1.481990036E7</v>
      </c>
      <c r="H1778" s="9">
        <v>1.414618194E7</v>
      </c>
      <c r="I1778" s="9">
        <v>1.639595704E7</v>
      </c>
      <c r="J1778" s="9">
        <v>0.0</v>
      </c>
      <c r="K1778" s="9">
        <v>0.0</v>
      </c>
      <c r="L1778" s="9" t="s">
        <v>59</v>
      </c>
      <c r="M1778" s="9" t="s">
        <v>55</v>
      </c>
      <c r="N1778" s="9">
        <v>1.321558098E7</v>
      </c>
      <c r="O1778" s="9">
        <v>1.321558098E7</v>
      </c>
      <c r="P1778" s="9">
        <v>554818.0</v>
      </c>
      <c r="Q1778" s="9">
        <v>554818.0</v>
      </c>
      <c r="R1778" s="9" t="s">
        <v>60</v>
      </c>
      <c r="S1778" s="9" t="s">
        <v>57</v>
      </c>
      <c r="T1778" s="9" t="s">
        <v>61</v>
      </c>
      <c r="V1778" s="9">
        <v>1.555554823E7</v>
      </c>
      <c r="W1778" s="9">
        <v>0.0</v>
      </c>
      <c r="X1778" s="9">
        <v>0.0</v>
      </c>
    </row>
    <row r="1779" ht="15.75" customHeight="1">
      <c r="A1779" s="9">
        <v>2153930.0</v>
      </c>
      <c r="B1779" s="9">
        <v>3241094.0</v>
      </c>
      <c r="C1779" s="9">
        <v>37244.0</v>
      </c>
      <c r="D1779" s="9" t="s">
        <v>52</v>
      </c>
      <c r="E1779" s="9" t="s">
        <v>53</v>
      </c>
      <c r="F1779" s="9">
        <v>132919.0</v>
      </c>
      <c r="G1779" s="9">
        <v>4068981.72</v>
      </c>
      <c r="H1779" s="9">
        <v>4068981.72</v>
      </c>
      <c r="I1779" s="9">
        <v>3748790.4</v>
      </c>
      <c r="J1779" s="9">
        <v>0.0</v>
      </c>
      <c r="K1779" s="9">
        <v>0.0</v>
      </c>
      <c r="L1779" s="9" t="s">
        <v>59</v>
      </c>
      <c r="M1779" s="9" t="s">
        <v>55</v>
      </c>
      <c r="R1779" s="9" t="s">
        <v>60</v>
      </c>
      <c r="S1779" s="9" t="s">
        <v>57</v>
      </c>
      <c r="T1779" s="9" t="s">
        <v>61</v>
      </c>
      <c r="V1779" s="9">
        <v>3615554.03</v>
      </c>
      <c r="W1779" s="9">
        <v>0.0</v>
      </c>
      <c r="X1779" s="9">
        <v>0.0</v>
      </c>
    </row>
    <row r="1780" ht="15.75" customHeight="1">
      <c r="A1780" s="9">
        <v>2156704.0</v>
      </c>
      <c r="B1780" s="9">
        <v>4116273.0</v>
      </c>
      <c r="C1780" s="9">
        <v>30803.0</v>
      </c>
      <c r="D1780" s="9" t="s">
        <v>52</v>
      </c>
      <c r="E1780" s="9" t="s">
        <v>53</v>
      </c>
      <c r="F1780" s="9">
        <v>97139.0</v>
      </c>
      <c r="G1780" s="9">
        <v>7480924.0</v>
      </c>
      <c r="H1780" s="9">
        <v>7480924.0</v>
      </c>
      <c r="I1780" s="9">
        <v>1087113.0</v>
      </c>
      <c r="J1780" s="9">
        <v>0.0</v>
      </c>
      <c r="K1780" s="9">
        <v>0.0</v>
      </c>
      <c r="L1780" s="9" t="s">
        <v>54</v>
      </c>
      <c r="M1780" s="9" t="s">
        <v>55</v>
      </c>
      <c r="N1780" s="9">
        <v>5999435.58</v>
      </c>
      <c r="O1780" s="9">
        <v>5983918.31</v>
      </c>
      <c r="P1780" s="9">
        <v>179983.0</v>
      </c>
      <c r="Q1780" s="9">
        <v>179983.0</v>
      </c>
      <c r="R1780" s="9" t="s">
        <v>60</v>
      </c>
      <c r="S1780" s="9" t="s">
        <v>57</v>
      </c>
      <c r="T1780" s="9" t="s">
        <v>61</v>
      </c>
      <c r="V1780" s="9">
        <v>6727682.09</v>
      </c>
      <c r="W1780" s="9">
        <v>179937.98</v>
      </c>
      <c r="X1780" s="9">
        <v>0.0</v>
      </c>
    </row>
    <row r="1781" ht="15.75" customHeight="1">
      <c r="A1781" s="9">
        <v>2157797.0</v>
      </c>
      <c r="B1781" s="9">
        <v>2.2731727E7</v>
      </c>
      <c r="C1781" s="9">
        <v>48318.0</v>
      </c>
      <c r="D1781" s="9" t="s">
        <v>52</v>
      </c>
      <c r="E1781" s="9" t="s">
        <v>64</v>
      </c>
      <c r="F1781" s="9">
        <v>143549.0</v>
      </c>
      <c r="G1781" s="9">
        <v>3.6685754E7</v>
      </c>
      <c r="H1781" s="9">
        <v>5.109593105E7</v>
      </c>
      <c r="I1781" s="9">
        <v>4.763889439E7</v>
      </c>
      <c r="J1781" s="9">
        <v>44850.86</v>
      </c>
      <c r="K1781" s="9">
        <v>60000.0</v>
      </c>
      <c r="L1781" s="9" t="s">
        <v>59</v>
      </c>
      <c r="M1781" s="9" t="s">
        <v>74</v>
      </c>
      <c r="N1781" s="9">
        <v>0.0</v>
      </c>
      <c r="O1781" s="9">
        <v>0.0</v>
      </c>
      <c r="R1781" s="9" t="s">
        <v>66</v>
      </c>
      <c r="S1781" s="9" t="s">
        <v>67</v>
      </c>
      <c r="T1781" s="9" t="s">
        <v>68</v>
      </c>
    </row>
    <row r="1782" ht="15.75" customHeight="1">
      <c r="A1782" s="9">
        <v>2158008.0</v>
      </c>
      <c r="B1782" s="9">
        <v>1826187.0</v>
      </c>
      <c r="C1782" s="9">
        <v>31571.0</v>
      </c>
      <c r="D1782" s="9" t="s">
        <v>52</v>
      </c>
      <c r="E1782" s="9" t="s">
        <v>53</v>
      </c>
      <c r="F1782" s="9">
        <v>211008.0</v>
      </c>
      <c r="G1782" s="9">
        <v>1896529.58</v>
      </c>
      <c r="H1782" s="9">
        <v>1896529.58</v>
      </c>
      <c r="I1782" s="9">
        <v>1489192.01</v>
      </c>
      <c r="J1782" s="9">
        <v>0.0</v>
      </c>
      <c r="K1782" s="9">
        <v>0.0</v>
      </c>
      <c r="L1782" s="9" t="s">
        <v>59</v>
      </c>
      <c r="M1782" s="9" t="s">
        <v>55</v>
      </c>
      <c r="R1782" s="9" t="s">
        <v>56</v>
      </c>
      <c r="S1782" s="9" t="s">
        <v>57</v>
      </c>
      <c r="T1782" s="9" t="s">
        <v>58</v>
      </c>
      <c r="V1782" s="9">
        <v>1542486.27</v>
      </c>
      <c r="W1782" s="9">
        <v>0.0</v>
      </c>
      <c r="X1782" s="9">
        <v>0.0</v>
      </c>
    </row>
    <row r="1783" ht="15.75" customHeight="1">
      <c r="A1783" s="9">
        <v>2161852.0</v>
      </c>
      <c r="B1783" s="9">
        <v>6.0048232E7</v>
      </c>
      <c r="C1783" s="9">
        <v>39552.0</v>
      </c>
      <c r="D1783" s="9" t="s">
        <v>52</v>
      </c>
      <c r="E1783" s="9" t="s">
        <v>64</v>
      </c>
      <c r="F1783" s="9">
        <v>110234.0</v>
      </c>
      <c r="G1783" s="9">
        <v>1.1347882302E8</v>
      </c>
      <c r="H1783" s="9">
        <v>9.333874911E7</v>
      </c>
      <c r="I1783" s="9">
        <v>4086889.47</v>
      </c>
      <c r="J1783" s="9">
        <v>72772.45</v>
      </c>
      <c r="K1783" s="9">
        <v>868779.0</v>
      </c>
      <c r="L1783" s="9" t="s">
        <v>59</v>
      </c>
      <c r="M1783" s="9" t="s">
        <v>65</v>
      </c>
      <c r="N1783" s="9">
        <v>1764748.3</v>
      </c>
      <c r="O1783" s="9">
        <v>1588273.47</v>
      </c>
      <c r="R1783" s="9" t="s">
        <v>66</v>
      </c>
      <c r="S1783" s="9" t="s">
        <v>67</v>
      </c>
      <c r="T1783" s="9" t="s">
        <v>68</v>
      </c>
    </row>
    <row r="1784" ht="15.75" customHeight="1">
      <c r="A1784" s="9">
        <v>2163322.0</v>
      </c>
      <c r="B1784" s="9">
        <v>1599326.0</v>
      </c>
      <c r="C1784" s="9">
        <v>30906.0</v>
      </c>
      <c r="D1784" s="9" t="s">
        <v>52</v>
      </c>
      <c r="E1784" s="9" t="s">
        <v>53</v>
      </c>
      <c r="F1784" s="9">
        <v>141934.0</v>
      </c>
      <c r="G1784" s="9">
        <v>2117603.94</v>
      </c>
      <c r="H1784" s="9">
        <v>2117603.94</v>
      </c>
      <c r="I1784" s="9">
        <v>2117598.64</v>
      </c>
      <c r="J1784" s="9">
        <v>0.0</v>
      </c>
      <c r="K1784" s="9">
        <v>0.0</v>
      </c>
      <c r="L1784" s="9" t="s">
        <v>69</v>
      </c>
      <c r="M1784" s="9" t="s">
        <v>55</v>
      </c>
      <c r="N1784" s="9">
        <v>1808073.68</v>
      </c>
      <c r="O1784" s="9">
        <v>1808073.68</v>
      </c>
      <c r="P1784" s="9">
        <v>54200.0</v>
      </c>
      <c r="Q1784" s="9">
        <v>53000.0</v>
      </c>
      <c r="R1784" s="9" t="s">
        <v>60</v>
      </c>
      <c r="S1784" s="9" t="s">
        <v>57</v>
      </c>
      <c r="T1784" s="9" t="s">
        <v>61</v>
      </c>
      <c r="V1784" s="9">
        <v>2117603.94</v>
      </c>
      <c r="W1784" s="9">
        <v>0.0</v>
      </c>
      <c r="X1784" s="9">
        <v>0.0</v>
      </c>
    </row>
    <row r="1785" ht="15.75" customHeight="1">
      <c r="A1785" s="9">
        <v>2165360.0</v>
      </c>
      <c r="B1785" s="9">
        <v>9808352.0</v>
      </c>
      <c r="C1785" s="9">
        <v>32294.0</v>
      </c>
      <c r="D1785" s="9" t="s">
        <v>52</v>
      </c>
      <c r="E1785" s="9" t="s">
        <v>53</v>
      </c>
      <c r="F1785" s="9">
        <v>236980.0</v>
      </c>
      <c r="G1785" s="9">
        <v>8417480.17</v>
      </c>
      <c r="H1785" s="9">
        <v>8417480.17</v>
      </c>
      <c r="I1785" s="9">
        <v>5422057.01</v>
      </c>
      <c r="J1785" s="9">
        <v>0.0</v>
      </c>
      <c r="K1785" s="9">
        <v>0.0</v>
      </c>
      <c r="L1785" s="9" t="s">
        <v>59</v>
      </c>
      <c r="M1785" s="9" t="s">
        <v>55</v>
      </c>
      <c r="N1785" s="9">
        <v>8140600.05</v>
      </c>
      <c r="O1785" s="9">
        <v>8139308.55</v>
      </c>
      <c r="P1785" s="9">
        <v>270000.0</v>
      </c>
      <c r="Q1785" s="9">
        <v>270000.0</v>
      </c>
      <c r="R1785" s="9" t="s">
        <v>60</v>
      </c>
      <c r="S1785" s="9" t="s">
        <v>57</v>
      </c>
      <c r="T1785" s="9" t="s">
        <v>61</v>
      </c>
      <c r="V1785" s="9">
        <v>5152057.01</v>
      </c>
      <c r="W1785" s="9">
        <v>270000.0</v>
      </c>
      <c r="X1785" s="9">
        <v>0.0</v>
      </c>
    </row>
    <row r="1786" ht="15.75" customHeight="1">
      <c r="A1786" s="9">
        <v>2166598.0</v>
      </c>
      <c r="B1786" s="9">
        <v>9931042.0</v>
      </c>
      <c r="C1786" s="9">
        <v>39349.0</v>
      </c>
      <c r="D1786" s="9" t="s">
        <v>52</v>
      </c>
      <c r="E1786" s="9" t="s">
        <v>53</v>
      </c>
      <c r="F1786" s="9">
        <v>216110.0</v>
      </c>
      <c r="G1786" s="9">
        <v>1.107830079E7</v>
      </c>
      <c r="H1786" s="9">
        <v>1.097348243E7</v>
      </c>
      <c r="I1786" s="9">
        <v>1.073255629E7</v>
      </c>
      <c r="J1786" s="9">
        <v>0.0</v>
      </c>
      <c r="K1786" s="9">
        <v>0.0</v>
      </c>
      <c r="L1786" s="9" t="s">
        <v>59</v>
      </c>
      <c r="M1786" s="9" t="s">
        <v>55</v>
      </c>
      <c r="N1786" s="9">
        <v>1.039615079E7</v>
      </c>
      <c r="O1786" s="9">
        <v>1.039615079E7</v>
      </c>
      <c r="P1786" s="9">
        <v>332150.0</v>
      </c>
      <c r="Q1786" s="9">
        <v>332150.0</v>
      </c>
      <c r="R1786" s="9" t="s">
        <v>94</v>
      </c>
      <c r="S1786" s="9" t="s">
        <v>57</v>
      </c>
      <c r="T1786" s="9" t="s">
        <v>95</v>
      </c>
    </row>
    <row r="1787" ht="15.75" customHeight="1">
      <c r="A1787" s="9">
        <v>2167366.0</v>
      </c>
      <c r="B1787" s="9">
        <v>9984910.0</v>
      </c>
      <c r="C1787" s="9">
        <v>29845.0</v>
      </c>
      <c r="D1787" s="9" t="s">
        <v>52</v>
      </c>
      <c r="E1787" s="9" t="s">
        <v>53</v>
      </c>
      <c r="F1787" s="9">
        <v>235992.0</v>
      </c>
      <c r="G1787" s="9">
        <v>9984910.0</v>
      </c>
      <c r="H1787" s="9">
        <v>9927210.58</v>
      </c>
      <c r="I1787" s="9">
        <v>0.0</v>
      </c>
      <c r="J1787" s="9">
        <v>0.0</v>
      </c>
      <c r="K1787" s="9">
        <v>0.0</v>
      </c>
      <c r="L1787" s="9" t="s">
        <v>54</v>
      </c>
      <c r="M1787" s="9" t="s">
        <v>65</v>
      </c>
      <c r="N1787" s="9">
        <v>96941.0</v>
      </c>
      <c r="O1787" s="9">
        <v>96941.0</v>
      </c>
      <c r="R1787" s="9" t="s">
        <v>60</v>
      </c>
      <c r="S1787" s="9" t="s">
        <v>57</v>
      </c>
      <c r="T1787" s="9" t="s">
        <v>61</v>
      </c>
      <c r="V1787" s="9">
        <v>96941.0</v>
      </c>
      <c r="W1787" s="9">
        <v>0.0</v>
      </c>
    </row>
    <row r="1788" ht="15.75" customHeight="1">
      <c r="A1788" s="9">
        <v>2167368.0</v>
      </c>
      <c r="B1788" s="9">
        <v>9995149.0</v>
      </c>
      <c r="C1788" s="9">
        <v>26672.0</v>
      </c>
      <c r="D1788" s="9" t="s">
        <v>52</v>
      </c>
      <c r="E1788" s="9" t="s">
        <v>53</v>
      </c>
      <c r="F1788" s="9">
        <v>234095.0</v>
      </c>
      <c r="G1788" s="9">
        <v>1.0347731E7</v>
      </c>
      <c r="H1788" s="9">
        <v>1.0347731E7</v>
      </c>
      <c r="I1788" s="9">
        <v>850920.0</v>
      </c>
      <c r="J1788" s="9">
        <v>0.0</v>
      </c>
      <c r="K1788" s="9">
        <v>0.0</v>
      </c>
      <c r="L1788" s="9" t="s">
        <v>54</v>
      </c>
      <c r="M1788" s="9" t="s">
        <v>55</v>
      </c>
      <c r="N1788" s="9">
        <v>8430544.61</v>
      </c>
      <c r="O1788" s="9">
        <v>9189527.87</v>
      </c>
      <c r="P1788" s="9">
        <v>258799.77</v>
      </c>
      <c r="Q1788" s="9">
        <v>258799.77</v>
      </c>
      <c r="R1788" s="9" t="s">
        <v>60</v>
      </c>
      <c r="S1788" s="9" t="s">
        <v>57</v>
      </c>
      <c r="T1788" s="9" t="s">
        <v>61</v>
      </c>
      <c r="V1788" s="9">
        <v>9278841.85</v>
      </c>
      <c r="W1788" s="9">
        <v>258799.97</v>
      </c>
      <c r="X1788" s="9">
        <v>0.0</v>
      </c>
    </row>
    <row r="1789" ht="15.75" customHeight="1">
      <c r="A1789" s="9">
        <v>2173643.0</v>
      </c>
      <c r="B1789" s="9">
        <v>4552607.0</v>
      </c>
      <c r="C1789" s="9">
        <v>32300.0</v>
      </c>
      <c r="D1789" s="9" t="s">
        <v>52</v>
      </c>
      <c r="E1789" s="9" t="s">
        <v>53</v>
      </c>
      <c r="F1789" s="9">
        <v>250429.0</v>
      </c>
      <c r="G1789" s="9">
        <v>5819145.58</v>
      </c>
      <c r="H1789" s="9">
        <v>5819145.58</v>
      </c>
      <c r="I1789" s="9">
        <v>5818425.21</v>
      </c>
      <c r="J1789" s="9">
        <v>0.0</v>
      </c>
      <c r="K1789" s="9">
        <v>0.0</v>
      </c>
      <c r="L1789" s="9" t="s">
        <v>59</v>
      </c>
      <c r="M1789" s="9" t="s">
        <v>55</v>
      </c>
      <c r="N1789" s="9">
        <v>5528871.67</v>
      </c>
      <c r="O1789" s="9">
        <v>5528871.67</v>
      </c>
      <c r="P1789" s="9">
        <v>122230.03</v>
      </c>
      <c r="Q1789" s="9">
        <v>122230.03</v>
      </c>
      <c r="R1789" s="9" t="s">
        <v>56</v>
      </c>
      <c r="S1789" s="9" t="s">
        <v>57</v>
      </c>
      <c r="T1789" s="9" t="s">
        <v>58</v>
      </c>
      <c r="V1789" s="9">
        <v>5863384.01</v>
      </c>
      <c r="W1789" s="9">
        <v>0.0</v>
      </c>
      <c r="X1789" s="9">
        <v>0.0</v>
      </c>
    </row>
    <row r="1790" ht="15.75" customHeight="1">
      <c r="A1790" s="9">
        <v>2175949.0</v>
      </c>
      <c r="B1790" s="9">
        <v>7759088.5</v>
      </c>
      <c r="C1790" s="9">
        <v>47185.0</v>
      </c>
      <c r="D1790" s="9" t="s">
        <v>52</v>
      </c>
      <c r="E1790" s="9" t="s">
        <v>53</v>
      </c>
      <c r="F1790" s="9">
        <v>230114.0</v>
      </c>
      <c r="G1790" s="9">
        <v>6227152.24</v>
      </c>
      <c r="H1790" s="9">
        <v>6294757.43</v>
      </c>
      <c r="I1790" s="9">
        <v>5876215.98</v>
      </c>
      <c r="J1790" s="9">
        <v>1388602.4</v>
      </c>
      <c r="K1790" s="9">
        <v>1460560.0</v>
      </c>
      <c r="L1790" s="9" t="s">
        <v>59</v>
      </c>
      <c r="M1790" s="9" t="s">
        <v>55</v>
      </c>
      <c r="N1790" s="9">
        <v>5782088.38</v>
      </c>
      <c r="O1790" s="9">
        <v>5377342.2</v>
      </c>
      <c r="P1790" s="9">
        <v>213963.0</v>
      </c>
      <c r="Q1790" s="9">
        <v>192566.96</v>
      </c>
      <c r="R1790" s="9" t="s">
        <v>75</v>
      </c>
      <c r="S1790" s="9" t="s">
        <v>57</v>
      </c>
      <c r="T1790" s="9" t="s">
        <v>76</v>
      </c>
    </row>
    <row r="1791" ht="15.75" customHeight="1">
      <c r="A1791" s="9">
        <v>2180661.0</v>
      </c>
      <c r="B1791" s="9">
        <v>4994731.0</v>
      </c>
      <c r="C1791" s="9">
        <v>31629.0</v>
      </c>
      <c r="D1791" s="9" t="s">
        <v>52</v>
      </c>
      <c r="E1791" s="9" t="s">
        <v>53</v>
      </c>
      <c r="F1791" s="9">
        <v>255936.0</v>
      </c>
      <c r="G1791" s="9">
        <v>6545403.52</v>
      </c>
      <c r="H1791" s="9">
        <v>6545403.52</v>
      </c>
      <c r="I1791" s="9">
        <v>6545403.52</v>
      </c>
      <c r="J1791" s="9">
        <v>0.0</v>
      </c>
      <c r="K1791" s="9">
        <v>0.0</v>
      </c>
      <c r="L1791" s="9" t="s">
        <v>59</v>
      </c>
      <c r="M1791" s="9" t="s">
        <v>55</v>
      </c>
      <c r="N1791" s="9">
        <v>5418878.12</v>
      </c>
      <c r="O1791" s="9">
        <v>5418878.12</v>
      </c>
      <c r="P1791" s="9">
        <v>299470.0</v>
      </c>
      <c r="Q1791" s="9">
        <v>299470.0</v>
      </c>
      <c r="R1791" s="9" t="s">
        <v>94</v>
      </c>
      <c r="S1791" s="9" t="s">
        <v>57</v>
      </c>
      <c r="T1791" s="9" t="s">
        <v>95</v>
      </c>
    </row>
    <row r="1792" ht="15.75" customHeight="1">
      <c r="A1792" s="9">
        <v>2183033.0</v>
      </c>
      <c r="B1792" s="9">
        <v>2007219.0</v>
      </c>
      <c r="C1792" s="9">
        <v>33224.0</v>
      </c>
      <c r="D1792" s="9" t="s">
        <v>52</v>
      </c>
      <c r="E1792" s="9" t="s">
        <v>53</v>
      </c>
      <c r="F1792" s="9">
        <v>258813.0</v>
      </c>
      <c r="G1792" s="9">
        <v>1578733.0</v>
      </c>
      <c r="H1792" s="9">
        <v>1608061.31</v>
      </c>
      <c r="I1792" s="9">
        <v>517511.6</v>
      </c>
      <c r="J1792" s="9">
        <v>0.0</v>
      </c>
      <c r="K1792" s="9">
        <v>0.0</v>
      </c>
      <c r="L1792" s="9" t="s">
        <v>69</v>
      </c>
      <c r="M1792" s="9" t="s">
        <v>55</v>
      </c>
      <c r="N1792" s="9">
        <v>1462738.19</v>
      </c>
      <c r="O1792" s="9">
        <v>1462738.19</v>
      </c>
      <c r="R1792" s="9" t="s">
        <v>60</v>
      </c>
      <c r="S1792" s="9" t="s">
        <v>57</v>
      </c>
      <c r="T1792" s="9" t="s">
        <v>61</v>
      </c>
      <c r="V1792" s="9">
        <v>1548291.54</v>
      </c>
      <c r="W1792" s="9">
        <v>41128.86</v>
      </c>
      <c r="X1792" s="9">
        <v>0.0</v>
      </c>
    </row>
    <row r="1793" ht="15.75" customHeight="1">
      <c r="A1793" s="9">
        <v>2437687.0</v>
      </c>
      <c r="B1793" s="9">
        <v>153258.0</v>
      </c>
      <c r="C1793" s="9">
        <v>43303.0</v>
      </c>
      <c r="D1793" s="9" t="s">
        <v>52</v>
      </c>
      <c r="E1793" s="9" t="s">
        <v>111</v>
      </c>
      <c r="F1793" s="9">
        <v>2437687.0</v>
      </c>
      <c r="G1793" s="9">
        <v>153258.0</v>
      </c>
      <c r="H1793" s="9">
        <v>157570.0</v>
      </c>
      <c r="I1793" s="9">
        <v>7471.4</v>
      </c>
      <c r="J1793" s="9">
        <v>0.0</v>
      </c>
      <c r="K1793" s="9">
        <v>0.0</v>
      </c>
      <c r="L1793" s="9" t="s">
        <v>59</v>
      </c>
      <c r="M1793" s="9" t="s">
        <v>55</v>
      </c>
      <c r="R1793" s="9" t="s">
        <v>56</v>
      </c>
      <c r="S1793" s="9" t="s">
        <v>57</v>
      </c>
      <c r="T1793" s="9" t="s">
        <v>58</v>
      </c>
    </row>
    <row r="1794" ht="15.75" customHeight="1">
      <c r="A1794" s="9">
        <v>2437688.0</v>
      </c>
      <c r="B1794" s="9">
        <v>69225.55</v>
      </c>
      <c r="C1794" s="9">
        <v>43385.0</v>
      </c>
      <c r="D1794" s="9" t="s">
        <v>52</v>
      </c>
      <c r="E1794" s="9" t="s">
        <v>111</v>
      </c>
      <c r="F1794" s="9">
        <v>2437688.0</v>
      </c>
      <c r="G1794" s="9">
        <v>69225.55</v>
      </c>
      <c r="H1794" s="9">
        <v>71802.05</v>
      </c>
      <c r="I1794" s="9">
        <v>1620.55</v>
      </c>
      <c r="J1794" s="9">
        <v>0.0</v>
      </c>
      <c r="K1794" s="9">
        <v>0.0</v>
      </c>
      <c r="L1794" s="9" t="s">
        <v>59</v>
      </c>
      <c r="M1794" s="9" t="s">
        <v>55</v>
      </c>
      <c r="R1794" s="9" t="s">
        <v>94</v>
      </c>
      <c r="S1794" s="9" t="s">
        <v>57</v>
      </c>
      <c r="T1794" s="9" t="s">
        <v>95</v>
      </c>
    </row>
    <row r="1795" ht="15.75" customHeight="1">
      <c r="A1795" s="9">
        <v>2438506.0</v>
      </c>
      <c r="B1795" s="9">
        <v>220347.01</v>
      </c>
      <c r="C1795" s="9">
        <v>43083.0</v>
      </c>
      <c r="D1795" s="9" t="s">
        <v>52</v>
      </c>
      <c r="E1795" s="9" t="s">
        <v>111</v>
      </c>
      <c r="F1795" s="9">
        <v>2438506.0</v>
      </c>
      <c r="G1795" s="9">
        <v>220347.01</v>
      </c>
      <c r="H1795" s="9">
        <v>201563.67</v>
      </c>
      <c r="I1795" s="9">
        <v>0.0</v>
      </c>
      <c r="J1795" s="9">
        <v>0.0</v>
      </c>
      <c r="K1795" s="9">
        <v>0.0</v>
      </c>
      <c r="L1795" s="9" t="s">
        <v>59</v>
      </c>
      <c r="M1795" s="9" t="s">
        <v>55</v>
      </c>
      <c r="R1795" s="9" t="s">
        <v>94</v>
      </c>
      <c r="S1795" s="9" t="s">
        <v>57</v>
      </c>
      <c r="T1795" s="9" t="s">
        <v>95</v>
      </c>
    </row>
    <row r="1796" ht="15.75" customHeight="1">
      <c r="A1796" s="9">
        <v>2438656.0</v>
      </c>
      <c r="B1796" s="9">
        <v>44092.07</v>
      </c>
      <c r="C1796" s="9">
        <v>43383.0</v>
      </c>
      <c r="D1796" s="9" t="s">
        <v>52</v>
      </c>
      <c r="E1796" s="9" t="s">
        <v>111</v>
      </c>
      <c r="F1796" s="9">
        <v>2438656.0</v>
      </c>
      <c r="G1796" s="9">
        <v>44092.07</v>
      </c>
      <c r="H1796" s="9">
        <v>45926.87</v>
      </c>
      <c r="I1796" s="9">
        <v>0.0</v>
      </c>
      <c r="J1796" s="9">
        <v>0.0</v>
      </c>
      <c r="K1796" s="9">
        <v>0.0</v>
      </c>
      <c r="L1796" s="9" t="s">
        <v>59</v>
      </c>
      <c r="M1796" s="9" t="s">
        <v>55</v>
      </c>
      <c r="R1796" s="9" t="s">
        <v>94</v>
      </c>
      <c r="S1796" s="9" t="s">
        <v>57</v>
      </c>
      <c r="T1796" s="9" t="s">
        <v>95</v>
      </c>
    </row>
    <row r="1797" ht="15.75" customHeight="1">
      <c r="A1797" s="9">
        <v>2438673.0</v>
      </c>
      <c r="B1797" s="9">
        <v>107273.3</v>
      </c>
      <c r="C1797" s="9">
        <v>43134.0</v>
      </c>
      <c r="D1797" s="9" t="s">
        <v>52</v>
      </c>
      <c r="E1797" s="9" t="s">
        <v>111</v>
      </c>
      <c r="F1797" s="9">
        <v>2438673.0</v>
      </c>
      <c r="G1797" s="9">
        <v>107273.3</v>
      </c>
      <c r="H1797" s="9">
        <v>109041.3</v>
      </c>
      <c r="I1797" s="9">
        <v>3907.2</v>
      </c>
      <c r="J1797" s="9">
        <v>0.0</v>
      </c>
      <c r="K1797" s="9">
        <v>0.0</v>
      </c>
      <c r="L1797" s="9" t="s">
        <v>59</v>
      </c>
      <c r="M1797" s="9" t="s">
        <v>55</v>
      </c>
      <c r="R1797" s="9" t="s">
        <v>56</v>
      </c>
      <c r="S1797" s="9" t="s">
        <v>57</v>
      </c>
      <c r="T1797" s="9" t="s">
        <v>58</v>
      </c>
    </row>
    <row r="1798" ht="15.75" customHeight="1">
      <c r="A1798" s="9">
        <v>2438688.0</v>
      </c>
      <c r="B1798" s="9">
        <v>120809.32</v>
      </c>
      <c r="C1798" s="9">
        <v>43120.0</v>
      </c>
      <c r="D1798" s="9" t="s">
        <v>52</v>
      </c>
      <c r="E1798" s="9" t="s">
        <v>111</v>
      </c>
      <c r="F1798" s="9">
        <v>2438688.0</v>
      </c>
      <c r="G1798" s="9">
        <v>120809.32</v>
      </c>
      <c r="H1798" s="9">
        <v>123868.32</v>
      </c>
      <c r="I1798" s="9">
        <v>3896.0</v>
      </c>
      <c r="J1798" s="9">
        <v>0.0</v>
      </c>
      <c r="K1798" s="9">
        <v>0.0</v>
      </c>
      <c r="L1798" s="9" t="s">
        <v>59</v>
      </c>
      <c r="M1798" s="9" t="s">
        <v>55</v>
      </c>
      <c r="R1798" s="9" t="s">
        <v>94</v>
      </c>
      <c r="S1798" s="9" t="s">
        <v>57</v>
      </c>
      <c r="T1798" s="9" t="s">
        <v>95</v>
      </c>
    </row>
    <row r="1799" ht="15.75" customHeight="1">
      <c r="A1799" s="9">
        <v>2438691.0</v>
      </c>
      <c r="B1799" s="9">
        <v>339880.13</v>
      </c>
      <c r="C1799" s="9">
        <v>43298.0</v>
      </c>
      <c r="D1799" s="9" t="s">
        <v>52</v>
      </c>
      <c r="E1799" s="9" t="s">
        <v>111</v>
      </c>
      <c r="F1799" s="9">
        <v>2438691.0</v>
      </c>
      <c r="G1799" s="9">
        <v>339880.13</v>
      </c>
      <c r="H1799" s="9">
        <v>346597.83</v>
      </c>
      <c r="I1799" s="9">
        <v>15428.75</v>
      </c>
      <c r="J1799" s="9">
        <v>0.0</v>
      </c>
      <c r="K1799" s="9">
        <v>0.0</v>
      </c>
      <c r="L1799" s="9" t="s">
        <v>59</v>
      </c>
      <c r="M1799" s="9" t="s">
        <v>55</v>
      </c>
      <c r="R1799" s="9" t="s">
        <v>56</v>
      </c>
      <c r="S1799" s="9" t="s">
        <v>57</v>
      </c>
      <c r="T1799" s="9" t="s">
        <v>58</v>
      </c>
    </row>
    <row r="1800" ht="15.75" customHeight="1">
      <c r="A1800" s="9">
        <v>2438892.0</v>
      </c>
      <c r="B1800" s="9">
        <v>633086.46</v>
      </c>
      <c r="C1800" s="9">
        <v>42449.0</v>
      </c>
      <c r="D1800" s="9" t="s">
        <v>52</v>
      </c>
      <c r="E1800" s="9" t="s">
        <v>103</v>
      </c>
      <c r="F1800" s="9">
        <v>2438892.0</v>
      </c>
      <c r="H1800" s="9">
        <v>612155.0</v>
      </c>
      <c r="I1800" s="9">
        <v>612154.64</v>
      </c>
      <c r="J1800" s="9">
        <v>0.0</v>
      </c>
      <c r="K1800" s="9">
        <v>0.0</v>
      </c>
      <c r="L1800" s="9" t="s">
        <v>59</v>
      </c>
      <c r="M1800" s="9" t="s">
        <v>55</v>
      </c>
      <c r="N1800" s="9">
        <v>612154.65</v>
      </c>
      <c r="O1800" s="9">
        <v>612154.65</v>
      </c>
      <c r="R1800" s="9" t="s">
        <v>72</v>
      </c>
      <c r="S1800" s="9" t="s">
        <v>57</v>
      </c>
      <c r="T1800" s="9" t="s">
        <v>73</v>
      </c>
    </row>
    <row r="1801" ht="15.75" customHeight="1">
      <c r="A1801" s="9">
        <v>2439191.0</v>
      </c>
      <c r="B1801" s="9">
        <v>105741.09</v>
      </c>
      <c r="C1801" s="9">
        <v>43344.0</v>
      </c>
      <c r="D1801" s="9" t="s">
        <v>52</v>
      </c>
      <c r="E1801" s="9" t="s">
        <v>111</v>
      </c>
      <c r="F1801" s="9">
        <v>2439191.0</v>
      </c>
      <c r="G1801" s="9">
        <v>105741.09</v>
      </c>
      <c r="H1801" s="9">
        <v>108117.59</v>
      </c>
      <c r="I1801" s="9">
        <v>4736.0</v>
      </c>
      <c r="J1801" s="9">
        <v>0.0</v>
      </c>
      <c r="K1801" s="9">
        <v>0.0</v>
      </c>
      <c r="L1801" s="9" t="s">
        <v>59</v>
      </c>
      <c r="M1801" s="9" t="s">
        <v>55</v>
      </c>
      <c r="R1801" s="9" t="s">
        <v>56</v>
      </c>
      <c r="S1801" s="9" t="s">
        <v>57</v>
      </c>
      <c r="T1801" s="9" t="s">
        <v>58</v>
      </c>
    </row>
    <row r="1802" ht="15.75" customHeight="1">
      <c r="A1802" s="9">
        <v>2439241.0</v>
      </c>
      <c r="B1802" s="9">
        <v>506216.98</v>
      </c>
      <c r="C1802" s="9">
        <v>43169.0</v>
      </c>
      <c r="D1802" s="9" t="s">
        <v>52</v>
      </c>
      <c r="E1802" s="9" t="s">
        <v>111</v>
      </c>
      <c r="F1802" s="9">
        <v>2439241.0</v>
      </c>
      <c r="G1802" s="9">
        <v>506216.98</v>
      </c>
      <c r="H1802" s="9">
        <v>515932.98</v>
      </c>
      <c r="I1802" s="9">
        <v>0.0</v>
      </c>
      <c r="J1802" s="9">
        <v>0.0</v>
      </c>
      <c r="K1802" s="9">
        <v>0.0</v>
      </c>
      <c r="L1802" s="9" t="s">
        <v>59</v>
      </c>
      <c r="M1802" s="9" t="s">
        <v>55</v>
      </c>
      <c r="R1802" s="9" t="s">
        <v>75</v>
      </c>
      <c r="S1802" s="9" t="s">
        <v>57</v>
      </c>
      <c r="T1802" s="9" t="s">
        <v>76</v>
      </c>
    </row>
    <row r="1803" ht="15.75" customHeight="1">
      <c r="A1803" s="9">
        <v>2439242.0</v>
      </c>
      <c r="B1803" s="9">
        <v>98363.19</v>
      </c>
      <c r="C1803" s="9">
        <v>43326.0</v>
      </c>
      <c r="D1803" s="9" t="s">
        <v>52</v>
      </c>
      <c r="E1803" s="9" t="s">
        <v>111</v>
      </c>
      <c r="F1803" s="9">
        <v>2439242.0</v>
      </c>
      <c r="G1803" s="9">
        <v>98363.19</v>
      </c>
      <c r="H1803" s="9">
        <v>101790.89</v>
      </c>
      <c r="I1803" s="9">
        <v>2242.97</v>
      </c>
      <c r="J1803" s="9">
        <v>0.0</v>
      </c>
      <c r="K1803" s="9">
        <v>0.0</v>
      </c>
      <c r="L1803" s="9" t="s">
        <v>59</v>
      </c>
      <c r="M1803" s="9" t="s">
        <v>55</v>
      </c>
      <c r="R1803" s="9" t="s">
        <v>94</v>
      </c>
      <c r="S1803" s="9" t="s">
        <v>57</v>
      </c>
      <c r="T1803" s="9" t="s">
        <v>95</v>
      </c>
    </row>
    <row r="1804" ht="15.75" customHeight="1">
      <c r="A1804" s="9">
        <v>2439323.0</v>
      </c>
      <c r="B1804" s="9">
        <v>390227.78</v>
      </c>
      <c r="C1804" s="9">
        <v>43148.0</v>
      </c>
      <c r="D1804" s="9" t="s">
        <v>52</v>
      </c>
      <c r="E1804" s="9" t="s">
        <v>111</v>
      </c>
      <c r="F1804" s="9">
        <v>2439323.0</v>
      </c>
      <c r="G1804" s="9">
        <v>390227.78</v>
      </c>
      <c r="H1804" s="9">
        <v>398810.28</v>
      </c>
      <c r="I1804" s="9">
        <v>17460.5</v>
      </c>
      <c r="J1804" s="9">
        <v>0.0</v>
      </c>
      <c r="K1804" s="9">
        <v>0.0</v>
      </c>
      <c r="L1804" s="9" t="s">
        <v>59</v>
      </c>
      <c r="M1804" s="9" t="s">
        <v>55</v>
      </c>
      <c r="R1804" s="9" t="s">
        <v>56</v>
      </c>
      <c r="S1804" s="9" t="s">
        <v>57</v>
      </c>
      <c r="T1804" s="9" t="s">
        <v>58</v>
      </c>
    </row>
    <row r="1805" ht="15.75" customHeight="1">
      <c r="A1805" s="9">
        <v>2439341.0</v>
      </c>
      <c r="B1805" s="9">
        <v>97916.13</v>
      </c>
      <c r="C1805" s="9">
        <v>43310.0</v>
      </c>
      <c r="D1805" s="9" t="s">
        <v>52</v>
      </c>
      <c r="E1805" s="9" t="s">
        <v>111</v>
      </c>
      <c r="F1805" s="9">
        <v>2439341.0</v>
      </c>
      <c r="G1805" s="9">
        <v>97916.13</v>
      </c>
      <c r="H1805" s="9">
        <v>101551.93</v>
      </c>
      <c r="I1805" s="9">
        <v>0.0</v>
      </c>
      <c r="J1805" s="9">
        <v>0.0</v>
      </c>
      <c r="K1805" s="9">
        <v>0.0</v>
      </c>
      <c r="L1805" s="9" t="s">
        <v>59</v>
      </c>
      <c r="M1805" s="9" t="s">
        <v>55</v>
      </c>
      <c r="R1805" s="9" t="s">
        <v>94</v>
      </c>
      <c r="S1805" s="9" t="s">
        <v>57</v>
      </c>
      <c r="T1805" s="9" t="s">
        <v>95</v>
      </c>
    </row>
    <row r="1806" ht="15.75" customHeight="1">
      <c r="A1806" s="9">
        <v>2439342.0</v>
      </c>
      <c r="B1806" s="9">
        <v>217343.14</v>
      </c>
      <c r="C1806" s="9">
        <v>43245.0</v>
      </c>
      <c r="D1806" s="9" t="s">
        <v>52</v>
      </c>
      <c r="E1806" s="9" t="s">
        <v>111</v>
      </c>
      <c r="F1806" s="9">
        <v>2439342.0</v>
      </c>
      <c r="G1806" s="9">
        <v>217343.14</v>
      </c>
      <c r="H1806" s="9">
        <v>221416.14</v>
      </c>
      <c r="I1806" s="9">
        <v>6172.91</v>
      </c>
      <c r="J1806" s="9">
        <v>0.0</v>
      </c>
      <c r="K1806" s="9">
        <v>0.0</v>
      </c>
      <c r="L1806" s="9" t="s">
        <v>59</v>
      </c>
      <c r="M1806" s="9" t="s">
        <v>55</v>
      </c>
      <c r="R1806" s="9" t="s">
        <v>94</v>
      </c>
      <c r="S1806" s="9" t="s">
        <v>57</v>
      </c>
      <c r="T1806" s="9" t="s">
        <v>95</v>
      </c>
    </row>
    <row r="1807" ht="15.75" customHeight="1">
      <c r="A1807" s="9">
        <v>2439392.0</v>
      </c>
      <c r="B1807" s="9">
        <v>44492.55</v>
      </c>
      <c r="C1807" s="9">
        <v>43240.0</v>
      </c>
      <c r="D1807" s="9" t="s">
        <v>52</v>
      </c>
      <c r="E1807" s="9" t="s">
        <v>111</v>
      </c>
      <c r="F1807" s="9">
        <v>2439392.0</v>
      </c>
      <c r="G1807" s="9">
        <v>44492.55</v>
      </c>
      <c r="H1807" s="9">
        <v>46296.05</v>
      </c>
      <c r="I1807" s="9">
        <v>2117.0</v>
      </c>
      <c r="J1807" s="9">
        <v>0.0</v>
      </c>
      <c r="K1807" s="9">
        <v>0.0</v>
      </c>
      <c r="L1807" s="9" t="s">
        <v>59</v>
      </c>
      <c r="M1807" s="9" t="s">
        <v>55</v>
      </c>
      <c r="R1807" s="9" t="s">
        <v>94</v>
      </c>
      <c r="S1807" s="9" t="s">
        <v>57</v>
      </c>
      <c r="T1807" s="9" t="s">
        <v>95</v>
      </c>
    </row>
    <row r="1808" ht="15.75" customHeight="1">
      <c r="A1808" s="9">
        <v>2439409.0</v>
      </c>
      <c r="B1808" s="9">
        <v>180884.47</v>
      </c>
      <c r="C1808" s="9">
        <v>43097.0</v>
      </c>
      <c r="D1808" s="9" t="s">
        <v>52</v>
      </c>
      <c r="E1808" s="9" t="s">
        <v>111</v>
      </c>
      <c r="F1808" s="9">
        <v>2439409.0</v>
      </c>
      <c r="G1808" s="9">
        <v>180884.47</v>
      </c>
      <c r="H1808" s="9">
        <v>184083.47</v>
      </c>
      <c r="I1808" s="9">
        <v>6730.68</v>
      </c>
      <c r="J1808" s="9">
        <v>0.0</v>
      </c>
      <c r="K1808" s="9">
        <v>0.0</v>
      </c>
      <c r="L1808" s="9" t="s">
        <v>59</v>
      </c>
      <c r="M1808" s="9" t="s">
        <v>55</v>
      </c>
      <c r="R1808" s="9" t="s">
        <v>94</v>
      </c>
      <c r="S1808" s="9" t="s">
        <v>57</v>
      </c>
      <c r="T1808" s="9" t="s">
        <v>95</v>
      </c>
    </row>
    <row r="1809" ht="15.75" customHeight="1">
      <c r="A1809" s="9">
        <v>2439459.0</v>
      </c>
      <c r="B1809" s="9">
        <v>630705.8</v>
      </c>
      <c r="C1809" s="9">
        <v>43249.0</v>
      </c>
      <c r="D1809" s="9" t="s">
        <v>52</v>
      </c>
      <c r="E1809" s="9" t="s">
        <v>111</v>
      </c>
      <c r="F1809" s="9">
        <v>2439459.0</v>
      </c>
      <c r="G1809" s="9">
        <v>630705.8</v>
      </c>
      <c r="H1809" s="9">
        <v>637214.8</v>
      </c>
      <c r="I1809" s="9">
        <v>31850.0</v>
      </c>
      <c r="J1809" s="9">
        <v>0.0</v>
      </c>
      <c r="K1809" s="9">
        <v>0.0</v>
      </c>
      <c r="L1809" s="9" t="s">
        <v>59</v>
      </c>
      <c r="M1809" s="9" t="s">
        <v>55</v>
      </c>
      <c r="R1809" s="9" t="s">
        <v>56</v>
      </c>
      <c r="S1809" s="9" t="s">
        <v>57</v>
      </c>
      <c r="T1809" s="9" t="s">
        <v>58</v>
      </c>
    </row>
    <row r="1810" ht="15.75" customHeight="1">
      <c r="A1810" s="9">
        <v>2439991.0</v>
      </c>
      <c r="B1810" s="9">
        <v>193525.19</v>
      </c>
      <c r="C1810" s="9">
        <v>43224.0</v>
      </c>
      <c r="D1810" s="9" t="s">
        <v>52</v>
      </c>
      <c r="E1810" s="9" t="s">
        <v>111</v>
      </c>
      <c r="F1810" s="9">
        <v>2439991.0</v>
      </c>
      <c r="G1810" s="9">
        <v>193525.19</v>
      </c>
      <c r="H1810" s="9">
        <v>197573.69</v>
      </c>
      <c r="I1810" s="9">
        <v>9767.2</v>
      </c>
      <c r="J1810" s="9">
        <v>0.0</v>
      </c>
      <c r="K1810" s="9">
        <v>0.0</v>
      </c>
      <c r="L1810" s="9" t="s">
        <v>59</v>
      </c>
      <c r="M1810" s="9" t="s">
        <v>55</v>
      </c>
      <c r="R1810" s="9" t="s">
        <v>56</v>
      </c>
      <c r="S1810" s="9" t="s">
        <v>57</v>
      </c>
      <c r="T1810" s="9" t="s">
        <v>58</v>
      </c>
    </row>
    <row r="1811" ht="15.75" customHeight="1">
      <c r="A1811" s="9">
        <v>2439995.0</v>
      </c>
      <c r="B1811" s="9">
        <v>105521.02</v>
      </c>
      <c r="C1811" s="9">
        <v>43221.0</v>
      </c>
      <c r="D1811" s="9" t="s">
        <v>52</v>
      </c>
      <c r="E1811" s="9" t="s">
        <v>111</v>
      </c>
      <c r="F1811" s="9">
        <v>2439995.0</v>
      </c>
      <c r="G1811" s="9">
        <v>105521.02</v>
      </c>
      <c r="H1811" s="9">
        <v>109255.02</v>
      </c>
      <c r="I1811" s="9">
        <v>3896.0</v>
      </c>
      <c r="J1811" s="9">
        <v>0.0</v>
      </c>
      <c r="K1811" s="9">
        <v>0.0</v>
      </c>
      <c r="L1811" s="9" t="s">
        <v>59</v>
      </c>
      <c r="M1811" s="9" t="s">
        <v>55</v>
      </c>
      <c r="R1811" s="9" t="s">
        <v>94</v>
      </c>
      <c r="S1811" s="9" t="s">
        <v>57</v>
      </c>
      <c r="T1811" s="9" t="s">
        <v>95</v>
      </c>
    </row>
    <row r="1812" ht="15.75" customHeight="1">
      <c r="A1812" s="9">
        <v>2440010.0</v>
      </c>
      <c r="B1812" s="9">
        <v>450016.95</v>
      </c>
      <c r="C1812" s="9">
        <v>43413.0</v>
      </c>
      <c r="D1812" s="9" t="s">
        <v>52</v>
      </c>
      <c r="E1812" s="9" t="s">
        <v>111</v>
      </c>
      <c r="F1812" s="9">
        <v>2440010.0</v>
      </c>
      <c r="G1812" s="9">
        <v>450016.95</v>
      </c>
      <c r="H1812" s="9">
        <v>457739.25</v>
      </c>
      <c r="I1812" s="9">
        <v>0.0</v>
      </c>
      <c r="J1812" s="9">
        <v>0.0</v>
      </c>
      <c r="K1812" s="9">
        <v>0.0</v>
      </c>
      <c r="L1812" s="9" t="s">
        <v>59</v>
      </c>
      <c r="M1812" s="9" t="s">
        <v>55</v>
      </c>
      <c r="R1812" s="9" t="s">
        <v>63</v>
      </c>
      <c r="S1812" s="9" t="s">
        <v>63</v>
      </c>
    </row>
    <row r="1813" ht="15.75" customHeight="1">
      <c r="A1813" s="9">
        <v>2440027.0</v>
      </c>
      <c r="B1813" s="9">
        <v>398475.37</v>
      </c>
      <c r="C1813" s="9">
        <v>43260.0</v>
      </c>
      <c r="D1813" s="9" t="s">
        <v>52</v>
      </c>
      <c r="E1813" s="9" t="s">
        <v>111</v>
      </c>
      <c r="F1813" s="9">
        <v>2440027.0</v>
      </c>
      <c r="G1813" s="9">
        <v>398475.37</v>
      </c>
      <c r="H1813" s="9">
        <v>408924.43</v>
      </c>
      <c r="I1813" s="9">
        <v>15246.88</v>
      </c>
      <c r="J1813" s="9">
        <v>0.0</v>
      </c>
      <c r="K1813" s="9">
        <v>0.0</v>
      </c>
      <c r="L1813" s="9" t="s">
        <v>59</v>
      </c>
      <c r="M1813" s="9" t="s">
        <v>55</v>
      </c>
      <c r="R1813" s="9" t="s">
        <v>94</v>
      </c>
      <c r="S1813" s="9" t="s">
        <v>57</v>
      </c>
      <c r="T1813" s="9" t="s">
        <v>95</v>
      </c>
    </row>
    <row r="1814" ht="15.75" customHeight="1">
      <c r="A1814" s="9">
        <v>2440028.0</v>
      </c>
      <c r="B1814" s="9">
        <v>263639.37</v>
      </c>
      <c r="C1814" s="9">
        <v>43100.0</v>
      </c>
      <c r="D1814" s="9" t="s">
        <v>52</v>
      </c>
      <c r="E1814" s="9" t="s">
        <v>111</v>
      </c>
      <c r="F1814" s="9">
        <v>2440028.0</v>
      </c>
      <c r="G1814" s="9">
        <v>263639.37</v>
      </c>
      <c r="H1814" s="9">
        <v>266424.87</v>
      </c>
      <c r="I1814" s="9">
        <v>10545.23</v>
      </c>
      <c r="J1814" s="9">
        <v>0.0</v>
      </c>
      <c r="K1814" s="9">
        <v>0.0</v>
      </c>
      <c r="L1814" s="9" t="s">
        <v>59</v>
      </c>
      <c r="M1814" s="9" t="s">
        <v>55</v>
      </c>
      <c r="R1814" s="9" t="s">
        <v>94</v>
      </c>
      <c r="S1814" s="9" t="s">
        <v>57</v>
      </c>
      <c r="T1814" s="9" t="s">
        <v>95</v>
      </c>
    </row>
    <row r="1815" ht="15.75" customHeight="1">
      <c r="A1815" s="9">
        <v>2209398.0</v>
      </c>
      <c r="B1815" s="9">
        <v>6080333.0</v>
      </c>
      <c r="C1815" s="9">
        <v>37510.0</v>
      </c>
      <c r="D1815" s="9" t="s">
        <v>52</v>
      </c>
      <c r="E1815" s="9" t="s">
        <v>53</v>
      </c>
      <c r="F1815" s="9">
        <v>198289.0</v>
      </c>
      <c r="G1815" s="9">
        <v>7293348.08</v>
      </c>
      <c r="H1815" s="9">
        <v>7293348.08</v>
      </c>
      <c r="I1815" s="9">
        <v>6698125.15</v>
      </c>
      <c r="J1815" s="9">
        <v>0.0</v>
      </c>
      <c r="K1815" s="9">
        <v>0.0</v>
      </c>
      <c r="L1815" s="9" t="s">
        <v>59</v>
      </c>
      <c r="M1815" s="9" t="s">
        <v>55</v>
      </c>
      <c r="N1815" s="9">
        <v>6429944.75</v>
      </c>
      <c r="O1815" s="9">
        <v>6427746.08</v>
      </c>
      <c r="P1815" s="9">
        <v>298992.51</v>
      </c>
      <c r="Q1815" s="9">
        <v>275073.11</v>
      </c>
      <c r="R1815" s="9" t="s">
        <v>60</v>
      </c>
      <c r="S1815" s="9" t="s">
        <v>57</v>
      </c>
      <c r="T1815" s="9" t="s">
        <v>61</v>
      </c>
      <c r="V1815" s="9">
        <v>6738500.52</v>
      </c>
      <c r="W1815" s="9">
        <v>0.0</v>
      </c>
      <c r="X1815" s="9">
        <v>0.0</v>
      </c>
    </row>
    <row r="1816" ht="15.75" customHeight="1">
      <c r="A1816" s="9">
        <v>2214737.0</v>
      </c>
      <c r="B1816" s="9">
        <v>5751449.0</v>
      </c>
      <c r="C1816" s="9">
        <v>38024.0</v>
      </c>
      <c r="D1816" s="9" t="s">
        <v>52</v>
      </c>
      <c r="E1816" s="9" t="s">
        <v>88</v>
      </c>
      <c r="F1816" s="9">
        <v>193600.0</v>
      </c>
      <c r="G1816" s="9">
        <v>7849432.17</v>
      </c>
      <c r="H1816" s="9">
        <v>7995921.04</v>
      </c>
      <c r="I1816" s="9">
        <v>7594545.7</v>
      </c>
      <c r="J1816" s="9">
        <v>30598.74</v>
      </c>
      <c r="K1816" s="9">
        <v>50000.0</v>
      </c>
      <c r="L1816" s="9" t="s">
        <v>59</v>
      </c>
      <c r="M1816" s="9" t="s">
        <v>55</v>
      </c>
      <c r="N1816" s="9">
        <v>6297547.92</v>
      </c>
      <c r="O1816" s="9">
        <v>5667793.13</v>
      </c>
      <c r="P1816" s="9">
        <v>198372.77</v>
      </c>
      <c r="Q1816" s="9">
        <v>198372.77</v>
      </c>
      <c r="R1816" s="9" t="s">
        <v>56</v>
      </c>
      <c r="S1816" s="9" t="s">
        <v>57</v>
      </c>
      <c r="T1816" s="9" t="s">
        <v>58</v>
      </c>
    </row>
    <row r="1817" ht="15.75" customHeight="1">
      <c r="A1817" s="9">
        <v>2215675.0</v>
      </c>
      <c r="B1817" s="9">
        <v>5598704.0</v>
      </c>
      <c r="C1817" s="9">
        <v>27006.0</v>
      </c>
      <c r="D1817" s="9" t="s">
        <v>52</v>
      </c>
      <c r="E1817" s="9" t="s">
        <v>53</v>
      </c>
      <c r="F1817" s="9">
        <v>198171.0</v>
      </c>
      <c r="G1817" s="9">
        <v>7882209.72</v>
      </c>
      <c r="H1817" s="9">
        <v>7882209.72</v>
      </c>
      <c r="I1817" s="9">
        <v>7790275.47</v>
      </c>
      <c r="J1817" s="9">
        <v>0.0</v>
      </c>
      <c r="K1817" s="9">
        <v>0.0</v>
      </c>
      <c r="L1817" s="9" t="s">
        <v>69</v>
      </c>
      <c r="M1817" s="9" t="s">
        <v>55</v>
      </c>
      <c r="N1817" s="9">
        <v>6772333.64</v>
      </c>
      <c r="O1817" s="9">
        <v>6772333.64</v>
      </c>
      <c r="P1817" s="9">
        <v>194776.54</v>
      </c>
      <c r="Q1817" s="9">
        <v>194776.54</v>
      </c>
      <c r="R1817" s="9" t="s">
        <v>60</v>
      </c>
      <c r="S1817" s="9" t="s">
        <v>57</v>
      </c>
      <c r="T1817" s="9" t="s">
        <v>61</v>
      </c>
      <c r="V1817" s="9">
        <v>7513942.08</v>
      </c>
      <c r="W1817" s="9">
        <v>249016.49</v>
      </c>
      <c r="X1817" s="9">
        <v>0.0</v>
      </c>
    </row>
    <row r="1818" ht="15.75" customHeight="1">
      <c r="A1818" s="9">
        <v>2215709.0</v>
      </c>
      <c r="B1818" s="9">
        <v>3683196.0</v>
      </c>
      <c r="C1818" s="9">
        <v>26623.0</v>
      </c>
      <c r="D1818" s="9" t="s">
        <v>52</v>
      </c>
      <c r="E1818" s="9" t="s">
        <v>53</v>
      </c>
      <c r="F1818" s="9">
        <v>185535.0</v>
      </c>
      <c r="G1818" s="9">
        <v>4905009.2</v>
      </c>
      <c r="H1818" s="9">
        <v>4905009.2</v>
      </c>
      <c r="I1818" s="9">
        <v>4662479.14</v>
      </c>
      <c r="J1818" s="9">
        <v>0.0</v>
      </c>
      <c r="K1818" s="9">
        <v>0.0</v>
      </c>
      <c r="L1818" s="9" t="s">
        <v>69</v>
      </c>
      <c r="M1818" s="9" t="s">
        <v>55</v>
      </c>
      <c r="N1818" s="9">
        <v>4473902.52</v>
      </c>
      <c r="O1818" s="9">
        <v>4473902.52</v>
      </c>
      <c r="P1818" s="9">
        <v>188582.5</v>
      </c>
      <c r="Q1818" s="9">
        <v>169724.25</v>
      </c>
      <c r="R1818" s="9" t="s">
        <v>60</v>
      </c>
      <c r="S1818" s="9" t="s">
        <v>57</v>
      </c>
      <c r="T1818" s="9" t="s">
        <v>61</v>
      </c>
      <c r="V1818" s="9">
        <v>4504109.43</v>
      </c>
      <c r="W1818" s="9">
        <v>169724.25</v>
      </c>
      <c r="X1818" s="9">
        <v>0.0</v>
      </c>
    </row>
    <row r="1819" ht="15.75" customHeight="1">
      <c r="A1819" s="9">
        <v>2215909.0</v>
      </c>
      <c r="B1819" s="9">
        <v>3772668.0</v>
      </c>
      <c r="C1819" s="9">
        <v>31574.0</v>
      </c>
      <c r="D1819" s="9" t="s">
        <v>52</v>
      </c>
      <c r="E1819" s="9" t="s">
        <v>53</v>
      </c>
      <c r="F1819" s="9">
        <v>215454.0</v>
      </c>
      <c r="G1819" s="9">
        <v>4468972.35</v>
      </c>
      <c r="H1819" s="9">
        <v>4468972.35</v>
      </c>
      <c r="I1819" s="9">
        <v>4406350.8</v>
      </c>
      <c r="J1819" s="9">
        <v>0.0</v>
      </c>
      <c r="K1819" s="9">
        <v>0.0</v>
      </c>
      <c r="L1819" s="9" t="s">
        <v>59</v>
      </c>
      <c r="M1819" s="9" t="s">
        <v>55</v>
      </c>
      <c r="N1819" s="9">
        <v>4296351.35</v>
      </c>
      <c r="O1819" s="9">
        <v>4296351.35</v>
      </c>
      <c r="P1819" s="9">
        <v>110198.62</v>
      </c>
      <c r="Q1819" s="9">
        <v>110000.0</v>
      </c>
      <c r="R1819" s="9" t="s">
        <v>60</v>
      </c>
      <c r="S1819" s="9" t="s">
        <v>57</v>
      </c>
      <c r="T1819" s="9" t="s">
        <v>61</v>
      </c>
      <c r="V1819" s="9">
        <v>4296351.2</v>
      </c>
      <c r="W1819" s="9">
        <v>109999.6</v>
      </c>
      <c r="X1819" s="9">
        <v>0.0</v>
      </c>
    </row>
    <row r="1820" ht="15.75" customHeight="1">
      <c r="A1820" s="9">
        <v>2216284.0</v>
      </c>
      <c r="B1820" s="9">
        <v>8520604.0</v>
      </c>
      <c r="C1820" s="9">
        <v>26733.0</v>
      </c>
      <c r="D1820" s="9" t="s">
        <v>52</v>
      </c>
      <c r="E1820" s="9" t="s">
        <v>53</v>
      </c>
      <c r="F1820" s="9">
        <v>220318.0</v>
      </c>
      <c r="G1820" s="9">
        <v>9267246.14</v>
      </c>
      <c r="H1820" s="9">
        <v>8904127.15</v>
      </c>
      <c r="I1820" s="9">
        <v>8904127.15</v>
      </c>
      <c r="J1820" s="9">
        <v>0.0</v>
      </c>
      <c r="K1820" s="9">
        <v>0.0</v>
      </c>
      <c r="L1820" s="9" t="s">
        <v>69</v>
      </c>
      <c r="M1820" s="9" t="s">
        <v>55</v>
      </c>
      <c r="N1820" s="9">
        <v>8438626.55</v>
      </c>
      <c r="O1820" s="9">
        <v>8438626.55</v>
      </c>
      <c r="P1820" s="9">
        <v>260988.13</v>
      </c>
      <c r="Q1820" s="9">
        <v>260988.13</v>
      </c>
      <c r="R1820" s="9" t="s">
        <v>60</v>
      </c>
      <c r="S1820" s="9" t="s">
        <v>57</v>
      </c>
      <c r="T1820" s="9" t="s">
        <v>61</v>
      </c>
      <c r="V1820" s="9">
        <v>8471083.5</v>
      </c>
      <c r="W1820" s="9">
        <v>260988.13</v>
      </c>
      <c r="X1820" s="9">
        <v>0.0</v>
      </c>
    </row>
    <row r="1821" ht="15.75" customHeight="1">
      <c r="A1821" s="9">
        <v>2217018.0</v>
      </c>
      <c r="B1821" s="9">
        <v>2172973.0</v>
      </c>
      <c r="C1821" s="9">
        <v>37245.0</v>
      </c>
      <c r="D1821" s="9" t="s">
        <v>52</v>
      </c>
      <c r="E1821" s="9" t="s">
        <v>53</v>
      </c>
      <c r="F1821" s="9">
        <v>146406.0</v>
      </c>
      <c r="G1821" s="9">
        <v>2871841.55</v>
      </c>
      <c r="H1821" s="9">
        <v>2871841.55</v>
      </c>
      <c r="I1821" s="9">
        <v>2674008.0</v>
      </c>
      <c r="J1821" s="9">
        <v>0.0</v>
      </c>
      <c r="K1821" s="9">
        <v>0.0</v>
      </c>
      <c r="L1821" s="9" t="s">
        <v>59</v>
      </c>
      <c r="M1821" s="9" t="s">
        <v>55</v>
      </c>
      <c r="R1821" s="9" t="s">
        <v>56</v>
      </c>
      <c r="S1821" s="9" t="s">
        <v>57</v>
      </c>
      <c r="T1821" s="9" t="s">
        <v>58</v>
      </c>
      <c r="V1821" s="9">
        <v>2692579.58</v>
      </c>
      <c r="W1821" s="9">
        <v>0.0</v>
      </c>
      <c r="X1821" s="9">
        <v>0.0</v>
      </c>
    </row>
    <row r="1822" ht="15.75" customHeight="1">
      <c r="A1822" s="9">
        <v>2217620.0</v>
      </c>
      <c r="B1822" s="9">
        <v>4025427.0</v>
      </c>
      <c r="C1822" s="9">
        <v>29804.0</v>
      </c>
      <c r="D1822" s="9" t="s">
        <v>52</v>
      </c>
      <c r="E1822" s="9" t="s">
        <v>53</v>
      </c>
      <c r="F1822" s="9">
        <v>91457.0</v>
      </c>
      <c r="G1822" s="9">
        <v>4018904.4</v>
      </c>
      <c r="H1822" s="9">
        <v>4018904.4</v>
      </c>
      <c r="I1822" s="9">
        <v>0.0</v>
      </c>
      <c r="J1822" s="9">
        <v>0.0</v>
      </c>
      <c r="K1822" s="9">
        <v>0.0</v>
      </c>
      <c r="L1822" s="9" t="s">
        <v>54</v>
      </c>
      <c r="M1822" s="9" t="s">
        <v>65</v>
      </c>
      <c r="N1822" s="9">
        <v>142250.0</v>
      </c>
      <c r="O1822" s="9">
        <v>0.0</v>
      </c>
      <c r="R1822" s="9" t="s">
        <v>60</v>
      </c>
      <c r="S1822" s="9" t="s">
        <v>57</v>
      </c>
      <c r="T1822" s="9" t="s">
        <v>61</v>
      </c>
      <c r="V1822" s="9">
        <v>82500.0</v>
      </c>
      <c r="W1822" s="9">
        <v>0.0</v>
      </c>
    </row>
    <row r="1823" ht="15.75" customHeight="1">
      <c r="A1823" s="9">
        <v>2224540.0</v>
      </c>
      <c r="B1823" s="9">
        <v>3608374.0</v>
      </c>
      <c r="C1823" s="9">
        <v>40286.0</v>
      </c>
      <c r="D1823" s="9" t="s">
        <v>52</v>
      </c>
      <c r="E1823" s="9" t="s">
        <v>53</v>
      </c>
      <c r="F1823" s="9">
        <v>190884.0</v>
      </c>
      <c r="G1823" s="9">
        <v>1.0797893E7</v>
      </c>
      <c r="H1823" s="9">
        <v>1.295786576E7</v>
      </c>
      <c r="I1823" s="9">
        <v>1.241824494E7</v>
      </c>
      <c r="J1823" s="9">
        <v>72346.94</v>
      </c>
      <c r="K1823" s="9">
        <v>125053.0</v>
      </c>
      <c r="L1823" s="9" t="s">
        <v>59</v>
      </c>
      <c r="M1823" s="9" t="s">
        <v>55</v>
      </c>
      <c r="N1823" s="9">
        <v>9826771.51</v>
      </c>
      <c r="O1823" s="9">
        <v>9826771.51</v>
      </c>
      <c r="P1823" s="9">
        <v>497094.43</v>
      </c>
      <c r="Q1823" s="9">
        <v>497094.43</v>
      </c>
      <c r="R1823" s="9" t="s">
        <v>106</v>
      </c>
      <c r="S1823" s="9" t="s">
        <v>82</v>
      </c>
      <c r="T1823" s="9" t="s">
        <v>107</v>
      </c>
      <c r="U1823" s="9" t="s">
        <v>108</v>
      </c>
    </row>
    <row r="1824" ht="15.75" customHeight="1">
      <c r="A1824" s="9">
        <v>2225399.0</v>
      </c>
      <c r="B1824" s="9">
        <v>2114050.0</v>
      </c>
      <c r="C1824" s="9">
        <v>46657.0</v>
      </c>
      <c r="D1824" s="9" t="s">
        <v>52</v>
      </c>
      <c r="E1824" s="9" t="s">
        <v>53</v>
      </c>
      <c r="F1824" s="9">
        <v>236634.0</v>
      </c>
      <c r="G1824" s="9">
        <v>2827076.32</v>
      </c>
      <c r="H1824" s="9">
        <v>3799784.24</v>
      </c>
      <c r="I1824" s="9">
        <v>3740454.6</v>
      </c>
      <c r="J1824" s="9">
        <v>0.0</v>
      </c>
      <c r="K1824" s="9">
        <v>0.0</v>
      </c>
      <c r="L1824" s="9" t="s">
        <v>59</v>
      </c>
      <c r="M1824" s="9" t="s">
        <v>62</v>
      </c>
      <c r="N1824" s="9">
        <v>1599360.05</v>
      </c>
      <c r="O1824" s="9">
        <v>1599360.05</v>
      </c>
      <c r="R1824" s="9" t="s">
        <v>56</v>
      </c>
      <c r="S1824" s="9" t="s">
        <v>57</v>
      </c>
      <c r="T1824" s="9" t="s">
        <v>58</v>
      </c>
    </row>
    <row r="1825" ht="15.75" customHeight="1">
      <c r="A1825" s="9">
        <v>2225842.0</v>
      </c>
      <c r="B1825" s="9">
        <v>1.9619545E7</v>
      </c>
      <c r="C1825" s="9">
        <v>39161.0</v>
      </c>
      <c r="D1825" s="9" t="s">
        <v>52</v>
      </c>
      <c r="E1825" s="9" t="s">
        <v>52</v>
      </c>
      <c r="F1825" s="9">
        <v>176171.0</v>
      </c>
      <c r="G1825" s="9">
        <v>1.9619545E7</v>
      </c>
      <c r="H1825" s="9">
        <v>1.9789836933E8</v>
      </c>
      <c r="I1825" s="9">
        <v>1244299.18</v>
      </c>
      <c r="J1825" s="9">
        <v>0.0</v>
      </c>
      <c r="K1825" s="9">
        <v>196228.0</v>
      </c>
      <c r="L1825" s="9" t="s">
        <v>59</v>
      </c>
      <c r="M1825" s="9" t="s">
        <v>116</v>
      </c>
      <c r="R1825" s="9" t="s">
        <v>117</v>
      </c>
      <c r="S1825" s="9" t="s">
        <v>57</v>
      </c>
      <c r="T1825" s="9" t="s">
        <v>118</v>
      </c>
    </row>
    <row r="1826" ht="15.75" customHeight="1">
      <c r="A1826" s="9">
        <v>2226478.0</v>
      </c>
      <c r="B1826" s="9">
        <v>6.8783128E7</v>
      </c>
      <c r="C1826" s="9">
        <v>40287.0</v>
      </c>
      <c r="D1826" s="9" t="s">
        <v>52</v>
      </c>
      <c r="E1826" s="9" t="s">
        <v>53</v>
      </c>
      <c r="F1826" s="9">
        <v>200248.0</v>
      </c>
      <c r="G1826" s="9">
        <v>1.149062345E8</v>
      </c>
      <c r="H1826" s="9">
        <v>1.8554843269E8</v>
      </c>
      <c r="I1826" s="9">
        <v>1.6890228971E8</v>
      </c>
      <c r="J1826" s="9">
        <v>2647220.2</v>
      </c>
      <c r="K1826" s="9">
        <v>2659694.0</v>
      </c>
      <c r="L1826" s="9" t="s">
        <v>59</v>
      </c>
      <c r="M1826" s="9" t="s">
        <v>55</v>
      </c>
      <c r="N1826" s="9">
        <v>1.631264691E8</v>
      </c>
      <c r="O1826" s="9">
        <v>1.4902570651E8</v>
      </c>
      <c r="P1826" s="9">
        <v>4417417.5</v>
      </c>
      <c r="Q1826" s="9">
        <v>4417417.5</v>
      </c>
      <c r="R1826" s="9" t="s">
        <v>151</v>
      </c>
      <c r="S1826" s="9" t="s">
        <v>82</v>
      </c>
      <c r="T1826" s="9" t="s">
        <v>107</v>
      </c>
      <c r="U1826" s="9" t="s">
        <v>152</v>
      </c>
    </row>
    <row r="1827" ht="15.75" customHeight="1">
      <c r="A1827" s="9">
        <v>2226480.0</v>
      </c>
      <c r="B1827" s="9">
        <v>5.5394149E7</v>
      </c>
      <c r="C1827" s="9">
        <v>48595.0</v>
      </c>
      <c r="D1827" s="9" t="s">
        <v>52</v>
      </c>
      <c r="E1827" s="9" t="s">
        <v>53</v>
      </c>
      <c r="F1827" s="9">
        <v>229654.0</v>
      </c>
      <c r="G1827" s="9">
        <v>7.2731904E7</v>
      </c>
      <c r="H1827" s="9">
        <v>7.943381838E7</v>
      </c>
      <c r="I1827" s="9">
        <v>6.867851575E7</v>
      </c>
      <c r="J1827" s="9">
        <v>2539205.27</v>
      </c>
      <c r="K1827" s="9">
        <v>2566335.0</v>
      </c>
      <c r="L1827" s="9" t="s">
        <v>59</v>
      </c>
      <c r="M1827" s="9" t="s">
        <v>62</v>
      </c>
      <c r="N1827" s="9">
        <v>5692529.08</v>
      </c>
      <c r="O1827" s="9">
        <v>5692529.08</v>
      </c>
      <c r="P1827" s="9">
        <v>497929.8</v>
      </c>
      <c r="Q1827" s="9">
        <v>0.0</v>
      </c>
      <c r="R1827" s="9" t="s">
        <v>144</v>
      </c>
      <c r="S1827" s="9" t="s">
        <v>82</v>
      </c>
      <c r="T1827" s="9" t="s">
        <v>145</v>
      </c>
    </row>
    <row r="1828" ht="15.75" customHeight="1">
      <c r="A1828" s="9">
        <v>2227246.0</v>
      </c>
      <c r="B1828" s="9">
        <v>1053799.0</v>
      </c>
      <c r="C1828" s="9">
        <v>30167.0</v>
      </c>
      <c r="D1828" s="9" t="s">
        <v>52</v>
      </c>
      <c r="E1828" s="9" t="s">
        <v>53</v>
      </c>
      <c r="F1828" s="9">
        <v>10646.0</v>
      </c>
      <c r="G1828" s="9">
        <v>2755537.0</v>
      </c>
      <c r="H1828" s="9">
        <v>2755537.0</v>
      </c>
      <c r="I1828" s="9">
        <v>0.0</v>
      </c>
      <c r="J1828" s="9">
        <v>0.0</v>
      </c>
      <c r="K1828" s="9">
        <v>0.0</v>
      </c>
      <c r="L1828" s="9" t="s">
        <v>69</v>
      </c>
      <c r="M1828" s="9" t="s">
        <v>55</v>
      </c>
      <c r="N1828" s="9">
        <v>1439723.3</v>
      </c>
      <c r="O1828" s="9">
        <v>1410845.5</v>
      </c>
      <c r="R1828" s="9" t="s">
        <v>60</v>
      </c>
      <c r="S1828" s="9" t="s">
        <v>57</v>
      </c>
      <c r="T1828" s="9" t="s">
        <v>61</v>
      </c>
      <c r="V1828" s="9">
        <v>1076705.1</v>
      </c>
      <c r="W1828" s="9">
        <v>33274.87</v>
      </c>
      <c r="X1828" s="9">
        <v>0.0</v>
      </c>
    </row>
    <row r="1829" ht="15.75" customHeight="1">
      <c r="A1829" s="9">
        <v>2234234.0</v>
      </c>
      <c r="B1829" s="9">
        <v>1.9741941E7</v>
      </c>
      <c r="C1829" s="9">
        <v>32291.0</v>
      </c>
      <c r="D1829" s="9" t="s">
        <v>52</v>
      </c>
      <c r="E1829" s="9" t="s">
        <v>53</v>
      </c>
      <c r="F1829" s="9">
        <v>234975.0</v>
      </c>
      <c r="G1829" s="9">
        <v>2.505848267E7</v>
      </c>
      <c r="H1829" s="9">
        <v>2.587409731E7</v>
      </c>
      <c r="I1829" s="9">
        <v>2.504980478E7</v>
      </c>
      <c r="J1829" s="9">
        <v>0.0</v>
      </c>
      <c r="K1829" s="9">
        <v>0.0</v>
      </c>
      <c r="L1829" s="9" t="s">
        <v>59</v>
      </c>
      <c r="M1829" s="9" t="s">
        <v>55</v>
      </c>
      <c r="N1829" s="9">
        <v>2.129479841E7</v>
      </c>
      <c r="O1829" s="9">
        <v>2.129479841E7</v>
      </c>
      <c r="P1829" s="9">
        <v>1064739.93</v>
      </c>
      <c r="Q1829" s="9">
        <v>1064739.93</v>
      </c>
      <c r="R1829" s="9" t="s">
        <v>56</v>
      </c>
      <c r="S1829" s="9" t="s">
        <v>57</v>
      </c>
      <c r="T1829" s="9" t="s">
        <v>58</v>
      </c>
      <c r="V1829" s="9">
        <v>2.410036003E7</v>
      </c>
      <c r="W1829" s="9">
        <v>0.0</v>
      </c>
      <c r="X1829" s="9">
        <v>0.0</v>
      </c>
    </row>
    <row r="1830" ht="15.75" customHeight="1">
      <c r="A1830" s="9">
        <v>2244928.0</v>
      </c>
      <c r="B1830" s="9">
        <v>8407411.0</v>
      </c>
      <c r="C1830" s="9">
        <v>37650.0</v>
      </c>
      <c r="D1830" s="9" t="s">
        <v>52</v>
      </c>
      <c r="E1830" s="9" t="s">
        <v>53</v>
      </c>
      <c r="F1830" s="9">
        <v>295660.0</v>
      </c>
      <c r="G1830" s="9">
        <v>9899681.09</v>
      </c>
      <c r="H1830" s="9">
        <v>9899681.09</v>
      </c>
      <c r="I1830" s="9">
        <v>9803783.69</v>
      </c>
      <c r="J1830" s="9">
        <v>0.0</v>
      </c>
      <c r="K1830" s="9">
        <v>50000.0</v>
      </c>
      <c r="L1830" s="9" t="s">
        <v>59</v>
      </c>
      <c r="M1830" s="9" t="s">
        <v>55</v>
      </c>
      <c r="N1830" s="9">
        <v>9380648.6</v>
      </c>
      <c r="O1830" s="9">
        <v>9380648.6</v>
      </c>
      <c r="P1830" s="9">
        <v>395208.4</v>
      </c>
      <c r="Q1830" s="9">
        <v>395200.0</v>
      </c>
      <c r="R1830" s="9" t="s">
        <v>60</v>
      </c>
      <c r="S1830" s="9" t="s">
        <v>57</v>
      </c>
      <c r="T1830" s="9" t="s">
        <v>61</v>
      </c>
      <c r="V1830" s="9">
        <v>9380648.6</v>
      </c>
      <c r="W1830" s="9">
        <v>384635.09</v>
      </c>
      <c r="X1830" s="9">
        <v>0.0</v>
      </c>
    </row>
    <row r="1831" ht="15.75" customHeight="1">
      <c r="A1831" s="9">
        <v>2249610.0</v>
      </c>
      <c r="B1831" s="9">
        <v>4420486.0</v>
      </c>
      <c r="C1831" s="9">
        <v>37669.0</v>
      </c>
      <c r="D1831" s="9" t="s">
        <v>52</v>
      </c>
      <c r="E1831" s="9" t="s">
        <v>53</v>
      </c>
      <c r="F1831" s="9">
        <v>311160.0</v>
      </c>
      <c r="G1831" s="9">
        <v>5125105.0</v>
      </c>
      <c r="H1831" s="9">
        <v>5670539.66</v>
      </c>
      <c r="I1831" s="9">
        <v>3149913.12</v>
      </c>
      <c r="J1831" s="9">
        <v>0.0</v>
      </c>
      <c r="K1831" s="9">
        <v>1099783.0</v>
      </c>
      <c r="L1831" s="9" t="s">
        <v>59</v>
      </c>
      <c r="M1831" s="9" t="s">
        <v>55</v>
      </c>
      <c r="N1831" s="9">
        <v>4738195.0</v>
      </c>
      <c r="O1831" s="9">
        <v>4738195.0</v>
      </c>
      <c r="P1831" s="9">
        <v>236910.0</v>
      </c>
      <c r="Q1831" s="9">
        <v>236910.0</v>
      </c>
      <c r="R1831" s="9" t="s">
        <v>96</v>
      </c>
      <c r="S1831" s="9" t="s">
        <v>78</v>
      </c>
      <c r="T1831" s="9" t="s">
        <v>79</v>
      </c>
      <c r="U1831" s="9" t="s">
        <v>97</v>
      </c>
    </row>
    <row r="1832" ht="15.75" customHeight="1">
      <c r="A1832" s="9">
        <v>2252048.0</v>
      </c>
      <c r="B1832" s="9">
        <v>4118382.0</v>
      </c>
      <c r="C1832" s="9">
        <v>47186.0</v>
      </c>
      <c r="D1832" s="9" t="s">
        <v>52</v>
      </c>
      <c r="E1832" s="9" t="s">
        <v>53</v>
      </c>
      <c r="F1832" s="9">
        <v>263923.0</v>
      </c>
      <c r="G1832" s="9">
        <v>1.002872315E7</v>
      </c>
      <c r="H1832" s="9">
        <v>1.450635394E7</v>
      </c>
      <c r="I1832" s="9">
        <v>2435714.82</v>
      </c>
      <c r="J1832" s="9">
        <v>0.0</v>
      </c>
      <c r="K1832" s="9">
        <v>5615901.0</v>
      </c>
      <c r="L1832" s="9" t="s">
        <v>59</v>
      </c>
      <c r="M1832" s="9" t="s">
        <v>55</v>
      </c>
      <c r="N1832" s="9">
        <v>8914128.99</v>
      </c>
      <c r="O1832" s="9">
        <v>8022716.1</v>
      </c>
      <c r="P1832" s="9">
        <v>470000.0</v>
      </c>
      <c r="Q1832" s="9">
        <v>423000.0</v>
      </c>
      <c r="R1832" s="9" t="s">
        <v>63</v>
      </c>
      <c r="S1832" s="9" t="s">
        <v>63</v>
      </c>
    </row>
    <row r="1833" ht="15.75" customHeight="1">
      <c r="A1833" s="9">
        <v>2252082.0</v>
      </c>
      <c r="B1833" s="9">
        <v>9981185.0</v>
      </c>
      <c r="C1833" s="9">
        <v>32169.0</v>
      </c>
      <c r="D1833" s="9" t="s">
        <v>52</v>
      </c>
      <c r="E1833" s="9" t="s">
        <v>53</v>
      </c>
      <c r="F1833" s="9">
        <v>278899.0</v>
      </c>
      <c r="G1833" s="9">
        <v>8326985.55</v>
      </c>
      <c r="H1833" s="9">
        <v>4281669.07</v>
      </c>
      <c r="I1833" s="9">
        <v>4274002.0</v>
      </c>
      <c r="J1833" s="9">
        <v>0.0</v>
      </c>
      <c r="K1833" s="9">
        <v>31020.0</v>
      </c>
      <c r="L1833" s="9" t="s">
        <v>59</v>
      </c>
      <c r="M1833" s="9" t="s">
        <v>55</v>
      </c>
      <c r="N1833" s="9">
        <v>3969483.2</v>
      </c>
      <c r="O1833" s="9">
        <v>3572534.89</v>
      </c>
      <c r="P1833" s="9">
        <v>178626.74</v>
      </c>
      <c r="Q1833" s="9">
        <v>160764.07</v>
      </c>
      <c r="R1833" s="9" t="s">
        <v>56</v>
      </c>
      <c r="S1833" s="9" t="s">
        <v>57</v>
      </c>
      <c r="T1833" s="9" t="s">
        <v>58</v>
      </c>
      <c r="V1833" s="9">
        <v>3770722.38</v>
      </c>
      <c r="W1833" s="9">
        <v>160764.07</v>
      </c>
      <c r="X1833" s="9">
        <v>0.0</v>
      </c>
    </row>
    <row r="1834" ht="15.75" customHeight="1">
      <c r="A1834" s="9">
        <v>2276516.0</v>
      </c>
      <c r="B1834" s="9">
        <v>9616831.0</v>
      </c>
      <c r="C1834" s="9">
        <v>39551.0</v>
      </c>
      <c r="D1834" s="9" t="s">
        <v>52</v>
      </c>
      <c r="E1834" s="9" t="s">
        <v>87</v>
      </c>
      <c r="F1834" s="9">
        <v>318006.0</v>
      </c>
      <c r="G1834" s="9">
        <v>1.3042444E7</v>
      </c>
      <c r="H1834" s="9">
        <v>1.222746973E7</v>
      </c>
      <c r="I1834" s="9">
        <v>1.222746973E7</v>
      </c>
      <c r="J1834" s="9">
        <v>0.0</v>
      </c>
      <c r="K1834" s="9">
        <v>0.0</v>
      </c>
      <c r="L1834" s="9" t="s">
        <v>69</v>
      </c>
      <c r="M1834" s="9" t="s">
        <v>55</v>
      </c>
      <c r="N1834" s="9">
        <v>1.108113489E7</v>
      </c>
      <c r="O1834" s="9">
        <v>1.108113489E7</v>
      </c>
      <c r="P1834" s="9">
        <v>450301.66</v>
      </c>
      <c r="Q1834" s="9">
        <v>427786.58</v>
      </c>
      <c r="R1834" s="9" t="s">
        <v>115</v>
      </c>
      <c r="S1834" s="9" t="s">
        <v>115</v>
      </c>
      <c r="V1834" s="9">
        <v>1.167444255E7</v>
      </c>
      <c r="W1834" s="9">
        <v>553027.18</v>
      </c>
    </row>
    <row r="1835" ht="15.75" customHeight="1">
      <c r="A1835" s="9">
        <v>2278252.0</v>
      </c>
      <c r="B1835" s="9">
        <v>1.226785859E7</v>
      </c>
      <c r="C1835" s="9">
        <v>47168.0</v>
      </c>
      <c r="D1835" s="9" t="s">
        <v>52</v>
      </c>
      <c r="E1835" s="9" t="s">
        <v>126</v>
      </c>
      <c r="F1835" s="9">
        <v>323126.0</v>
      </c>
      <c r="H1835" s="9">
        <v>2.34335513E7</v>
      </c>
      <c r="I1835" s="9">
        <v>2.122912633E7</v>
      </c>
      <c r="J1835" s="9">
        <v>4179760.95</v>
      </c>
      <c r="K1835" s="9">
        <v>6255051.0</v>
      </c>
      <c r="L1835" s="9" t="s">
        <v>59</v>
      </c>
      <c r="M1835" s="9" t="s">
        <v>55</v>
      </c>
      <c r="N1835" s="9">
        <v>1.7789962E7</v>
      </c>
      <c r="O1835" s="9">
        <v>1.843682507E7</v>
      </c>
      <c r="P1835" s="9">
        <v>1296200.88</v>
      </c>
      <c r="Q1835" s="9">
        <v>1213009.32</v>
      </c>
      <c r="R1835" s="9" t="s">
        <v>75</v>
      </c>
      <c r="S1835" s="9" t="s">
        <v>57</v>
      </c>
      <c r="T1835" s="9" t="s">
        <v>76</v>
      </c>
    </row>
    <row r="1836" ht="15.75" customHeight="1">
      <c r="A1836" s="9">
        <v>2279322.0</v>
      </c>
      <c r="B1836" s="9">
        <v>2893623.0</v>
      </c>
      <c r="C1836" s="9">
        <v>47189.0</v>
      </c>
      <c r="D1836" s="9" t="s">
        <v>52</v>
      </c>
      <c r="E1836" s="9" t="s">
        <v>53</v>
      </c>
      <c r="F1836" s="9">
        <v>323637.0</v>
      </c>
      <c r="G1836" s="9">
        <v>4865087.18</v>
      </c>
      <c r="H1836" s="9">
        <v>5085006.62</v>
      </c>
      <c r="I1836" s="9">
        <v>5045272.72</v>
      </c>
      <c r="J1836" s="9">
        <v>84925.0</v>
      </c>
      <c r="K1836" s="9">
        <v>110994.0</v>
      </c>
      <c r="L1836" s="9" t="s">
        <v>59</v>
      </c>
      <c r="M1836" s="9" t="s">
        <v>55</v>
      </c>
      <c r="N1836" s="9">
        <v>4689455.57</v>
      </c>
      <c r="O1836" s="9">
        <v>4687000.0</v>
      </c>
      <c r="P1836" s="9">
        <v>260689.0</v>
      </c>
      <c r="Q1836" s="9">
        <v>234620.27</v>
      </c>
      <c r="R1836" s="9" t="s">
        <v>56</v>
      </c>
      <c r="S1836" s="9" t="s">
        <v>57</v>
      </c>
      <c r="T1836" s="9" t="s">
        <v>58</v>
      </c>
    </row>
    <row r="1837" ht="15.75" customHeight="1">
      <c r="A1837" s="9">
        <v>2439239.0</v>
      </c>
      <c r="B1837" s="9">
        <v>1088810.23</v>
      </c>
      <c r="C1837" s="9">
        <v>43165.0</v>
      </c>
      <c r="D1837" s="9" t="s">
        <v>52</v>
      </c>
      <c r="E1837" s="9" t="s">
        <v>111</v>
      </c>
      <c r="F1837" s="9">
        <v>2439239.0</v>
      </c>
      <c r="G1837" s="9">
        <v>1088810.23</v>
      </c>
      <c r="H1837" s="9">
        <v>1423351.24</v>
      </c>
      <c r="I1837" s="9">
        <v>0.0</v>
      </c>
      <c r="J1837" s="9">
        <v>0.0</v>
      </c>
      <c r="K1837" s="9">
        <v>0.0</v>
      </c>
      <c r="L1837" s="9" t="s">
        <v>59</v>
      </c>
      <c r="M1837" s="9" t="s">
        <v>55</v>
      </c>
      <c r="R1837" s="9" t="s">
        <v>141</v>
      </c>
      <c r="S1837" s="9" t="s">
        <v>101</v>
      </c>
      <c r="T1837" s="9" t="s">
        <v>142</v>
      </c>
    </row>
    <row r="1838" ht="15.75" customHeight="1">
      <c r="A1838" s="9">
        <v>2439240.0</v>
      </c>
      <c r="B1838" s="9">
        <v>484819.7</v>
      </c>
      <c r="C1838" s="9">
        <v>43167.0</v>
      </c>
      <c r="D1838" s="9" t="s">
        <v>52</v>
      </c>
      <c r="E1838" s="9" t="s">
        <v>111</v>
      </c>
      <c r="F1838" s="9">
        <v>2439240.0</v>
      </c>
      <c r="G1838" s="9">
        <v>484819.7</v>
      </c>
      <c r="H1838" s="9">
        <v>494222.7</v>
      </c>
      <c r="I1838" s="9">
        <v>0.0</v>
      </c>
      <c r="J1838" s="9">
        <v>0.0</v>
      </c>
      <c r="K1838" s="9">
        <v>0.0</v>
      </c>
      <c r="L1838" s="9" t="s">
        <v>59</v>
      </c>
      <c r="M1838" s="9" t="s">
        <v>55</v>
      </c>
      <c r="R1838" s="9" t="s">
        <v>75</v>
      </c>
      <c r="S1838" s="9" t="s">
        <v>57</v>
      </c>
      <c r="T1838" s="9" t="s">
        <v>76</v>
      </c>
    </row>
    <row r="1839" ht="15.75" customHeight="1">
      <c r="A1839" s="9">
        <v>2439258.0</v>
      </c>
      <c r="B1839" s="9">
        <v>103338.47</v>
      </c>
      <c r="C1839" s="9">
        <v>43082.0</v>
      </c>
      <c r="D1839" s="9" t="s">
        <v>52</v>
      </c>
      <c r="E1839" s="9" t="s">
        <v>111</v>
      </c>
      <c r="F1839" s="9">
        <v>2439258.0</v>
      </c>
      <c r="G1839" s="9">
        <v>103338.47</v>
      </c>
      <c r="H1839" s="9">
        <v>106744.87</v>
      </c>
      <c r="I1839" s="9">
        <v>2964.46</v>
      </c>
      <c r="J1839" s="9">
        <v>0.0</v>
      </c>
      <c r="K1839" s="9">
        <v>0.0</v>
      </c>
      <c r="L1839" s="9" t="s">
        <v>59</v>
      </c>
      <c r="M1839" s="9" t="s">
        <v>55</v>
      </c>
      <c r="R1839" s="9" t="s">
        <v>56</v>
      </c>
      <c r="S1839" s="9" t="s">
        <v>57</v>
      </c>
      <c r="T1839" s="9" t="s">
        <v>58</v>
      </c>
    </row>
    <row r="1840" ht="15.75" customHeight="1">
      <c r="A1840" s="9">
        <v>2439289.0</v>
      </c>
      <c r="B1840" s="9">
        <v>70036.82</v>
      </c>
      <c r="C1840" s="9">
        <v>43205.0</v>
      </c>
      <c r="D1840" s="9" t="s">
        <v>52</v>
      </c>
      <c r="E1840" s="9" t="s">
        <v>111</v>
      </c>
      <c r="F1840" s="9">
        <v>2439289.0</v>
      </c>
      <c r="G1840" s="9">
        <v>70036.82</v>
      </c>
      <c r="H1840" s="9">
        <v>73454.89</v>
      </c>
      <c r="I1840" s="9">
        <v>0.0</v>
      </c>
      <c r="J1840" s="9">
        <v>0.0</v>
      </c>
      <c r="K1840" s="9">
        <v>0.0</v>
      </c>
      <c r="L1840" s="9" t="s">
        <v>59</v>
      </c>
      <c r="M1840" s="9" t="s">
        <v>55</v>
      </c>
      <c r="R1840" s="9" t="s">
        <v>94</v>
      </c>
      <c r="S1840" s="9" t="s">
        <v>57</v>
      </c>
      <c r="T1840" s="9" t="s">
        <v>95</v>
      </c>
    </row>
    <row r="1841" ht="15.75" customHeight="1">
      <c r="A1841" s="9">
        <v>2439290.0</v>
      </c>
      <c r="B1841" s="9">
        <v>2130972.63</v>
      </c>
      <c r="C1841" s="9">
        <v>43203.0</v>
      </c>
      <c r="D1841" s="9" t="s">
        <v>52</v>
      </c>
      <c r="E1841" s="9" t="s">
        <v>111</v>
      </c>
      <c r="F1841" s="9">
        <v>2439290.0</v>
      </c>
      <c r="G1841" s="9">
        <v>2130972.63</v>
      </c>
      <c r="H1841" s="9">
        <v>2159517.28</v>
      </c>
      <c r="I1841" s="9">
        <v>47724.23</v>
      </c>
      <c r="J1841" s="9">
        <v>0.0</v>
      </c>
      <c r="K1841" s="9">
        <v>0.0</v>
      </c>
      <c r="L1841" s="9" t="s">
        <v>59</v>
      </c>
      <c r="M1841" s="9" t="s">
        <v>55</v>
      </c>
      <c r="R1841" s="9" t="s">
        <v>56</v>
      </c>
      <c r="S1841" s="9" t="s">
        <v>57</v>
      </c>
      <c r="T1841" s="9" t="s">
        <v>58</v>
      </c>
    </row>
    <row r="1842" ht="15.75" customHeight="1">
      <c r="A1842" s="9">
        <v>2439325.0</v>
      </c>
      <c r="B1842" s="9">
        <v>185189.84</v>
      </c>
      <c r="C1842" s="9">
        <v>43150.0</v>
      </c>
      <c r="D1842" s="9" t="s">
        <v>52</v>
      </c>
      <c r="E1842" s="9" t="s">
        <v>111</v>
      </c>
      <c r="F1842" s="9">
        <v>2439325.0</v>
      </c>
      <c r="G1842" s="9">
        <v>185189.84</v>
      </c>
      <c r="H1842" s="9">
        <v>190109.84</v>
      </c>
      <c r="I1842" s="9">
        <v>9839.23</v>
      </c>
      <c r="J1842" s="9">
        <v>0.0</v>
      </c>
      <c r="K1842" s="9">
        <v>0.0</v>
      </c>
      <c r="L1842" s="9" t="s">
        <v>59</v>
      </c>
      <c r="M1842" s="9" t="s">
        <v>55</v>
      </c>
      <c r="R1842" s="9" t="s">
        <v>56</v>
      </c>
      <c r="S1842" s="9" t="s">
        <v>57</v>
      </c>
      <c r="T1842" s="9" t="s">
        <v>58</v>
      </c>
    </row>
    <row r="1843" ht="15.75" customHeight="1">
      <c r="A1843" s="9">
        <v>2439340.0</v>
      </c>
      <c r="B1843" s="9">
        <v>83835.26</v>
      </c>
      <c r="C1843" s="9">
        <v>43220.0</v>
      </c>
      <c r="D1843" s="9" t="s">
        <v>52</v>
      </c>
      <c r="E1843" s="9" t="s">
        <v>111</v>
      </c>
      <c r="F1843" s="9">
        <v>2439340.0</v>
      </c>
      <c r="G1843" s="9">
        <v>83835.26</v>
      </c>
      <c r="H1843" s="9">
        <v>87363.76</v>
      </c>
      <c r="I1843" s="9">
        <v>0.0</v>
      </c>
      <c r="J1843" s="9">
        <v>0.0</v>
      </c>
      <c r="K1843" s="9">
        <v>0.0</v>
      </c>
      <c r="L1843" s="9" t="s">
        <v>59</v>
      </c>
      <c r="M1843" s="9" t="s">
        <v>55</v>
      </c>
      <c r="R1843" s="9" t="s">
        <v>75</v>
      </c>
      <c r="S1843" s="9" t="s">
        <v>57</v>
      </c>
      <c r="T1843" s="9" t="s">
        <v>76</v>
      </c>
    </row>
    <row r="1844" ht="15.75" customHeight="1">
      <c r="A1844" s="9">
        <v>2439343.0</v>
      </c>
      <c r="B1844" s="9">
        <v>144814.11</v>
      </c>
      <c r="C1844" s="9">
        <v>43136.0</v>
      </c>
      <c r="D1844" s="9" t="s">
        <v>52</v>
      </c>
      <c r="E1844" s="9" t="s">
        <v>111</v>
      </c>
      <c r="F1844" s="9">
        <v>2439343.0</v>
      </c>
      <c r="G1844" s="9">
        <v>144814.11</v>
      </c>
      <c r="H1844" s="9">
        <v>146652.11</v>
      </c>
      <c r="I1844" s="9">
        <v>9339.25</v>
      </c>
      <c r="J1844" s="9">
        <v>0.0</v>
      </c>
      <c r="K1844" s="9">
        <v>0.0</v>
      </c>
      <c r="L1844" s="9" t="s">
        <v>59</v>
      </c>
      <c r="M1844" s="9" t="s">
        <v>55</v>
      </c>
      <c r="R1844" s="9" t="s">
        <v>72</v>
      </c>
      <c r="S1844" s="9" t="s">
        <v>57</v>
      </c>
      <c r="T1844" s="9" t="s">
        <v>73</v>
      </c>
      <c r="V1844" s="9">
        <v>127486.02</v>
      </c>
    </row>
    <row r="1845" ht="15.75" customHeight="1">
      <c r="A1845" s="9">
        <v>2439408.0</v>
      </c>
      <c r="B1845" s="9">
        <v>166010.98</v>
      </c>
      <c r="C1845" s="9">
        <v>43096.0</v>
      </c>
      <c r="D1845" s="9" t="s">
        <v>52</v>
      </c>
      <c r="E1845" s="9" t="s">
        <v>111</v>
      </c>
      <c r="F1845" s="9">
        <v>2439408.0</v>
      </c>
      <c r="G1845" s="9">
        <v>166010.98</v>
      </c>
      <c r="H1845" s="9">
        <v>169040.48</v>
      </c>
      <c r="I1845" s="9">
        <v>8212.12</v>
      </c>
      <c r="J1845" s="9">
        <v>0.0</v>
      </c>
      <c r="K1845" s="9">
        <v>0.0</v>
      </c>
      <c r="L1845" s="9" t="s">
        <v>59</v>
      </c>
      <c r="M1845" s="9" t="s">
        <v>55</v>
      </c>
      <c r="R1845" s="9" t="s">
        <v>94</v>
      </c>
      <c r="S1845" s="9" t="s">
        <v>57</v>
      </c>
      <c r="T1845" s="9" t="s">
        <v>95</v>
      </c>
    </row>
    <row r="1846" ht="15.75" customHeight="1">
      <c r="A1846" s="9">
        <v>2439458.0</v>
      </c>
      <c r="B1846" s="9">
        <v>163322.67</v>
      </c>
      <c r="C1846" s="9">
        <v>43135.0</v>
      </c>
      <c r="D1846" s="9" t="s">
        <v>52</v>
      </c>
      <c r="E1846" s="9" t="s">
        <v>111</v>
      </c>
      <c r="F1846" s="9">
        <v>2439458.0</v>
      </c>
      <c r="G1846" s="9">
        <v>163322.67</v>
      </c>
      <c r="H1846" s="9">
        <v>166631.67</v>
      </c>
      <c r="I1846" s="9">
        <v>0.0</v>
      </c>
      <c r="J1846" s="9">
        <v>0.0</v>
      </c>
      <c r="K1846" s="9">
        <v>0.0</v>
      </c>
      <c r="L1846" s="9" t="s">
        <v>59</v>
      </c>
      <c r="M1846" s="9" t="s">
        <v>55</v>
      </c>
      <c r="R1846" s="9" t="s">
        <v>75</v>
      </c>
      <c r="S1846" s="9" t="s">
        <v>57</v>
      </c>
      <c r="T1846" s="9" t="s">
        <v>76</v>
      </c>
    </row>
    <row r="1847" ht="15.75" customHeight="1">
      <c r="A1847" s="9">
        <v>2440025.0</v>
      </c>
      <c r="B1847" s="9">
        <v>89223.54</v>
      </c>
      <c r="C1847" s="9">
        <v>43427.0</v>
      </c>
      <c r="D1847" s="9" t="s">
        <v>52</v>
      </c>
      <c r="E1847" s="9" t="s">
        <v>111</v>
      </c>
      <c r="F1847" s="9">
        <v>2440025.0</v>
      </c>
      <c r="G1847" s="9">
        <v>89223.54</v>
      </c>
      <c r="H1847" s="9">
        <v>90856.44</v>
      </c>
      <c r="I1847" s="9">
        <v>4870.0</v>
      </c>
      <c r="J1847" s="9">
        <v>0.0</v>
      </c>
      <c r="K1847" s="9">
        <v>0.0</v>
      </c>
      <c r="L1847" s="9" t="s">
        <v>59</v>
      </c>
      <c r="M1847" s="9" t="s">
        <v>55</v>
      </c>
      <c r="R1847" s="9" t="s">
        <v>56</v>
      </c>
      <c r="S1847" s="9" t="s">
        <v>57</v>
      </c>
      <c r="T1847" s="9" t="s">
        <v>58</v>
      </c>
    </row>
    <row r="1848" ht="15.75" customHeight="1">
      <c r="A1848" s="9">
        <v>2440493.0</v>
      </c>
      <c r="B1848" s="9">
        <v>2972036.68</v>
      </c>
      <c r="C1848" s="9">
        <v>43247.0</v>
      </c>
      <c r="D1848" s="9" t="s">
        <v>52</v>
      </c>
      <c r="E1848" s="9" t="s">
        <v>111</v>
      </c>
      <c r="F1848" s="9">
        <v>2440493.0</v>
      </c>
      <c r="G1848" s="9">
        <v>2972036.68</v>
      </c>
      <c r="H1848" s="9">
        <v>3010594.68</v>
      </c>
      <c r="I1848" s="9">
        <v>61067.61</v>
      </c>
      <c r="J1848" s="9">
        <v>0.0</v>
      </c>
      <c r="K1848" s="9">
        <v>0.0</v>
      </c>
      <c r="L1848" s="9" t="s">
        <v>59</v>
      </c>
      <c r="M1848" s="9" t="s">
        <v>55</v>
      </c>
      <c r="R1848" s="9" t="s">
        <v>94</v>
      </c>
      <c r="S1848" s="9" t="s">
        <v>57</v>
      </c>
      <c r="T1848" s="9" t="s">
        <v>95</v>
      </c>
    </row>
    <row r="1849" ht="15.75" customHeight="1">
      <c r="A1849" s="9">
        <v>2440494.0</v>
      </c>
      <c r="B1849" s="9">
        <v>373916.41</v>
      </c>
      <c r="C1849" s="9">
        <v>43139.0</v>
      </c>
      <c r="D1849" s="9" t="s">
        <v>52</v>
      </c>
      <c r="E1849" s="9" t="s">
        <v>111</v>
      </c>
      <c r="F1849" s="9">
        <v>2440494.0</v>
      </c>
      <c r="G1849" s="9">
        <v>373916.41</v>
      </c>
      <c r="H1849" s="9">
        <v>380017.91</v>
      </c>
      <c r="I1849" s="9">
        <v>2257.3</v>
      </c>
      <c r="J1849" s="9">
        <v>0.0</v>
      </c>
      <c r="K1849" s="9">
        <v>0.0</v>
      </c>
      <c r="L1849" s="9" t="s">
        <v>59</v>
      </c>
      <c r="M1849" s="9" t="s">
        <v>55</v>
      </c>
      <c r="R1849" s="9" t="s">
        <v>106</v>
      </c>
      <c r="S1849" s="9" t="s">
        <v>82</v>
      </c>
      <c r="T1849" s="9" t="s">
        <v>107</v>
      </c>
      <c r="U1849" s="9" t="s">
        <v>108</v>
      </c>
    </row>
    <row r="1850" ht="15.75" customHeight="1">
      <c r="A1850" s="9">
        <v>2440579.0</v>
      </c>
      <c r="B1850" s="9">
        <v>252835.11</v>
      </c>
      <c r="C1850" s="9">
        <v>43286.0</v>
      </c>
      <c r="D1850" s="9" t="s">
        <v>52</v>
      </c>
      <c r="E1850" s="9" t="s">
        <v>111</v>
      </c>
      <c r="F1850" s="9">
        <v>2440579.0</v>
      </c>
      <c r="G1850" s="9">
        <v>252835.11</v>
      </c>
      <c r="H1850" s="9">
        <v>259438.17</v>
      </c>
      <c r="I1850" s="9">
        <v>7922.18</v>
      </c>
      <c r="J1850" s="9">
        <v>0.0</v>
      </c>
      <c r="K1850" s="9">
        <v>0.0</v>
      </c>
      <c r="L1850" s="9" t="s">
        <v>59</v>
      </c>
      <c r="M1850" s="9" t="s">
        <v>55</v>
      </c>
      <c r="R1850" s="9" t="s">
        <v>94</v>
      </c>
      <c r="S1850" s="9" t="s">
        <v>57</v>
      </c>
      <c r="T1850" s="9" t="s">
        <v>95</v>
      </c>
    </row>
    <row r="1851" ht="15.75" customHeight="1">
      <c r="A1851" s="9">
        <v>2453194.0</v>
      </c>
      <c r="B1851" s="9">
        <v>6.403528899E7</v>
      </c>
      <c r="C1851" s="9">
        <v>44054.0</v>
      </c>
      <c r="D1851" s="9" t="s">
        <v>52</v>
      </c>
      <c r="E1851" s="9" t="s">
        <v>53</v>
      </c>
      <c r="F1851" s="9">
        <v>2453194.0</v>
      </c>
      <c r="G1851" s="9">
        <v>6218224.56</v>
      </c>
      <c r="H1851" s="9">
        <v>6.374897568E7</v>
      </c>
      <c r="I1851" s="9">
        <v>6352808.47</v>
      </c>
      <c r="J1851" s="9">
        <v>0.0</v>
      </c>
      <c r="K1851" s="9">
        <v>0.0</v>
      </c>
      <c r="L1851" s="9" t="s">
        <v>69</v>
      </c>
      <c r="M1851" s="9" t="s">
        <v>55</v>
      </c>
      <c r="N1851" s="9">
        <v>5889644.96</v>
      </c>
      <c r="O1851" s="9">
        <v>5889644.96</v>
      </c>
      <c r="P1851" s="9">
        <v>294482.25</v>
      </c>
      <c r="Q1851" s="9">
        <v>294482.25</v>
      </c>
      <c r="R1851" s="9" t="s">
        <v>60</v>
      </c>
      <c r="S1851" s="9" t="s">
        <v>57</v>
      </c>
      <c r="T1851" s="9" t="s">
        <v>61</v>
      </c>
      <c r="V1851" s="9">
        <v>5567496.74</v>
      </c>
      <c r="W1851" s="9">
        <v>322144.53</v>
      </c>
      <c r="X1851" s="9">
        <v>0.0</v>
      </c>
    </row>
    <row r="1852" ht="15.75" customHeight="1">
      <c r="A1852" s="9">
        <v>2483010.0</v>
      </c>
      <c r="B1852" s="9">
        <v>4.6564592E7</v>
      </c>
      <c r="C1852" s="9">
        <v>47336.0</v>
      </c>
      <c r="D1852" s="9" t="s">
        <v>52</v>
      </c>
      <c r="E1852" s="9" t="s">
        <v>53</v>
      </c>
      <c r="F1852" s="9">
        <v>2483010.0</v>
      </c>
      <c r="G1852" s="9">
        <v>5.044373696E7</v>
      </c>
      <c r="H1852" s="9">
        <v>5.375672494E7</v>
      </c>
      <c r="I1852" s="9">
        <v>1.907122855E7</v>
      </c>
      <c r="J1852" s="9">
        <v>4831398.05</v>
      </c>
      <c r="K1852" s="9">
        <v>3.9715742E7</v>
      </c>
      <c r="L1852" s="9" t="s">
        <v>59</v>
      </c>
      <c r="M1852" s="9" t="s">
        <v>55</v>
      </c>
      <c r="N1852" s="9">
        <v>5.344921286E7</v>
      </c>
      <c r="O1852" s="9">
        <v>4.7E7</v>
      </c>
      <c r="P1852" s="9">
        <v>2642535.8</v>
      </c>
      <c r="Q1852" s="9">
        <v>2015493.41</v>
      </c>
      <c r="R1852" s="9" t="s">
        <v>135</v>
      </c>
      <c r="S1852" s="9" t="s">
        <v>82</v>
      </c>
      <c r="T1852" s="9" t="s">
        <v>83</v>
      </c>
      <c r="U1852" s="9" t="s">
        <v>136</v>
      </c>
    </row>
    <row r="1853" ht="15.75" customHeight="1">
      <c r="A1853" s="9">
        <v>2503669.0</v>
      </c>
      <c r="B1853" s="9">
        <v>4205268.5</v>
      </c>
      <c r="C1853" s="9">
        <v>47158.0</v>
      </c>
      <c r="D1853" s="9" t="s">
        <v>52</v>
      </c>
      <c r="E1853" s="9" t="s">
        <v>53</v>
      </c>
      <c r="F1853" s="9">
        <v>2503669.0</v>
      </c>
      <c r="G1853" s="9">
        <v>2707921.49</v>
      </c>
      <c r="H1853" s="9">
        <v>2918313.44</v>
      </c>
      <c r="I1853" s="9">
        <v>2803573.92</v>
      </c>
      <c r="J1853" s="9">
        <v>11700.0</v>
      </c>
      <c r="K1853" s="9">
        <v>45230.0</v>
      </c>
      <c r="L1853" s="9" t="s">
        <v>59</v>
      </c>
      <c r="M1853" s="9" t="s">
        <v>55</v>
      </c>
      <c r="N1853" s="9">
        <v>2754313.44</v>
      </c>
      <c r="O1853" s="9">
        <v>2478882.1</v>
      </c>
      <c r="P1853" s="9">
        <v>130000.0</v>
      </c>
      <c r="Q1853" s="9">
        <v>117000.0</v>
      </c>
      <c r="R1853" s="9" t="s">
        <v>56</v>
      </c>
      <c r="S1853" s="9" t="s">
        <v>57</v>
      </c>
      <c r="T1853" s="9" t="s">
        <v>58</v>
      </c>
      <c r="V1853" s="9">
        <v>2654103.91</v>
      </c>
      <c r="W1853" s="9">
        <v>106470.0</v>
      </c>
      <c r="X1853" s="9">
        <v>0.0</v>
      </c>
    </row>
    <row r="1854" ht="15.75" customHeight="1">
      <c r="A1854" s="9">
        <v>2536439.0</v>
      </c>
      <c r="B1854" s="9">
        <v>2.2233994913E8</v>
      </c>
      <c r="C1854" s="9">
        <v>48163.0</v>
      </c>
      <c r="D1854" s="9" t="s">
        <v>52</v>
      </c>
      <c r="E1854" s="9" t="s">
        <v>111</v>
      </c>
      <c r="F1854" s="9">
        <v>2536439.0</v>
      </c>
      <c r="H1854" s="9">
        <v>2.2341528567E8</v>
      </c>
      <c r="I1854" s="9">
        <v>1.0593253754E8</v>
      </c>
      <c r="J1854" s="9">
        <v>8.7526334E7</v>
      </c>
      <c r="K1854" s="9">
        <v>8.8044438E7</v>
      </c>
      <c r="L1854" s="9" t="s">
        <v>59</v>
      </c>
      <c r="M1854" s="9" t="s">
        <v>55</v>
      </c>
      <c r="N1854" s="9">
        <v>1.6845875872E8</v>
      </c>
      <c r="O1854" s="9">
        <v>1.6642265361E8</v>
      </c>
      <c r="P1854" s="9">
        <v>6399771.05</v>
      </c>
      <c r="Q1854" s="9">
        <v>5759793.95</v>
      </c>
      <c r="R1854" s="9" t="s">
        <v>98</v>
      </c>
      <c r="S1854" s="9" t="s">
        <v>82</v>
      </c>
      <c r="T1854" s="9" t="s">
        <v>99</v>
      </c>
    </row>
    <row r="1855" ht="15.75" customHeight="1">
      <c r="A1855" s="9">
        <v>2565120.0</v>
      </c>
      <c r="B1855" s="9">
        <v>7938860.5</v>
      </c>
      <c r="C1855" s="9">
        <v>47520.0</v>
      </c>
      <c r="D1855" s="9" t="s">
        <v>52</v>
      </c>
      <c r="E1855" s="9" t="s">
        <v>53</v>
      </c>
      <c r="F1855" s="9">
        <v>2565120.0</v>
      </c>
      <c r="G1855" s="9">
        <v>8447565.98</v>
      </c>
      <c r="H1855" s="9">
        <v>8672337.92</v>
      </c>
      <c r="I1855" s="9">
        <v>7524144.0</v>
      </c>
      <c r="J1855" s="9">
        <v>1651932.0</v>
      </c>
      <c r="K1855" s="9">
        <v>2841046.0</v>
      </c>
      <c r="L1855" s="9" t="s">
        <v>59</v>
      </c>
      <c r="M1855" s="9" t="s">
        <v>55</v>
      </c>
      <c r="N1855" s="9">
        <v>7912607.62</v>
      </c>
      <c r="O1855" s="9">
        <v>7121346.86</v>
      </c>
      <c r="P1855" s="9">
        <v>454663.5</v>
      </c>
      <c r="Q1855" s="9">
        <v>409197.15</v>
      </c>
      <c r="R1855" s="9" t="s">
        <v>56</v>
      </c>
      <c r="S1855" s="9" t="s">
        <v>57</v>
      </c>
      <c r="T1855" s="9" t="s">
        <v>58</v>
      </c>
      <c r="V1855" s="9">
        <v>6910548.99</v>
      </c>
      <c r="W1855" s="9">
        <v>409197.14</v>
      </c>
      <c r="X1855" s="9">
        <v>0.0</v>
      </c>
    </row>
    <row r="1856" ht="15.75" customHeight="1">
      <c r="A1856" s="9">
        <v>2570135.0</v>
      </c>
      <c r="B1856" s="9">
        <v>5.230823094E7</v>
      </c>
      <c r="C1856" s="9">
        <v>48021.0</v>
      </c>
      <c r="D1856" s="9" t="s">
        <v>52</v>
      </c>
      <c r="E1856" s="9" t="s">
        <v>64</v>
      </c>
      <c r="F1856" s="9">
        <v>2570135.0</v>
      </c>
      <c r="H1856" s="9">
        <v>5.335439494E7</v>
      </c>
      <c r="I1856" s="9">
        <v>13946.62</v>
      </c>
      <c r="J1856" s="9">
        <v>0.0</v>
      </c>
      <c r="K1856" s="9">
        <v>0.0</v>
      </c>
      <c r="L1856" s="9" t="s">
        <v>59</v>
      </c>
      <c r="M1856" s="9" t="s">
        <v>65</v>
      </c>
      <c r="R1856" s="9" t="s">
        <v>63</v>
      </c>
      <c r="S1856" s="9" t="s">
        <v>63</v>
      </c>
    </row>
    <row r="1857" ht="15.75" customHeight="1">
      <c r="A1857" s="9">
        <v>2590437.0</v>
      </c>
      <c r="B1857" s="9">
        <v>1.105512795E9</v>
      </c>
      <c r="C1857" s="9">
        <v>47398.0</v>
      </c>
      <c r="D1857" s="9" t="s">
        <v>52</v>
      </c>
      <c r="E1857" s="9" t="s">
        <v>153</v>
      </c>
      <c r="F1857" s="9">
        <v>2590437.0</v>
      </c>
      <c r="H1857" s="9">
        <v>1.16407357136E9</v>
      </c>
      <c r="I1857" s="9">
        <v>1.103401213E7</v>
      </c>
      <c r="J1857" s="9">
        <v>29988.66</v>
      </c>
      <c r="K1857" s="9">
        <v>39989.0</v>
      </c>
      <c r="L1857" s="9" t="s">
        <v>59</v>
      </c>
      <c r="M1857" s="9" t="s">
        <v>65</v>
      </c>
      <c r="R1857" s="9" t="s">
        <v>100</v>
      </c>
      <c r="S1857" s="9" t="s">
        <v>101</v>
      </c>
      <c r="T1857" s="9" t="s">
        <v>102</v>
      </c>
    </row>
    <row r="1858" ht="15.75" customHeight="1">
      <c r="A1858" s="9">
        <v>2440501.0</v>
      </c>
      <c r="B1858" s="9">
        <v>150948.52</v>
      </c>
      <c r="C1858" s="9">
        <v>43269.0</v>
      </c>
      <c r="D1858" s="9" t="s">
        <v>52</v>
      </c>
      <c r="E1858" s="9" t="s">
        <v>111</v>
      </c>
      <c r="F1858" s="9">
        <v>2440501.0</v>
      </c>
      <c r="G1858" s="9">
        <v>150948.52</v>
      </c>
      <c r="H1858" s="9">
        <v>155809.9</v>
      </c>
      <c r="I1858" s="9">
        <v>0.0</v>
      </c>
      <c r="J1858" s="9">
        <v>0.0</v>
      </c>
      <c r="K1858" s="9">
        <v>0.0</v>
      </c>
      <c r="L1858" s="9" t="s">
        <v>59</v>
      </c>
      <c r="M1858" s="9" t="s">
        <v>55</v>
      </c>
      <c r="R1858" s="9" t="s">
        <v>94</v>
      </c>
      <c r="S1858" s="9" t="s">
        <v>57</v>
      </c>
      <c r="T1858" s="9" t="s">
        <v>95</v>
      </c>
    </row>
    <row r="1859" ht="15.75" customHeight="1">
      <c r="A1859" s="9">
        <v>2441807.0</v>
      </c>
      <c r="B1859" s="9">
        <v>484471.76</v>
      </c>
      <c r="C1859" s="9">
        <v>43088.0</v>
      </c>
      <c r="D1859" s="9" t="s">
        <v>52</v>
      </c>
      <c r="E1859" s="9" t="s">
        <v>111</v>
      </c>
      <c r="F1859" s="9">
        <v>2441807.0</v>
      </c>
      <c r="G1859" s="9">
        <v>484471.76</v>
      </c>
      <c r="H1859" s="9">
        <v>492135.36</v>
      </c>
      <c r="I1859" s="9">
        <v>9928.92</v>
      </c>
      <c r="J1859" s="9">
        <v>0.0</v>
      </c>
      <c r="K1859" s="9">
        <v>0.0</v>
      </c>
      <c r="L1859" s="9" t="s">
        <v>59</v>
      </c>
      <c r="M1859" s="9" t="s">
        <v>55</v>
      </c>
      <c r="R1859" s="9" t="s">
        <v>94</v>
      </c>
      <c r="S1859" s="9" t="s">
        <v>57</v>
      </c>
      <c r="T1859" s="9" t="s">
        <v>95</v>
      </c>
    </row>
    <row r="1860" ht="15.75" customHeight="1">
      <c r="A1860" s="9">
        <v>2448325.0</v>
      </c>
      <c r="B1860" s="9">
        <v>1.40061787E7</v>
      </c>
      <c r="C1860" s="9">
        <v>47209.0</v>
      </c>
      <c r="D1860" s="9" t="s">
        <v>52</v>
      </c>
      <c r="E1860" s="9" t="s">
        <v>53</v>
      </c>
      <c r="F1860" s="9">
        <v>2448325.0</v>
      </c>
      <c r="G1860" s="9">
        <v>1.43107073E7</v>
      </c>
      <c r="H1860" s="9">
        <v>1.650260233E7</v>
      </c>
      <c r="I1860" s="9">
        <v>1.632498322E7</v>
      </c>
      <c r="J1860" s="9">
        <v>0.0</v>
      </c>
      <c r="K1860" s="9">
        <v>6500.0</v>
      </c>
      <c r="L1860" s="9" t="s">
        <v>59</v>
      </c>
      <c r="M1860" s="9" t="s">
        <v>55</v>
      </c>
      <c r="N1860" s="9">
        <v>1.689225252E7</v>
      </c>
      <c r="O1860" s="9">
        <v>1.574000234E7</v>
      </c>
      <c r="P1860" s="9">
        <v>820963.47</v>
      </c>
      <c r="Q1860" s="9">
        <v>762600.0</v>
      </c>
      <c r="R1860" s="9" t="s">
        <v>94</v>
      </c>
      <c r="S1860" s="9" t="s">
        <v>57</v>
      </c>
      <c r="T1860" s="9" t="s">
        <v>95</v>
      </c>
    </row>
    <row r="1861" ht="15.75" customHeight="1">
      <c r="A1861" s="9">
        <v>2455143.0</v>
      </c>
      <c r="B1861" s="9">
        <v>2.193274768E7</v>
      </c>
      <c r="C1861" s="9">
        <v>47211.0</v>
      </c>
      <c r="D1861" s="9" t="s">
        <v>52</v>
      </c>
      <c r="E1861" s="9" t="s">
        <v>53</v>
      </c>
      <c r="F1861" s="9">
        <v>2455143.0</v>
      </c>
      <c r="G1861" s="9">
        <v>1.138381663E7</v>
      </c>
      <c r="H1861" s="9">
        <v>1.176846255E7</v>
      </c>
      <c r="I1861" s="9">
        <v>1.100317618E7</v>
      </c>
      <c r="J1861" s="9">
        <v>212100.0</v>
      </c>
      <c r="K1861" s="9">
        <v>212100.0</v>
      </c>
      <c r="L1861" s="9" t="s">
        <v>59</v>
      </c>
      <c r="M1861" s="9" t="s">
        <v>55</v>
      </c>
      <c r="N1861" s="9">
        <v>1.091172974E7</v>
      </c>
      <c r="O1861" s="9">
        <v>1.016391038E7</v>
      </c>
      <c r="P1861" s="9">
        <v>545586.49</v>
      </c>
      <c r="Q1861" s="9">
        <v>508000.0</v>
      </c>
      <c r="R1861" s="9" t="s">
        <v>72</v>
      </c>
      <c r="S1861" s="9" t="s">
        <v>57</v>
      </c>
      <c r="T1861" s="9" t="s">
        <v>73</v>
      </c>
    </row>
    <row r="1862" ht="15.75" customHeight="1">
      <c r="A1862" s="9">
        <v>2473210.0</v>
      </c>
      <c r="B1862" s="9">
        <v>1.212683786E7</v>
      </c>
      <c r="C1862" s="9">
        <v>46818.0</v>
      </c>
      <c r="D1862" s="9" t="s">
        <v>52</v>
      </c>
      <c r="E1862" s="9" t="s">
        <v>53</v>
      </c>
      <c r="F1862" s="9">
        <v>2473210.0</v>
      </c>
      <c r="G1862" s="9">
        <v>1.804655128E7</v>
      </c>
      <c r="H1862" s="9">
        <v>1.881753836E7</v>
      </c>
      <c r="I1862" s="9">
        <v>1.881695263E7</v>
      </c>
      <c r="J1862" s="9">
        <v>0.0</v>
      </c>
      <c r="K1862" s="9">
        <v>0.0</v>
      </c>
      <c r="L1862" s="9" t="s">
        <v>59</v>
      </c>
      <c r="M1862" s="9" t="s">
        <v>55</v>
      </c>
      <c r="N1862" s="9">
        <v>1.712221234E7</v>
      </c>
      <c r="O1862" s="9">
        <v>1.538E7</v>
      </c>
      <c r="P1862" s="9">
        <v>869672.27</v>
      </c>
      <c r="Q1862" s="9">
        <v>810000.0</v>
      </c>
      <c r="R1862" s="9" t="s">
        <v>60</v>
      </c>
      <c r="S1862" s="9" t="s">
        <v>57</v>
      </c>
      <c r="T1862" s="9" t="s">
        <v>61</v>
      </c>
      <c r="V1862" s="9">
        <v>1.752270137E7</v>
      </c>
      <c r="W1862" s="9">
        <v>972613.32</v>
      </c>
      <c r="X1862" s="9">
        <v>0.0</v>
      </c>
    </row>
    <row r="1863" ht="15.75" customHeight="1">
      <c r="A1863" s="9">
        <v>2473695.0</v>
      </c>
      <c r="B1863" s="9">
        <v>4693470.0</v>
      </c>
      <c r="C1863" s="9">
        <v>46607.0</v>
      </c>
      <c r="D1863" s="9" t="s">
        <v>52</v>
      </c>
      <c r="E1863" s="9" t="s">
        <v>53</v>
      </c>
      <c r="F1863" s="9">
        <v>2473695.0</v>
      </c>
      <c r="G1863" s="9">
        <v>1.853012327E7</v>
      </c>
      <c r="H1863" s="9">
        <v>1.853012327E7</v>
      </c>
      <c r="I1863" s="9">
        <v>9838867.76</v>
      </c>
      <c r="J1863" s="9">
        <v>250232.88</v>
      </c>
      <c r="K1863" s="9">
        <v>2336778.0</v>
      </c>
      <c r="L1863" s="9" t="s">
        <v>59</v>
      </c>
      <c r="M1863" s="9" t="s">
        <v>55</v>
      </c>
      <c r="N1863" s="9">
        <v>1.782328833E7</v>
      </c>
      <c r="O1863" s="9">
        <v>1.654758576E7</v>
      </c>
      <c r="P1863" s="9">
        <v>546835.0</v>
      </c>
      <c r="Q1863" s="9">
        <v>509000.0</v>
      </c>
      <c r="R1863" s="9" t="s">
        <v>106</v>
      </c>
      <c r="S1863" s="9" t="s">
        <v>82</v>
      </c>
      <c r="T1863" s="9" t="s">
        <v>107</v>
      </c>
      <c r="U1863" s="9" t="s">
        <v>108</v>
      </c>
    </row>
    <row r="1864" ht="15.75" customHeight="1">
      <c r="A1864" s="9">
        <v>2482536.0</v>
      </c>
      <c r="B1864" s="9">
        <v>5122904.0</v>
      </c>
      <c r="C1864" s="9">
        <v>47219.0</v>
      </c>
      <c r="D1864" s="9" t="s">
        <v>52</v>
      </c>
      <c r="E1864" s="9" t="s">
        <v>53</v>
      </c>
      <c r="F1864" s="9">
        <v>2482536.0</v>
      </c>
      <c r="G1864" s="9">
        <v>9922632.68</v>
      </c>
      <c r="H1864" s="9">
        <v>1.100047031E7</v>
      </c>
      <c r="I1864" s="9">
        <v>1.020683787E7</v>
      </c>
      <c r="J1864" s="9">
        <v>2238654.05</v>
      </c>
      <c r="K1864" s="9">
        <v>2508260.0</v>
      </c>
      <c r="L1864" s="9" t="s">
        <v>59</v>
      </c>
      <c r="M1864" s="9" t="s">
        <v>55</v>
      </c>
      <c r="N1864" s="9">
        <v>9744105.52</v>
      </c>
      <c r="O1864" s="9">
        <v>9744105.52</v>
      </c>
      <c r="P1864" s="9">
        <v>696945.0</v>
      </c>
      <c r="Q1864" s="9">
        <v>696945.0</v>
      </c>
      <c r="R1864" s="9" t="s">
        <v>75</v>
      </c>
      <c r="S1864" s="9" t="s">
        <v>57</v>
      </c>
      <c r="T1864" s="9" t="s">
        <v>76</v>
      </c>
    </row>
    <row r="1865" ht="15.75" customHeight="1">
      <c r="A1865" s="9">
        <v>2555449.0</v>
      </c>
      <c r="B1865" s="9">
        <v>1.018475799E7</v>
      </c>
      <c r="C1865" s="9">
        <v>46885.0</v>
      </c>
      <c r="D1865" s="9" t="s">
        <v>52</v>
      </c>
      <c r="E1865" s="9" t="s">
        <v>111</v>
      </c>
      <c r="F1865" s="9">
        <v>2555449.0</v>
      </c>
      <c r="H1865" s="9">
        <v>1.079015865E7</v>
      </c>
      <c r="I1865" s="9">
        <v>9843657.91</v>
      </c>
      <c r="J1865" s="9">
        <v>835658.62</v>
      </c>
      <c r="K1865" s="9">
        <v>835659.0</v>
      </c>
      <c r="L1865" s="9" t="s">
        <v>59</v>
      </c>
      <c r="M1865" s="9" t="s">
        <v>55</v>
      </c>
      <c r="N1865" s="9">
        <v>9231374.24</v>
      </c>
      <c r="O1865" s="9">
        <v>8308236.82</v>
      </c>
      <c r="P1865" s="9">
        <v>739152.77</v>
      </c>
      <c r="Q1865" s="9">
        <v>665237.5</v>
      </c>
      <c r="R1865" s="9" t="s">
        <v>94</v>
      </c>
      <c r="S1865" s="9" t="s">
        <v>57</v>
      </c>
      <c r="T1865" s="9" t="s">
        <v>95</v>
      </c>
    </row>
    <row r="1866" ht="15.75" customHeight="1">
      <c r="A1866" s="9">
        <v>2555736.0</v>
      </c>
      <c r="B1866" s="9">
        <v>9015852.04</v>
      </c>
      <c r="C1866" s="9">
        <v>46883.0</v>
      </c>
      <c r="D1866" s="9" t="s">
        <v>52</v>
      </c>
      <c r="E1866" s="9" t="s">
        <v>111</v>
      </c>
      <c r="F1866" s="9">
        <v>2555736.0</v>
      </c>
      <c r="H1866" s="9">
        <v>9150285.69</v>
      </c>
      <c r="I1866" s="9">
        <v>8819477.38</v>
      </c>
      <c r="J1866" s="9">
        <v>631505.02</v>
      </c>
      <c r="K1866" s="9">
        <v>631506.0</v>
      </c>
      <c r="L1866" s="9" t="s">
        <v>59</v>
      </c>
      <c r="M1866" s="9" t="s">
        <v>55</v>
      </c>
      <c r="N1866" s="9">
        <v>8222050.36</v>
      </c>
      <c r="O1866" s="9">
        <v>7399845.33</v>
      </c>
      <c r="R1866" s="9" t="s">
        <v>94</v>
      </c>
      <c r="S1866" s="9" t="s">
        <v>57</v>
      </c>
      <c r="T1866" s="9" t="s">
        <v>95</v>
      </c>
    </row>
    <row r="1867" ht="15.75" customHeight="1">
      <c r="A1867" s="9">
        <v>2594508.0</v>
      </c>
      <c r="B1867" s="9">
        <v>2.5695171655E8</v>
      </c>
      <c r="C1867" s="9">
        <v>47790.0</v>
      </c>
      <c r="D1867" s="9" t="s">
        <v>52</v>
      </c>
      <c r="E1867" s="9" t="s">
        <v>126</v>
      </c>
      <c r="F1867" s="9">
        <v>2594508.0</v>
      </c>
      <c r="H1867" s="9">
        <v>2.4392965107E8</v>
      </c>
      <c r="I1867" s="9">
        <v>930554.72</v>
      </c>
      <c r="J1867" s="9">
        <v>929727.92</v>
      </c>
      <c r="K1867" s="9">
        <v>999848.0</v>
      </c>
      <c r="L1867" s="9" t="s">
        <v>59</v>
      </c>
      <c r="M1867" s="9" t="s">
        <v>65</v>
      </c>
      <c r="N1867" s="9">
        <v>7755542.77</v>
      </c>
      <c r="O1867" s="9">
        <v>5975983.74</v>
      </c>
      <c r="P1867" s="9">
        <v>1938885.69</v>
      </c>
      <c r="Q1867" s="9">
        <v>1650594.03</v>
      </c>
      <c r="R1867" s="9" t="s">
        <v>85</v>
      </c>
      <c r="S1867" s="9" t="s">
        <v>67</v>
      </c>
      <c r="T1867" s="9" t="s">
        <v>86</v>
      </c>
    </row>
    <row r="1868" ht="15.75" customHeight="1">
      <c r="A1868" s="9">
        <v>2595846.0</v>
      </c>
      <c r="B1868" s="9">
        <v>3.9729806627E8</v>
      </c>
      <c r="C1868" s="9">
        <v>47791.0</v>
      </c>
      <c r="D1868" s="9" t="s">
        <v>52</v>
      </c>
      <c r="E1868" s="9" t="s">
        <v>126</v>
      </c>
      <c r="F1868" s="9">
        <v>2595846.0</v>
      </c>
      <c r="H1868" s="9">
        <v>3.8846057814E8</v>
      </c>
      <c r="I1868" s="9">
        <v>30354.6</v>
      </c>
      <c r="J1868" s="9">
        <v>15940.6</v>
      </c>
      <c r="K1868" s="9">
        <v>1101185.0</v>
      </c>
      <c r="L1868" s="9" t="s">
        <v>59</v>
      </c>
      <c r="M1868" s="9" t="s">
        <v>65</v>
      </c>
      <c r="N1868" s="9">
        <v>5964158.44</v>
      </c>
      <c r="O1868" s="9">
        <v>5949948.01</v>
      </c>
      <c r="P1868" s="9">
        <v>1951723.08</v>
      </c>
      <c r="Q1868" s="9">
        <v>1434231.45</v>
      </c>
      <c r="R1868" s="9" t="s">
        <v>66</v>
      </c>
      <c r="S1868" s="9" t="s">
        <v>67</v>
      </c>
      <c r="T1868" s="9" t="s">
        <v>68</v>
      </c>
    </row>
    <row r="1869" ht="15.75" customHeight="1">
      <c r="A1869" s="9">
        <v>2436075.0</v>
      </c>
      <c r="B1869" s="9">
        <v>165084.07</v>
      </c>
      <c r="C1869" s="9">
        <v>43299.0</v>
      </c>
      <c r="D1869" s="9" t="s">
        <v>52</v>
      </c>
      <c r="E1869" s="9" t="s">
        <v>111</v>
      </c>
      <c r="F1869" s="9">
        <v>2436075.0</v>
      </c>
      <c r="G1869" s="9">
        <v>165084.07</v>
      </c>
      <c r="H1869" s="9">
        <v>169596.77</v>
      </c>
      <c r="I1869" s="9">
        <v>7471.4</v>
      </c>
      <c r="J1869" s="9">
        <v>0.0</v>
      </c>
      <c r="K1869" s="9">
        <v>0.0</v>
      </c>
      <c r="L1869" s="9" t="s">
        <v>59</v>
      </c>
      <c r="M1869" s="9" t="s">
        <v>55</v>
      </c>
      <c r="R1869" s="9" t="s">
        <v>56</v>
      </c>
      <c r="S1869" s="9" t="s">
        <v>57</v>
      </c>
      <c r="T1869" s="9" t="s">
        <v>58</v>
      </c>
    </row>
    <row r="1870" ht="15.75" customHeight="1">
      <c r="A1870" s="9">
        <v>2436175.0</v>
      </c>
      <c r="B1870" s="9">
        <v>89438.51</v>
      </c>
      <c r="C1870" s="9">
        <v>43172.0</v>
      </c>
      <c r="D1870" s="9" t="s">
        <v>52</v>
      </c>
      <c r="E1870" s="9" t="s">
        <v>111</v>
      </c>
      <c r="F1870" s="9">
        <v>2436175.0</v>
      </c>
      <c r="G1870" s="9">
        <v>89438.51</v>
      </c>
      <c r="H1870" s="9">
        <v>92589.98</v>
      </c>
      <c r="I1870" s="9">
        <v>0.0</v>
      </c>
      <c r="J1870" s="9">
        <v>0.0</v>
      </c>
      <c r="K1870" s="9">
        <v>0.0</v>
      </c>
      <c r="L1870" s="9" t="s">
        <v>59</v>
      </c>
      <c r="M1870" s="9" t="s">
        <v>55</v>
      </c>
      <c r="R1870" s="9" t="s">
        <v>75</v>
      </c>
      <c r="S1870" s="9" t="s">
        <v>57</v>
      </c>
      <c r="T1870" s="9" t="s">
        <v>76</v>
      </c>
    </row>
    <row r="1871" ht="15.75" customHeight="1">
      <c r="A1871" s="9">
        <v>2436190.0</v>
      </c>
      <c r="B1871" s="9">
        <v>55079.01</v>
      </c>
      <c r="C1871" s="9">
        <v>43185.0</v>
      </c>
      <c r="D1871" s="9" t="s">
        <v>52</v>
      </c>
      <c r="E1871" s="9" t="s">
        <v>111</v>
      </c>
      <c r="F1871" s="9">
        <v>2436190.0</v>
      </c>
      <c r="G1871" s="9">
        <v>55079.01</v>
      </c>
      <c r="H1871" s="9">
        <v>57989.18</v>
      </c>
      <c r="I1871" s="9">
        <v>0.0</v>
      </c>
      <c r="J1871" s="9">
        <v>0.0</v>
      </c>
      <c r="K1871" s="9">
        <v>0.0</v>
      </c>
      <c r="L1871" s="9" t="s">
        <v>59</v>
      </c>
      <c r="M1871" s="9" t="s">
        <v>55</v>
      </c>
      <c r="R1871" s="9" t="s">
        <v>94</v>
      </c>
      <c r="S1871" s="9" t="s">
        <v>57</v>
      </c>
      <c r="T1871" s="9" t="s">
        <v>95</v>
      </c>
    </row>
    <row r="1872" ht="15.75" customHeight="1">
      <c r="A1872" s="9">
        <v>2436209.0</v>
      </c>
      <c r="B1872" s="9">
        <v>53546.5</v>
      </c>
      <c r="C1872" s="9">
        <v>43208.0</v>
      </c>
      <c r="D1872" s="9" t="s">
        <v>52</v>
      </c>
      <c r="E1872" s="9" t="s">
        <v>111</v>
      </c>
      <c r="F1872" s="9">
        <v>2436209.0</v>
      </c>
      <c r="G1872" s="9">
        <v>53546.5</v>
      </c>
      <c r="H1872" s="9">
        <v>55777.27</v>
      </c>
      <c r="I1872" s="9">
        <v>1933.27</v>
      </c>
      <c r="J1872" s="9">
        <v>0.0</v>
      </c>
      <c r="K1872" s="9">
        <v>0.0</v>
      </c>
      <c r="L1872" s="9" t="s">
        <v>59</v>
      </c>
      <c r="M1872" s="9" t="s">
        <v>55</v>
      </c>
      <c r="R1872" s="9" t="s">
        <v>75</v>
      </c>
      <c r="S1872" s="9" t="s">
        <v>57</v>
      </c>
      <c r="T1872" s="9" t="s">
        <v>76</v>
      </c>
    </row>
    <row r="1873" ht="15.75" customHeight="1">
      <c r="A1873" s="9">
        <v>2436241.0</v>
      </c>
      <c r="B1873" s="9">
        <v>135502.34</v>
      </c>
      <c r="C1873" s="9">
        <v>43350.0</v>
      </c>
      <c r="D1873" s="9" t="s">
        <v>52</v>
      </c>
      <c r="E1873" s="9" t="s">
        <v>111</v>
      </c>
      <c r="F1873" s="9">
        <v>2436241.0</v>
      </c>
      <c r="G1873" s="9">
        <v>135502.34</v>
      </c>
      <c r="H1873" s="9">
        <v>136965.14</v>
      </c>
      <c r="I1873" s="9">
        <v>0.0</v>
      </c>
      <c r="J1873" s="9">
        <v>0.0</v>
      </c>
      <c r="K1873" s="9">
        <v>0.0</v>
      </c>
      <c r="L1873" s="9" t="s">
        <v>59</v>
      </c>
      <c r="M1873" s="9" t="s">
        <v>55</v>
      </c>
      <c r="R1873" s="9" t="s">
        <v>94</v>
      </c>
      <c r="S1873" s="9" t="s">
        <v>57</v>
      </c>
      <c r="T1873" s="9" t="s">
        <v>95</v>
      </c>
    </row>
    <row r="1874" ht="15.75" customHeight="1">
      <c r="A1874" s="9">
        <v>2436243.0</v>
      </c>
      <c r="B1874" s="9">
        <v>177931.57</v>
      </c>
      <c r="C1874" s="9">
        <v>43358.0</v>
      </c>
      <c r="D1874" s="9" t="s">
        <v>52</v>
      </c>
      <c r="E1874" s="9" t="s">
        <v>111</v>
      </c>
      <c r="F1874" s="9">
        <v>2436243.0</v>
      </c>
      <c r="G1874" s="9">
        <v>177931.57</v>
      </c>
      <c r="H1874" s="9">
        <v>179394.37</v>
      </c>
      <c r="I1874" s="9">
        <v>0.0</v>
      </c>
      <c r="J1874" s="9">
        <v>0.0</v>
      </c>
      <c r="K1874" s="9">
        <v>0.0</v>
      </c>
      <c r="L1874" s="9" t="s">
        <v>59</v>
      </c>
      <c r="M1874" s="9" t="s">
        <v>55</v>
      </c>
      <c r="R1874" s="9" t="s">
        <v>70</v>
      </c>
      <c r="S1874" s="9" t="s">
        <v>57</v>
      </c>
      <c r="T1874" s="9" t="s">
        <v>71</v>
      </c>
    </row>
    <row r="1875" ht="15.75" customHeight="1">
      <c r="A1875" s="9">
        <v>2436258.0</v>
      </c>
      <c r="B1875" s="9">
        <v>91474.71</v>
      </c>
      <c r="C1875" s="9">
        <v>43401.0</v>
      </c>
      <c r="D1875" s="9" t="s">
        <v>52</v>
      </c>
      <c r="E1875" s="9" t="s">
        <v>111</v>
      </c>
      <c r="F1875" s="9">
        <v>2436258.0</v>
      </c>
      <c r="G1875" s="9">
        <v>91474.71</v>
      </c>
      <c r="H1875" s="9">
        <v>93171.51</v>
      </c>
      <c r="I1875" s="9">
        <v>3896.0</v>
      </c>
      <c r="J1875" s="9">
        <v>0.0</v>
      </c>
      <c r="K1875" s="9">
        <v>0.0</v>
      </c>
      <c r="L1875" s="9" t="s">
        <v>59</v>
      </c>
      <c r="M1875" s="9" t="s">
        <v>55</v>
      </c>
      <c r="R1875" s="9" t="s">
        <v>56</v>
      </c>
      <c r="S1875" s="9" t="s">
        <v>57</v>
      </c>
      <c r="T1875" s="9" t="s">
        <v>58</v>
      </c>
    </row>
    <row r="1876" ht="15.75" customHeight="1">
      <c r="A1876" s="9">
        <v>2436390.0</v>
      </c>
      <c r="B1876" s="9">
        <v>319223.05</v>
      </c>
      <c r="C1876" s="9">
        <v>43428.0</v>
      </c>
      <c r="D1876" s="9" t="s">
        <v>52</v>
      </c>
      <c r="E1876" s="9" t="s">
        <v>111</v>
      </c>
      <c r="F1876" s="9">
        <v>2436390.0</v>
      </c>
      <c r="G1876" s="9">
        <v>319223.05</v>
      </c>
      <c r="H1876" s="9">
        <v>323083.55</v>
      </c>
      <c r="I1876" s="9">
        <v>7471.4</v>
      </c>
      <c r="J1876" s="9">
        <v>0.0</v>
      </c>
      <c r="K1876" s="9">
        <v>0.0</v>
      </c>
      <c r="L1876" s="9" t="s">
        <v>59</v>
      </c>
      <c r="M1876" s="9" t="s">
        <v>55</v>
      </c>
      <c r="R1876" s="9" t="s">
        <v>75</v>
      </c>
      <c r="S1876" s="9" t="s">
        <v>57</v>
      </c>
      <c r="T1876" s="9" t="s">
        <v>76</v>
      </c>
    </row>
    <row r="1877" ht="15.75" customHeight="1">
      <c r="A1877" s="9">
        <v>2436392.0</v>
      </c>
      <c r="B1877" s="9">
        <v>134601.68</v>
      </c>
      <c r="C1877" s="9">
        <v>43347.0</v>
      </c>
      <c r="D1877" s="9" t="s">
        <v>52</v>
      </c>
      <c r="E1877" s="9" t="s">
        <v>111</v>
      </c>
      <c r="F1877" s="9">
        <v>2436392.0</v>
      </c>
      <c r="G1877" s="9">
        <v>134601.68</v>
      </c>
      <c r="H1877" s="9">
        <v>137248.98</v>
      </c>
      <c r="I1877" s="9">
        <v>5970.75</v>
      </c>
      <c r="J1877" s="9">
        <v>0.0</v>
      </c>
      <c r="K1877" s="9">
        <v>0.0</v>
      </c>
      <c r="L1877" s="9" t="s">
        <v>59</v>
      </c>
      <c r="M1877" s="9" t="s">
        <v>55</v>
      </c>
      <c r="R1877" s="9" t="s">
        <v>94</v>
      </c>
      <c r="S1877" s="9" t="s">
        <v>57</v>
      </c>
      <c r="T1877" s="9" t="s">
        <v>95</v>
      </c>
    </row>
    <row r="1878" ht="15.75" customHeight="1">
      <c r="A1878" s="9">
        <v>2436407.0</v>
      </c>
      <c r="B1878" s="9">
        <v>104992.99</v>
      </c>
      <c r="C1878" s="9">
        <v>43329.0</v>
      </c>
      <c r="D1878" s="9" t="s">
        <v>52</v>
      </c>
      <c r="E1878" s="9" t="s">
        <v>111</v>
      </c>
      <c r="F1878" s="9">
        <v>2436407.0</v>
      </c>
      <c r="G1878" s="9">
        <v>104992.99</v>
      </c>
      <c r="H1878" s="9">
        <v>107640.29</v>
      </c>
      <c r="I1878" s="9">
        <v>4417.27</v>
      </c>
      <c r="J1878" s="9">
        <v>0.0</v>
      </c>
      <c r="K1878" s="9">
        <v>0.0</v>
      </c>
      <c r="L1878" s="9" t="s">
        <v>59</v>
      </c>
      <c r="M1878" s="9" t="s">
        <v>55</v>
      </c>
      <c r="R1878" s="9" t="s">
        <v>70</v>
      </c>
      <c r="S1878" s="9" t="s">
        <v>57</v>
      </c>
      <c r="T1878" s="9" t="s">
        <v>71</v>
      </c>
    </row>
    <row r="1879" ht="15.75" customHeight="1">
      <c r="A1879" s="9">
        <v>2436409.0</v>
      </c>
      <c r="B1879" s="9">
        <v>137502.16</v>
      </c>
      <c r="C1879" s="9">
        <v>43338.0</v>
      </c>
      <c r="D1879" s="9" t="s">
        <v>52</v>
      </c>
      <c r="E1879" s="9" t="s">
        <v>111</v>
      </c>
      <c r="F1879" s="9">
        <v>2436409.0</v>
      </c>
      <c r="G1879" s="9">
        <v>137502.16</v>
      </c>
      <c r="H1879" s="9">
        <v>139350.86</v>
      </c>
      <c r="I1879" s="9">
        <v>5703.81</v>
      </c>
      <c r="J1879" s="9">
        <v>0.0</v>
      </c>
      <c r="K1879" s="9">
        <v>0.0</v>
      </c>
      <c r="L1879" s="9" t="s">
        <v>59</v>
      </c>
      <c r="M1879" s="9" t="s">
        <v>55</v>
      </c>
      <c r="R1879" s="9" t="s">
        <v>56</v>
      </c>
      <c r="S1879" s="9" t="s">
        <v>57</v>
      </c>
      <c r="T1879" s="9" t="s">
        <v>58</v>
      </c>
    </row>
    <row r="1880" ht="15.75" customHeight="1">
      <c r="A1880" s="9">
        <v>2436424.0</v>
      </c>
      <c r="B1880" s="9">
        <v>83890.01</v>
      </c>
      <c r="C1880" s="9">
        <v>43370.0</v>
      </c>
      <c r="D1880" s="9" t="s">
        <v>52</v>
      </c>
      <c r="E1880" s="9" t="s">
        <v>111</v>
      </c>
      <c r="F1880" s="9">
        <v>2436424.0</v>
      </c>
      <c r="G1880" s="9">
        <v>83890.01</v>
      </c>
      <c r="H1880" s="9">
        <v>86468.11</v>
      </c>
      <c r="I1880" s="9">
        <v>0.0</v>
      </c>
      <c r="J1880" s="9">
        <v>0.0</v>
      </c>
      <c r="K1880" s="9">
        <v>0.0</v>
      </c>
      <c r="L1880" s="9" t="s">
        <v>59</v>
      </c>
      <c r="M1880" s="9" t="s">
        <v>55</v>
      </c>
      <c r="R1880" s="9" t="s">
        <v>72</v>
      </c>
      <c r="S1880" s="9" t="s">
        <v>57</v>
      </c>
      <c r="T1880" s="9" t="s">
        <v>73</v>
      </c>
      <c r="V1880" s="9">
        <v>80163.36</v>
      </c>
    </row>
    <row r="1881" ht="15.75" customHeight="1">
      <c r="A1881" s="9">
        <v>2436426.0</v>
      </c>
      <c r="B1881" s="9">
        <v>143268.04</v>
      </c>
      <c r="C1881" s="9">
        <v>43353.0</v>
      </c>
      <c r="D1881" s="9" t="s">
        <v>52</v>
      </c>
      <c r="E1881" s="9" t="s">
        <v>111</v>
      </c>
      <c r="F1881" s="9">
        <v>2436426.0</v>
      </c>
      <c r="G1881" s="9">
        <v>143268.04</v>
      </c>
      <c r="H1881" s="9">
        <v>146399.74</v>
      </c>
      <c r="I1881" s="9">
        <v>0.0</v>
      </c>
      <c r="J1881" s="9">
        <v>0.0</v>
      </c>
      <c r="K1881" s="9">
        <v>0.0</v>
      </c>
      <c r="L1881" s="9" t="s">
        <v>59</v>
      </c>
      <c r="M1881" s="9" t="s">
        <v>55</v>
      </c>
      <c r="R1881" s="9" t="s">
        <v>94</v>
      </c>
      <c r="S1881" s="9" t="s">
        <v>57</v>
      </c>
      <c r="T1881" s="9" t="s">
        <v>95</v>
      </c>
    </row>
    <row r="1882" ht="15.75" customHeight="1">
      <c r="A1882" s="9">
        <v>2436458.0</v>
      </c>
      <c r="B1882" s="9">
        <v>118326.69</v>
      </c>
      <c r="C1882" s="9">
        <v>43156.0</v>
      </c>
      <c r="D1882" s="9" t="s">
        <v>52</v>
      </c>
      <c r="E1882" s="9" t="s">
        <v>111</v>
      </c>
      <c r="F1882" s="9">
        <v>2436458.0</v>
      </c>
      <c r="G1882" s="9">
        <v>118326.69</v>
      </c>
      <c r="H1882" s="9">
        <v>121098.69</v>
      </c>
      <c r="I1882" s="9">
        <v>4016.0</v>
      </c>
      <c r="J1882" s="9">
        <v>0.0</v>
      </c>
      <c r="K1882" s="9">
        <v>0.0</v>
      </c>
      <c r="L1882" s="9" t="s">
        <v>59</v>
      </c>
      <c r="M1882" s="9" t="s">
        <v>55</v>
      </c>
      <c r="R1882" s="9" t="s">
        <v>94</v>
      </c>
      <c r="S1882" s="9" t="s">
        <v>57</v>
      </c>
      <c r="T1882" s="9" t="s">
        <v>95</v>
      </c>
    </row>
    <row r="1883" ht="15.75" customHeight="1">
      <c r="A1883" s="9">
        <v>2436460.0</v>
      </c>
      <c r="B1883" s="9">
        <v>89470.96</v>
      </c>
      <c r="C1883" s="9">
        <v>43376.0</v>
      </c>
      <c r="D1883" s="9" t="s">
        <v>52</v>
      </c>
      <c r="E1883" s="9" t="s">
        <v>111</v>
      </c>
      <c r="F1883" s="9">
        <v>2436460.0</v>
      </c>
      <c r="G1883" s="9">
        <v>89470.96</v>
      </c>
      <c r="H1883" s="9">
        <v>92094.46</v>
      </c>
      <c r="I1883" s="9">
        <v>0.0</v>
      </c>
      <c r="J1883" s="9">
        <v>0.0</v>
      </c>
      <c r="K1883" s="9">
        <v>0.0</v>
      </c>
      <c r="L1883" s="9" t="s">
        <v>59</v>
      </c>
      <c r="M1883" s="9" t="s">
        <v>55</v>
      </c>
      <c r="R1883" s="9" t="s">
        <v>94</v>
      </c>
      <c r="S1883" s="9" t="s">
        <v>57</v>
      </c>
      <c r="T1883" s="9" t="s">
        <v>95</v>
      </c>
    </row>
    <row r="1884" ht="15.75" customHeight="1">
      <c r="A1884" s="9">
        <v>2436473.0</v>
      </c>
      <c r="B1884" s="9">
        <v>107177.1</v>
      </c>
      <c r="C1884" s="9">
        <v>43406.0</v>
      </c>
      <c r="D1884" s="9" t="s">
        <v>52</v>
      </c>
      <c r="E1884" s="9" t="s">
        <v>111</v>
      </c>
      <c r="F1884" s="9">
        <v>2436473.0</v>
      </c>
      <c r="G1884" s="9">
        <v>107177.1</v>
      </c>
      <c r="H1884" s="9">
        <v>110303.5</v>
      </c>
      <c r="I1884" s="9">
        <v>3733.0</v>
      </c>
      <c r="J1884" s="9">
        <v>0.0</v>
      </c>
      <c r="K1884" s="9">
        <v>0.0</v>
      </c>
      <c r="L1884" s="9" t="s">
        <v>59</v>
      </c>
      <c r="M1884" s="9" t="s">
        <v>55</v>
      </c>
      <c r="R1884" s="9" t="s">
        <v>72</v>
      </c>
      <c r="S1884" s="9" t="s">
        <v>57</v>
      </c>
      <c r="T1884" s="9" t="s">
        <v>73</v>
      </c>
      <c r="V1884" s="9">
        <v>104777.53</v>
      </c>
    </row>
    <row r="1885" ht="15.75" customHeight="1">
      <c r="A1885" s="9">
        <v>2436475.0</v>
      </c>
      <c r="B1885" s="9">
        <v>173963.08</v>
      </c>
      <c r="C1885" s="9">
        <v>43319.0</v>
      </c>
      <c r="D1885" s="9" t="s">
        <v>52</v>
      </c>
      <c r="E1885" s="9" t="s">
        <v>111</v>
      </c>
      <c r="F1885" s="9">
        <v>2436475.0</v>
      </c>
      <c r="G1885" s="9">
        <v>173963.08</v>
      </c>
      <c r="H1885" s="9">
        <v>178403.96</v>
      </c>
      <c r="I1885" s="9">
        <v>0.0</v>
      </c>
      <c r="J1885" s="9">
        <v>0.0</v>
      </c>
      <c r="K1885" s="9">
        <v>0.0</v>
      </c>
      <c r="L1885" s="9" t="s">
        <v>59</v>
      </c>
      <c r="M1885" s="9" t="s">
        <v>55</v>
      </c>
      <c r="R1885" s="9" t="s">
        <v>94</v>
      </c>
      <c r="S1885" s="9" t="s">
        <v>57</v>
      </c>
      <c r="T1885" s="9" t="s">
        <v>95</v>
      </c>
    </row>
    <row r="1886" ht="15.75" customHeight="1">
      <c r="A1886" s="9">
        <v>2436477.0</v>
      </c>
      <c r="B1886" s="9">
        <v>109795.55</v>
      </c>
      <c r="C1886" s="9">
        <v>43411.0</v>
      </c>
      <c r="D1886" s="9" t="s">
        <v>52</v>
      </c>
      <c r="E1886" s="9" t="s">
        <v>111</v>
      </c>
      <c r="F1886" s="9">
        <v>2436477.0</v>
      </c>
      <c r="G1886" s="9">
        <v>109795.55</v>
      </c>
      <c r="H1886" s="9">
        <v>113021.75</v>
      </c>
      <c r="I1886" s="9">
        <v>0.0</v>
      </c>
      <c r="J1886" s="9">
        <v>0.0</v>
      </c>
      <c r="K1886" s="9">
        <v>0.0</v>
      </c>
      <c r="L1886" s="9" t="s">
        <v>59</v>
      </c>
      <c r="M1886" s="9" t="s">
        <v>55</v>
      </c>
      <c r="R1886" s="9" t="s">
        <v>63</v>
      </c>
      <c r="S1886" s="9" t="s">
        <v>63</v>
      </c>
    </row>
    <row r="1887" ht="15.75" customHeight="1">
      <c r="A1887" s="9">
        <v>2436841.0</v>
      </c>
      <c r="B1887" s="9">
        <v>131704.03</v>
      </c>
      <c r="C1887" s="9">
        <v>43190.0</v>
      </c>
      <c r="D1887" s="9" t="s">
        <v>52</v>
      </c>
      <c r="E1887" s="9" t="s">
        <v>111</v>
      </c>
      <c r="F1887" s="9">
        <v>2436841.0</v>
      </c>
      <c r="G1887" s="9">
        <v>131704.03</v>
      </c>
      <c r="H1887" s="9">
        <v>136616.37</v>
      </c>
      <c r="I1887" s="9">
        <v>0.0</v>
      </c>
      <c r="J1887" s="9">
        <v>0.0</v>
      </c>
      <c r="K1887" s="9">
        <v>0.0</v>
      </c>
      <c r="L1887" s="9" t="s">
        <v>59</v>
      </c>
      <c r="M1887" s="9" t="s">
        <v>55</v>
      </c>
      <c r="R1887" s="9" t="s">
        <v>70</v>
      </c>
      <c r="S1887" s="9" t="s">
        <v>57</v>
      </c>
      <c r="T1887" s="9" t="s">
        <v>71</v>
      </c>
    </row>
    <row r="1888" ht="15.75" customHeight="1">
      <c r="A1888" s="9">
        <v>2436858.0</v>
      </c>
      <c r="B1888" s="9">
        <v>61917.65</v>
      </c>
      <c r="C1888" s="9">
        <v>43331.0</v>
      </c>
      <c r="D1888" s="9" t="s">
        <v>52</v>
      </c>
      <c r="E1888" s="9" t="s">
        <v>111</v>
      </c>
      <c r="F1888" s="9">
        <v>2436858.0</v>
      </c>
      <c r="G1888" s="9">
        <v>61917.65</v>
      </c>
      <c r="H1888" s="9">
        <v>64640.15</v>
      </c>
      <c r="I1888" s="9">
        <v>0.0</v>
      </c>
      <c r="J1888" s="9">
        <v>0.0</v>
      </c>
      <c r="K1888" s="9">
        <v>0.0</v>
      </c>
      <c r="L1888" s="9" t="s">
        <v>59</v>
      </c>
      <c r="M1888" s="9" t="s">
        <v>55</v>
      </c>
      <c r="R1888" s="9" t="s">
        <v>94</v>
      </c>
      <c r="S1888" s="9" t="s">
        <v>57</v>
      </c>
      <c r="T1888" s="9" t="s">
        <v>95</v>
      </c>
    </row>
    <row r="1889" ht="15.75" customHeight="1">
      <c r="A1889" s="9">
        <v>2436860.0</v>
      </c>
      <c r="B1889" s="9">
        <v>157508.7</v>
      </c>
      <c r="C1889" s="9">
        <v>43355.0</v>
      </c>
      <c r="D1889" s="9" t="s">
        <v>52</v>
      </c>
      <c r="E1889" s="9" t="s">
        <v>111</v>
      </c>
      <c r="F1889" s="9">
        <v>2436860.0</v>
      </c>
      <c r="G1889" s="9">
        <v>157508.7</v>
      </c>
      <c r="H1889" s="9">
        <v>160368.1</v>
      </c>
      <c r="I1889" s="9">
        <v>4761.63</v>
      </c>
      <c r="J1889" s="9">
        <v>0.0</v>
      </c>
      <c r="K1889" s="9">
        <v>0.0</v>
      </c>
      <c r="L1889" s="9" t="s">
        <v>59</v>
      </c>
      <c r="M1889" s="9" t="s">
        <v>55</v>
      </c>
      <c r="R1889" s="9" t="s">
        <v>94</v>
      </c>
      <c r="S1889" s="9" t="s">
        <v>57</v>
      </c>
      <c r="T1889" s="9" t="s">
        <v>95</v>
      </c>
    </row>
    <row r="1890" ht="15.75" customHeight="1">
      <c r="A1890" s="9">
        <v>2436875.0</v>
      </c>
      <c r="B1890" s="9">
        <v>87878.18</v>
      </c>
      <c r="C1890" s="9">
        <v>43423.0</v>
      </c>
      <c r="D1890" s="9" t="s">
        <v>52</v>
      </c>
      <c r="E1890" s="9" t="s">
        <v>111</v>
      </c>
      <c r="F1890" s="9">
        <v>2436875.0</v>
      </c>
      <c r="G1890" s="9">
        <v>87878.18</v>
      </c>
      <c r="H1890" s="9">
        <v>90769.94</v>
      </c>
      <c r="I1890" s="9">
        <v>3733.0</v>
      </c>
      <c r="J1890" s="9">
        <v>0.0</v>
      </c>
      <c r="K1890" s="9">
        <v>0.0</v>
      </c>
      <c r="L1890" s="9" t="s">
        <v>59</v>
      </c>
      <c r="M1890" s="9" t="s">
        <v>55</v>
      </c>
      <c r="R1890" s="9" t="s">
        <v>56</v>
      </c>
      <c r="S1890" s="9" t="s">
        <v>57</v>
      </c>
      <c r="T1890" s="9" t="s">
        <v>58</v>
      </c>
    </row>
    <row r="1891" ht="15.75" customHeight="1">
      <c r="A1891" s="9">
        <v>2440478.0</v>
      </c>
      <c r="B1891" s="9">
        <v>229624.18</v>
      </c>
      <c r="C1891" s="9">
        <v>43270.0</v>
      </c>
      <c r="D1891" s="9" t="s">
        <v>52</v>
      </c>
      <c r="E1891" s="9" t="s">
        <v>111</v>
      </c>
      <c r="F1891" s="9">
        <v>2440478.0</v>
      </c>
      <c r="G1891" s="9">
        <v>229624.18</v>
      </c>
      <c r="H1891" s="9">
        <v>236892.18</v>
      </c>
      <c r="I1891" s="9">
        <v>0.0</v>
      </c>
      <c r="J1891" s="9">
        <v>0.0</v>
      </c>
      <c r="K1891" s="9">
        <v>0.0</v>
      </c>
      <c r="L1891" s="9" t="s">
        <v>59</v>
      </c>
      <c r="M1891" s="9" t="s">
        <v>55</v>
      </c>
      <c r="R1891" s="9" t="s">
        <v>70</v>
      </c>
      <c r="S1891" s="9" t="s">
        <v>57</v>
      </c>
      <c r="T1891" s="9" t="s">
        <v>71</v>
      </c>
    </row>
    <row r="1892" ht="15.75" customHeight="1">
      <c r="A1892" s="9">
        <v>2440495.0</v>
      </c>
      <c r="B1892" s="9">
        <v>897099.48</v>
      </c>
      <c r="C1892" s="9">
        <v>43248.0</v>
      </c>
      <c r="D1892" s="9" t="s">
        <v>52</v>
      </c>
      <c r="E1892" s="9" t="s">
        <v>111</v>
      </c>
      <c r="F1892" s="9">
        <v>2440495.0</v>
      </c>
      <c r="G1892" s="9">
        <v>897099.48</v>
      </c>
      <c r="H1892" s="9">
        <v>903702.98</v>
      </c>
      <c r="I1892" s="9">
        <v>24822.45</v>
      </c>
      <c r="J1892" s="9">
        <v>0.0</v>
      </c>
      <c r="K1892" s="9">
        <v>0.0</v>
      </c>
      <c r="L1892" s="9" t="s">
        <v>59</v>
      </c>
      <c r="M1892" s="9" t="s">
        <v>55</v>
      </c>
      <c r="R1892" s="9" t="s">
        <v>56</v>
      </c>
      <c r="S1892" s="9" t="s">
        <v>57</v>
      </c>
      <c r="T1892" s="9" t="s">
        <v>58</v>
      </c>
    </row>
    <row r="1893" ht="15.75" customHeight="1">
      <c r="A1893" s="9">
        <v>2440496.0</v>
      </c>
      <c r="B1893" s="9">
        <v>230360.61</v>
      </c>
      <c r="C1893" s="9">
        <v>43236.0</v>
      </c>
      <c r="D1893" s="9" t="s">
        <v>52</v>
      </c>
      <c r="E1893" s="9" t="s">
        <v>111</v>
      </c>
      <c r="F1893" s="9">
        <v>2440496.0</v>
      </c>
      <c r="G1893" s="9">
        <v>230360.61</v>
      </c>
      <c r="H1893" s="9">
        <v>232164.11</v>
      </c>
      <c r="I1893" s="9">
        <v>8705.01</v>
      </c>
      <c r="J1893" s="9">
        <v>0.0</v>
      </c>
      <c r="K1893" s="9">
        <v>0.0</v>
      </c>
      <c r="L1893" s="9" t="s">
        <v>59</v>
      </c>
      <c r="M1893" s="9" t="s">
        <v>55</v>
      </c>
      <c r="R1893" s="9" t="s">
        <v>75</v>
      </c>
      <c r="S1893" s="9" t="s">
        <v>57</v>
      </c>
      <c r="T1893" s="9" t="s">
        <v>76</v>
      </c>
    </row>
    <row r="1894" ht="15.75" customHeight="1">
      <c r="A1894" s="9">
        <v>2440696.0</v>
      </c>
      <c r="B1894" s="9">
        <v>382304.81</v>
      </c>
      <c r="C1894" s="9">
        <v>43265.0</v>
      </c>
      <c r="D1894" s="9" t="s">
        <v>52</v>
      </c>
      <c r="E1894" s="9" t="s">
        <v>111</v>
      </c>
      <c r="F1894" s="9">
        <v>2440696.0</v>
      </c>
      <c r="G1894" s="9">
        <v>382304.81</v>
      </c>
      <c r="H1894" s="9">
        <v>384108.31</v>
      </c>
      <c r="I1894" s="9">
        <v>12209.0</v>
      </c>
      <c r="J1894" s="9">
        <v>0.0</v>
      </c>
      <c r="K1894" s="9">
        <v>0.0</v>
      </c>
      <c r="L1894" s="9" t="s">
        <v>59</v>
      </c>
      <c r="M1894" s="9" t="s">
        <v>55</v>
      </c>
      <c r="R1894" s="9" t="s">
        <v>72</v>
      </c>
      <c r="S1894" s="9" t="s">
        <v>57</v>
      </c>
      <c r="T1894" s="9" t="s">
        <v>73</v>
      </c>
      <c r="V1894" s="9">
        <v>366872.9</v>
      </c>
    </row>
    <row r="1895" ht="15.75" customHeight="1">
      <c r="A1895" s="9">
        <v>2446462.0</v>
      </c>
      <c r="B1895" s="9">
        <v>433708.0</v>
      </c>
      <c r="C1895" s="9">
        <v>42450.0</v>
      </c>
      <c r="D1895" s="9" t="s">
        <v>52</v>
      </c>
      <c r="E1895" s="9" t="s">
        <v>103</v>
      </c>
      <c r="F1895" s="9">
        <v>2446462.0</v>
      </c>
      <c r="H1895" s="9">
        <v>312950.0</v>
      </c>
      <c r="I1895" s="9">
        <v>312950.0</v>
      </c>
      <c r="J1895" s="9">
        <v>0.0</v>
      </c>
      <c r="K1895" s="9">
        <v>0.0</v>
      </c>
      <c r="L1895" s="9" t="s">
        <v>69</v>
      </c>
      <c r="M1895" s="9" t="s">
        <v>55</v>
      </c>
      <c r="N1895" s="9">
        <v>298950.0</v>
      </c>
      <c r="O1895" s="9">
        <v>298950.0</v>
      </c>
      <c r="R1895" s="9" t="s">
        <v>119</v>
      </c>
      <c r="S1895" s="9" t="s">
        <v>120</v>
      </c>
      <c r="T1895" s="9" t="s">
        <v>121</v>
      </c>
    </row>
    <row r="1896" ht="15.75" customHeight="1">
      <c r="A1896" s="9">
        <v>2465313.0</v>
      </c>
      <c r="B1896" s="9">
        <v>2214496.25</v>
      </c>
      <c r="C1896" s="9">
        <v>47216.0</v>
      </c>
      <c r="D1896" s="9" t="s">
        <v>52</v>
      </c>
      <c r="E1896" s="9" t="s">
        <v>53</v>
      </c>
      <c r="F1896" s="9">
        <v>2465313.0</v>
      </c>
      <c r="G1896" s="9">
        <v>2652006.29</v>
      </c>
      <c r="H1896" s="9">
        <v>2768774.73</v>
      </c>
      <c r="I1896" s="9">
        <v>2763982.59</v>
      </c>
      <c r="J1896" s="9">
        <v>235294.23</v>
      </c>
      <c r="K1896" s="9">
        <v>235295.0</v>
      </c>
      <c r="L1896" s="9" t="s">
        <v>59</v>
      </c>
      <c r="M1896" s="9" t="s">
        <v>55</v>
      </c>
      <c r="N1896" s="9">
        <v>2332273.0</v>
      </c>
      <c r="O1896" s="9">
        <v>2308950.27</v>
      </c>
      <c r="P1896" s="9">
        <v>138786.0</v>
      </c>
      <c r="Q1896" s="9">
        <v>138610.5</v>
      </c>
      <c r="R1896" s="9" t="s">
        <v>72</v>
      </c>
      <c r="S1896" s="9" t="s">
        <v>57</v>
      </c>
      <c r="T1896" s="9" t="s">
        <v>73</v>
      </c>
      <c r="V1896" s="9">
        <v>2493412.0</v>
      </c>
      <c r="W1896" s="9">
        <v>138556.23</v>
      </c>
      <c r="X1896" s="9">
        <v>0.0</v>
      </c>
    </row>
    <row r="1897" ht="15.75" customHeight="1">
      <c r="A1897" s="9">
        <v>2470543.0</v>
      </c>
      <c r="B1897" s="9">
        <v>1.036923007E7</v>
      </c>
      <c r="C1897" s="9">
        <v>47217.0</v>
      </c>
      <c r="D1897" s="9" t="s">
        <v>52</v>
      </c>
      <c r="E1897" s="9" t="s">
        <v>53</v>
      </c>
      <c r="F1897" s="9">
        <v>2470543.0</v>
      </c>
      <c r="G1897" s="9">
        <v>1.0366255E7</v>
      </c>
      <c r="H1897" s="9">
        <v>1.131577106E7</v>
      </c>
      <c r="I1897" s="9">
        <v>1.076474926E7</v>
      </c>
      <c r="J1897" s="9">
        <v>502217.42</v>
      </c>
      <c r="K1897" s="9">
        <v>618167.0</v>
      </c>
      <c r="L1897" s="9" t="s">
        <v>59</v>
      </c>
      <c r="M1897" s="9" t="s">
        <v>55</v>
      </c>
      <c r="N1897" s="9">
        <v>9687693.29</v>
      </c>
      <c r="O1897" s="9">
        <v>9027331.0</v>
      </c>
      <c r="P1897" s="9">
        <v>484384.66</v>
      </c>
      <c r="Q1897" s="9">
        <v>432930.0</v>
      </c>
      <c r="R1897" s="9" t="s">
        <v>60</v>
      </c>
      <c r="S1897" s="9" t="s">
        <v>57</v>
      </c>
      <c r="T1897" s="9" t="s">
        <v>61</v>
      </c>
      <c r="V1897" s="9">
        <v>1.040816543E7</v>
      </c>
      <c r="W1897" s="9">
        <v>408150.0</v>
      </c>
      <c r="X1897" s="9">
        <v>0.0</v>
      </c>
    </row>
    <row r="1898" ht="15.75" customHeight="1">
      <c r="A1898" s="9">
        <v>2471530.0</v>
      </c>
      <c r="B1898" s="9">
        <v>1.154750158E7</v>
      </c>
      <c r="C1898" s="9">
        <v>46805.0</v>
      </c>
      <c r="D1898" s="9" t="s">
        <v>52</v>
      </c>
      <c r="E1898" s="9" t="s">
        <v>103</v>
      </c>
      <c r="F1898" s="9">
        <v>2471530.0</v>
      </c>
      <c r="H1898" s="9">
        <v>1.329780052E7</v>
      </c>
      <c r="I1898" s="9">
        <v>1.395157196E7</v>
      </c>
      <c r="J1898" s="9">
        <v>0.0</v>
      </c>
      <c r="K1898" s="9">
        <v>0.0</v>
      </c>
      <c r="L1898" s="9" t="s">
        <v>59</v>
      </c>
      <c r="M1898" s="9" t="s">
        <v>55</v>
      </c>
      <c r="N1898" s="9">
        <v>0.0</v>
      </c>
      <c r="O1898" s="9">
        <v>1.266457192E7</v>
      </c>
      <c r="R1898" s="9" t="s">
        <v>60</v>
      </c>
      <c r="S1898" s="9" t="s">
        <v>57</v>
      </c>
      <c r="T1898" s="9" t="s">
        <v>61</v>
      </c>
    </row>
    <row r="1899" ht="15.75" customHeight="1">
      <c r="A1899" s="9">
        <v>2516067.0</v>
      </c>
      <c r="B1899" s="9">
        <v>3.987762105E7</v>
      </c>
      <c r="C1899" s="9">
        <v>46662.0</v>
      </c>
      <c r="D1899" s="9" t="s">
        <v>52</v>
      </c>
      <c r="E1899" s="9" t="s">
        <v>126</v>
      </c>
      <c r="F1899" s="9">
        <v>2516067.0</v>
      </c>
      <c r="H1899" s="9">
        <v>4.25321635E7</v>
      </c>
      <c r="I1899" s="9">
        <v>3664932.07</v>
      </c>
      <c r="J1899" s="9">
        <v>50000.0</v>
      </c>
      <c r="K1899" s="9">
        <v>392363.0</v>
      </c>
      <c r="L1899" s="9" t="s">
        <v>59</v>
      </c>
      <c r="M1899" s="9" t="s">
        <v>65</v>
      </c>
      <c r="N1899" s="9">
        <v>2257563.85</v>
      </c>
      <c r="O1899" s="9">
        <v>2257259.76</v>
      </c>
      <c r="P1899" s="9">
        <v>424174.87</v>
      </c>
      <c r="Q1899" s="9">
        <v>421399.35</v>
      </c>
      <c r="R1899" s="9" t="s">
        <v>66</v>
      </c>
      <c r="S1899" s="9" t="s">
        <v>67</v>
      </c>
      <c r="T1899" s="9" t="s">
        <v>68</v>
      </c>
    </row>
    <row r="1900" ht="15.75" customHeight="1">
      <c r="A1900" s="9">
        <v>2521751.0</v>
      </c>
      <c r="B1900" s="9">
        <v>8476787.44</v>
      </c>
      <c r="C1900" s="9">
        <v>47226.0</v>
      </c>
      <c r="D1900" s="9" t="s">
        <v>52</v>
      </c>
      <c r="E1900" s="9" t="s">
        <v>53</v>
      </c>
      <c r="F1900" s="9">
        <v>2521751.0</v>
      </c>
      <c r="G1900" s="9">
        <v>7530263.73</v>
      </c>
      <c r="H1900" s="9">
        <v>7533595.17</v>
      </c>
      <c r="I1900" s="9">
        <v>7385339.54</v>
      </c>
      <c r="J1900" s="9">
        <v>31353.56</v>
      </c>
      <c r="K1900" s="9">
        <v>58401.0</v>
      </c>
      <c r="L1900" s="9" t="s">
        <v>59</v>
      </c>
      <c r="M1900" s="9" t="s">
        <v>55</v>
      </c>
      <c r="N1900" s="9">
        <v>7030376.87</v>
      </c>
      <c r="O1900" s="9">
        <v>7029111.9</v>
      </c>
      <c r="P1900" s="9">
        <v>350928.0</v>
      </c>
      <c r="Q1900" s="9">
        <v>315835.2</v>
      </c>
      <c r="R1900" s="9" t="s">
        <v>56</v>
      </c>
      <c r="S1900" s="9" t="s">
        <v>57</v>
      </c>
      <c r="T1900" s="9" t="s">
        <v>58</v>
      </c>
    </row>
    <row r="1901" ht="15.75" customHeight="1">
      <c r="A1901" s="9">
        <v>2567526.0</v>
      </c>
      <c r="B1901" s="9">
        <v>2.3250056454E8</v>
      </c>
      <c r="C1901" s="9">
        <v>47578.0</v>
      </c>
      <c r="D1901" s="9" t="s">
        <v>52</v>
      </c>
      <c r="E1901" s="9" t="s">
        <v>154</v>
      </c>
      <c r="F1901" s="9">
        <v>2567526.0</v>
      </c>
      <c r="H1901" s="9">
        <v>2.6568911812E8</v>
      </c>
      <c r="I1901" s="9">
        <v>1.297523906E7</v>
      </c>
      <c r="J1901" s="9">
        <v>4027834.79</v>
      </c>
      <c r="K1901" s="9">
        <v>1.1067888E7</v>
      </c>
      <c r="L1901" s="9" t="s">
        <v>59</v>
      </c>
      <c r="M1901" s="9" t="s">
        <v>65</v>
      </c>
      <c r="N1901" s="9">
        <v>5570000.0</v>
      </c>
      <c r="O1901" s="9">
        <v>5005853.23</v>
      </c>
      <c r="R1901" s="9" t="s">
        <v>66</v>
      </c>
      <c r="S1901" s="9" t="s">
        <v>67</v>
      </c>
      <c r="T1901" s="9" t="s">
        <v>68</v>
      </c>
    </row>
    <row r="1902" ht="15.75" customHeight="1">
      <c r="A1902" s="9">
        <v>2567526.0</v>
      </c>
      <c r="B1902" s="9">
        <v>2.3250056454E8</v>
      </c>
      <c r="C1902" s="9">
        <v>46880.0</v>
      </c>
      <c r="D1902" s="9" t="s">
        <v>52</v>
      </c>
      <c r="E1902" s="9" t="s">
        <v>154</v>
      </c>
      <c r="F1902" s="9">
        <v>2567526.0</v>
      </c>
      <c r="H1902" s="9">
        <v>2.6568911812E8</v>
      </c>
      <c r="I1902" s="9">
        <v>1.297523906E7</v>
      </c>
      <c r="J1902" s="9">
        <v>4027834.79</v>
      </c>
      <c r="K1902" s="9">
        <v>1.1067888E7</v>
      </c>
      <c r="L1902" s="9" t="s">
        <v>59</v>
      </c>
      <c r="M1902" s="9" t="s">
        <v>65</v>
      </c>
      <c r="N1902" s="9">
        <v>0.0</v>
      </c>
      <c r="O1902" s="9">
        <v>3993868.42</v>
      </c>
      <c r="R1902" s="9" t="s">
        <v>127</v>
      </c>
      <c r="S1902" s="9" t="s">
        <v>57</v>
      </c>
      <c r="T1902" s="9" t="s">
        <v>128</v>
      </c>
    </row>
    <row r="1903" ht="15.75" customHeight="1">
      <c r="A1903" s="9">
        <v>2567526.0</v>
      </c>
      <c r="B1903" s="9">
        <v>2.3250056454E8</v>
      </c>
      <c r="C1903" s="9">
        <v>47579.0</v>
      </c>
      <c r="D1903" s="9" t="s">
        <v>52</v>
      </c>
      <c r="E1903" s="9" t="s">
        <v>154</v>
      </c>
      <c r="F1903" s="9">
        <v>2567526.0</v>
      </c>
      <c r="H1903" s="9">
        <v>2.6568911812E8</v>
      </c>
      <c r="I1903" s="9">
        <v>1.297523906E7</v>
      </c>
      <c r="J1903" s="9">
        <v>4027834.79</v>
      </c>
      <c r="K1903" s="9">
        <v>1.1067888E7</v>
      </c>
      <c r="L1903" s="9" t="s">
        <v>59</v>
      </c>
      <c r="M1903" s="9" t="s">
        <v>65</v>
      </c>
      <c r="R1903" s="9" t="s">
        <v>100</v>
      </c>
      <c r="S1903" s="9" t="s">
        <v>101</v>
      </c>
      <c r="T1903" s="9" t="s">
        <v>102</v>
      </c>
    </row>
    <row r="1904" ht="15.75" customHeight="1">
      <c r="A1904" s="9">
        <v>2595016.0</v>
      </c>
      <c r="B1904" s="9">
        <v>1298189.2</v>
      </c>
      <c r="C1904" s="9">
        <v>48247.0</v>
      </c>
      <c r="D1904" s="9" t="s">
        <v>52</v>
      </c>
      <c r="E1904" s="9" t="s">
        <v>103</v>
      </c>
      <c r="F1904" s="9">
        <v>2595016.0</v>
      </c>
      <c r="H1904" s="9">
        <v>1298189.2</v>
      </c>
      <c r="I1904" s="9">
        <v>1298000.0</v>
      </c>
      <c r="J1904" s="9">
        <v>0.0</v>
      </c>
      <c r="K1904" s="9">
        <v>0.0</v>
      </c>
      <c r="L1904" s="9" t="s">
        <v>59</v>
      </c>
      <c r="M1904" s="9" t="s">
        <v>55</v>
      </c>
      <c r="R1904" s="9" t="s">
        <v>94</v>
      </c>
      <c r="S1904" s="9" t="s">
        <v>57</v>
      </c>
      <c r="T1904" s="9" t="s">
        <v>95</v>
      </c>
    </row>
    <row r="1905" ht="15.75" customHeight="1">
      <c r="A1905" s="9">
        <v>2185641.0</v>
      </c>
      <c r="B1905" s="9">
        <v>9733290.0</v>
      </c>
      <c r="C1905" s="9">
        <v>32309.0</v>
      </c>
      <c r="D1905" s="9" t="s">
        <v>52</v>
      </c>
      <c r="E1905" s="9" t="s">
        <v>53</v>
      </c>
      <c r="F1905" s="9">
        <v>264722.0</v>
      </c>
      <c r="G1905" s="9">
        <v>9774787.57</v>
      </c>
      <c r="H1905" s="9">
        <v>1.025320375E7</v>
      </c>
      <c r="I1905" s="9">
        <v>9729597.63</v>
      </c>
      <c r="J1905" s="9">
        <v>0.0</v>
      </c>
      <c r="K1905" s="9">
        <v>0.0</v>
      </c>
      <c r="L1905" s="9" t="s">
        <v>59</v>
      </c>
      <c r="M1905" s="9" t="s">
        <v>55</v>
      </c>
      <c r="N1905" s="9">
        <v>9269799.9</v>
      </c>
      <c r="O1905" s="9">
        <v>9269799.9</v>
      </c>
      <c r="P1905" s="9">
        <v>413490.01</v>
      </c>
      <c r="Q1905" s="9">
        <v>413490.0</v>
      </c>
      <c r="R1905" s="9" t="s">
        <v>96</v>
      </c>
      <c r="S1905" s="9" t="s">
        <v>78</v>
      </c>
      <c r="T1905" s="9" t="s">
        <v>79</v>
      </c>
      <c r="U1905" s="9" t="s">
        <v>97</v>
      </c>
    </row>
    <row r="1906" ht="15.75" customHeight="1">
      <c r="A1906" s="9">
        <v>2185952.0</v>
      </c>
      <c r="B1906" s="9">
        <v>7315564.0</v>
      </c>
      <c r="C1906" s="9">
        <v>31595.0</v>
      </c>
      <c r="D1906" s="9" t="s">
        <v>52</v>
      </c>
      <c r="E1906" s="9" t="s">
        <v>53</v>
      </c>
      <c r="F1906" s="9">
        <v>261576.0</v>
      </c>
      <c r="G1906" s="9">
        <v>5308926.97</v>
      </c>
      <c r="H1906" s="9">
        <v>5308926.97</v>
      </c>
      <c r="I1906" s="9">
        <v>5308346.97</v>
      </c>
      <c r="J1906" s="9">
        <v>0.0</v>
      </c>
      <c r="K1906" s="9">
        <v>0.0</v>
      </c>
      <c r="L1906" s="9" t="s">
        <v>69</v>
      </c>
      <c r="M1906" s="9" t="s">
        <v>55</v>
      </c>
      <c r="N1906" s="9">
        <v>4892182.51</v>
      </c>
      <c r="O1906" s="9">
        <v>4892182.51</v>
      </c>
      <c r="P1906" s="9">
        <v>207917.76</v>
      </c>
      <c r="Q1906" s="9">
        <v>207917.76</v>
      </c>
      <c r="R1906" s="9" t="s">
        <v>60</v>
      </c>
      <c r="S1906" s="9" t="s">
        <v>57</v>
      </c>
      <c r="T1906" s="9" t="s">
        <v>61</v>
      </c>
      <c r="V1906" s="9">
        <v>5044930.1</v>
      </c>
      <c r="W1906" s="9">
        <v>207917.76</v>
      </c>
      <c r="X1906" s="9">
        <v>0.0</v>
      </c>
    </row>
    <row r="1907" ht="15.75" customHeight="1">
      <c r="A1907" s="9">
        <v>2189060.0</v>
      </c>
      <c r="B1907" s="9">
        <v>9969797.0</v>
      </c>
      <c r="C1907" s="9">
        <v>40592.0</v>
      </c>
      <c r="D1907" s="9" t="s">
        <v>52</v>
      </c>
      <c r="E1907" s="9" t="s">
        <v>53</v>
      </c>
      <c r="F1907" s="9">
        <v>244802.0</v>
      </c>
      <c r="G1907" s="9">
        <v>1.601571352E7</v>
      </c>
      <c r="H1907" s="9">
        <v>1.843870666E7</v>
      </c>
      <c r="I1907" s="9">
        <v>8827438.24</v>
      </c>
      <c r="J1907" s="9">
        <v>200700.0</v>
      </c>
      <c r="K1907" s="9">
        <v>282000.0</v>
      </c>
      <c r="L1907" s="9" t="s">
        <v>59</v>
      </c>
      <c r="M1907" s="9" t="s">
        <v>55</v>
      </c>
      <c r="N1907" s="9">
        <v>5848941.0</v>
      </c>
      <c r="O1907" s="9">
        <v>5559033.83</v>
      </c>
      <c r="P1907" s="9">
        <v>115218.42</v>
      </c>
      <c r="Q1907" s="9">
        <v>103696.58</v>
      </c>
      <c r="R1907" s="9" t="s">
        <v>94</v>
      </c>
      <c r="S1907" s="9" t="s">
        <v>57</v>
      </c>
      <c r="T1907" s="9" t="s">
        <v>95</v>
      </c>
      <c r="V1907" s="9">
        <v>5559033.83</v>
      </c>
      <c r="W1907" s="9">
        <v>115217.51</v>
      </c>
      <c r="X1907" s="9">
        <v>0.0</v>
      </c>
    </row>
    <row r="1908" ht="15.75" customHeight="1">
      <c r="A1908" s="9">
        <v>2192668.0</v>
      </c>
      <c r="B1908" s="9">
        <v>1.7063771E7</v>
      </c>
      <c r="C1908" s="9">
        <v>32306.0</v>
      </c>
      <c r="D1908" s="9" t="s">
        <v>52</v>
      </c>
      <c r="E1908" s="9" t="s">
        <v>53</v>
      </c>
      <c r="F1908" s="9">
        <v>258892.0</v>
      </c>
      <c r="G1908" s="9">
        <v>1.425955161E7</v>
      </c>
      <c r="H1908" s="9">
        <v>1.425955161E7</v>
      </c>
      <c r="I1908" s="9">
        <v>1.419099127E7</v>
      </c>
      <c r="J1908" s="9">
        <v>0.0</v>
      </c>
      <c r="K1908" s="9">
        <v>0.0</v>
      </c>
      <c r="L1908" s="9" t="s">
        <v>59</v>
      </c>
      <c r="M1908" s="9" t="s">
        <v>55</v>
      </c>
      <c r="N1908" s="9">
        <v>1.2566558E7</v>
      </c>
      <c r="O1908" s="9">
        <v>1.215186159E7</v>
      </c>
      <c r="P1908" s="9">
        <v>643813.35</v>
      </c>
      <c r="Q1908" s="9">
        <v>579432.02</v>
      </c>
      <c r="R1908" s="9" t="s">
        <v>60</v>
      </c>
      <c r="S1908" s="9" t="s">
        <v>57</v>
      </c>
      <c r="T1908" s="9" t="s">
        <v>61</v>
      </c>
      <c r="V1908" s="9">
        <v>1.318686095E7</v>
      </c>
      <c r="W1908" s="9">
        <v>678992.89</v>
      </c>
      <c r="X1908" s="9">
        <v>0.0</v>
      </c>
    </row>
    <row r="1909" ht="15.75" customHeight="1">
      <c r="A1909" s="9">
        <v>2195001.0</v>
      </c>
      <c r="B1909" s="9">
        <v>2.10801E7</v>
      </c>
      <c r="C1909" s="9">
        <v>44715.0</v>
      </c>
      <c r="D1909" s="9" t="s">
        <v>52</v>
      </c>
      <c r="E1909" s="9" t="s">
        <v>53</v>
      </c>
      <c r="F1909" s="9">
        <v>238540.0</v>
      </c>
      <c r="G1909" s="9">
        <v>3.11737931E7</v>
      </c>
      <c r="H1909" s="9">
        <v>3.581202132E7</v>
      </c>
      <c r="I1909" s="9">
        <v>1.944733905E7</v>
      </c>
      <c r="J1909" s="9">
        <v>0.0</v>
      </c>
      <c r="K1909" s="9">
        <v>10000.0</v>
      </c>
      <c r="L1909" s="9" t="s">
        <v>59</v>
      </c>
      <c r="M1909" s="9" t="s">
        <v>55</v>
      </c>
      <c r="N1909" s="9">
        <v>3.11397036E7</v>
      </c>
      <c r="O1909" s="9">
        <v>3.11373436E7</v>
      </c>
      <c r="P1909" s="9">
        <v>1353900.16</v>
      </c>
      <c r="Q1909" s="9">
        <v>1353899.71</v>
      </c>
      <c r="R1909" s="9" t="s">
        <v>77</v>
      </c>
      <c r="S1909" s="9" t="s">
        <v>78</v>
      </c>
      <c r="T1909" s="9" t="s">
        <v>79</v>
      </c>
      <c r="U1909" s="9" t="s">
        <v>80</v>
      </c>
    </row>
    <row r="1910" ht="15.75" customHeight="1">
      <c r="A1910" s="9">
        <v>2198777.0</v>
      </c>
      <c r="B1910" s="9">
        <v>3164705.0</v>
      </c>
      <c r="C1910" s="9">
        <v>37589.0</v>
      </c>
      <c r="D1910" s="9" t="s">
        <v>52</v>
      </c>
      <c r="E1910" s="9" t="s">
        <v>53</v>
      </c>
      <c r="F1910" s="9">
        <v>265947.0</v>
      </c>
      <c r="G1910" s="9">
        <v>3431421.27</v>
      </c>
      <c r="H1910" s="9">
        <v>3431421.27</v>
      </c>
      <c r="I1910" s="9">
        <v>3297115.95</v>
      </c>
      <c r="J1910" s="9">
        <v>0.0</v>
      </c>
      <c r="K1910" s="9">
        <v>0.0</v>
      </c>
      <c r="L1910" s="9" t="s">
        <v>69</v>
      </c>
      <c r="M1910" s="9" t="s">
        <v>55</v>
      </c>
      <c r="N1910" s="9">
        <v>3203248.27</v>
      </c>
      <c r="O1910" s="9">
        <v>2874779.59</v>
      </c>
      <c r="P1910" s="9">
        <v>106200.0</v>
      </c>
      <c r="Q1910" s="9">
        <v>90000.0</v>
      </c>
      <c r="R1910" s="9" t="s">
        <v>60</v>
      </c>
      <c r="S1910" s="9" t="s">
        <v>57</v>
      </c>
      <c r="T1910" s="9" t="s">
        <v>61</v>
      </c>
      <c r="V1910" s="9">
        <v>3119783.77</v>
      </c>
      <c r="W1910" s="9">
        <v>0.0</v>
      </c>
      <c r="X1910" s="9">
        <v>0.0</v>
      </c>
    </row>
    <row r="1911" ht="15.75" customHeight="1">
      <c r="A1911" s="9">
        <v>2199688.0</v>
      </c>
      <c r="B1911" s="9">
        <v>933559.59</v>
      </c>
      <c r="C1911" s="9">
        <v>32302.0</v>
      </c>
      <c r="D1911" s="9" t="s">
        <v>52</v>
      </c>
      <c r="E1911" s="9" t="s">
        <v>53</v>
      </c>
      <c r="F1911" s="9">
        <v>252131.0</v>
      </c>
      <c r="G1911" s="9">
        <v>511333.32</v>
      </c>
      <c r="H1911" s="9">
        <v>511333.32</v>
      </c>
      <c r="I1911" s="9">
        <v>487003.45</v>
      </c>
      <c r="J1911" s="9">
        <v>0.0</v>
      </c>
      <c r="K1911" s="9">
        <v>0.0</v>
      </c>
      <c r="L1911" s="9" t="s">
        <v>59</v>
      </c>
      <c r="M1911" s="9" t="s">
        <v>55</v>
      </c>
      <c r="N1911" s="9">
        <v>511333.32</v>
      </c>
      <c r="O1911" s="9">
        <v>474499.0</v>
      </c>
      <c r="P1911" s="9">
        <v>16000.0</v>
      </c>
      <c r="Q1911" s="9">
        <v>13559.32</v>
      </c>
      <c r="R1911" s="9" t="s">
        <v>72</v>
      </c>
      <c r="S1911" s="9" t="s">
        <v>57</v>
      </c>
      <c r="T1911" s="9" t="s">
        <v>73</v>
      </c>
      <c r="V1911" s="9">
        <v>488963.45</v>
      </c>
      <c r="W1911" s="9">
        <v>0.0</v>
      </c>
      <c r="X1911" s="9">
        <v>0.0</v>
      </c>
    </row>
    <row r="1912" ht="15.75" customHeight="1">
      <c r="A1912" s="9">
        <v>2199690.0</v>
      </c>
      <c r="B1912" s="9">
        <v>222827.45</v>
      </c>
      <c r="C1912" s="9">
        <v>32317.0</v>
      </c>
      <c r="D1912" s="9" t="s">
        <v>52</v>
      </c>
      <c r="E1912" s="9" t="s">
        <v>53</v>
      </c>
      <c r="F1912" s="9">
        <v>283435.0</v>
      </c>
      <c r="G1912" s="9">
        <v>584468.0</v>
      </c>
      <c r="H1912" s="9">
        <v>584468.0</v>
      </c>
      <c r="I1912" s="9">
        <v>549500.13</v>
      </c>
      <c r="J1912" s="9">
        <v>0.0</v>
      </c>
      <c r="K1912" s="9">
        <v>0.0</v>
      </c>
      <c r="L1912" s="9" t="s">
        <v>69</v>
      </c>
      <c r="M1912" s="9" t="s">
        <v>55</v>
      </c>
      <c r="N1912" s="9">
        <v>564703.29</v>
      </c>
      <c r="O1912" s="9">
        <v>525017.2</v>
      </c>
      <c r="R1912" s="9" t="s">
        <v>72</v>
      </c>
      <c r="S1912" s="9" t="s">
        <v>57</v>
      </c>
      <c r="T1912" s="9" t="s">
        <v>73</v>
      </c>
      <c r="V1912" s="9">
        <v>533521.59</v>
      </c>
      <c r="W1912" s="9">
        <v>0.0</v>
      </c>
      <c r="X1912" s="9">
        <v>0.0</v>
      </c>
    </row>
    <row r="1913" ht="15.75" customHeight="1">
      <c r="A1913" s="9">
        <v>2200724.0</v>
      </c>
      <c r="B1913" s="9">
        <v>930669.0</v>
      </c>
      <c r="C1913" s="9">
        <v>33200.0</v>
      </c>
      <c r="D1913" s="9" t="s">
        <v>52</v>
      </c>
      <c r="E1913" s="9" t="s">
        <v>53</v>
      </c>
      <c r="F1913" s="9">
        <v>162428.0</v>
      </c>
      <c r="G1913" s="9">
        <v>1302936.15</v>
      </c>
      <c r="H1913" s="9">
        <v>1302936.15</v>
      </c>
      <c r="I1913" s="9">
        <v>1302936.15</v>
      </c>
      <c r="J1913" s="9">
        <v>0.0</v>
      </c>
      <c r="K1913" s="9">
        <v>0.0</v>
      </c>
      <c r="L1913" s="9" t="s">
        <v>59</v>
      </c>
      <c r="M1913" s="9" t="s">
        <v>55</v>
      </c>
      <c r="N1913" s="9">
        <v>1249608.32</v>
      </c>
      <c r="O1913" s="9">
        <v>1249608.32</v>
      </c>
      <c r="R1913" s="9" t="s">
        <v>60</v>
      </c>
      <c r="S1913" s="9" t="s">
        <v>57</v>
      </c>
      <c r="T1913" s="9" t="s">
        <v>61</v>
      </c>
      <c r="V1913" s="9">
        <v>1279346.93</v>
      </c>
      <c r="W1913" s="9">
        <v>0.0</v>
      </c>
      <c r="X1913" s="9">
        <v>0.0</v>
      </c>
    </row>
    <row r="1914" ht="15.75" customHeight="1">
      <c r="A1914" s="9">
        <v>2204202.0</v>
      </c>
      <c r="B1914" s="9">
        <v>8114609.0</v>
      </c>
      <c r="C1914" s="9">
        <v>30201.0</v>
      </c>
      <c r="D1914" s="9" t="s">
        <v>52</v>
      </c>
      <c r="E1914" s="9" t="s">
        <v>53</v>
      </c>
      <c r="F1914" s="9">
        <v>190132.0</v>
      </c>
      <c r="G1914" s="9">
        <v>8879341.36</v>
      </c>
      <c r="H1914" s="9">
        <v>8879341.36</v>
      </c>
      <c r="I1914" s="9">
        <v>8320328.91</v>
      </c>
      <c r="J1914" s="9">
        <v>0.0</v>
      </c>
      <c r="K1914" s="9">
        <v>0.0</v>
      </c>
      <c r="L1914" s="9" t="s">
        <v>59</v>
      </c>
      <c r="M1914" s="9" t="s">
        <v>55</v>
      </c>
      <c r="N1914" s="9">
        <v>7742335.42</v>
      </c>
      <c r="O1914" s="9">
        <v>7742335.33</v>
      </c>
      <c r="P1914" s="9">
        <v>0.0</v>
      </c>
      <c r="Q1914" s="9">
        <v>140099.0</v>
      </c>
      <c r="R1914" s="9" t="s">
        <v>60</v>
      </c>
      <c r="S1914" s="9" t="s">
        <v>57</v>
      </c>
      <c r="T1914" s="9" t="s">
        <v>61</v>
      </c>
      <c r="V1914" s="9">
        <v>8504500.67</v>
      </c>
      <c r="W1914" s="9">
        <v>0.0</v>
      </c>
      <c r="X1914" s="9">
        <v>0.0</v>
      </c>
    </row>
    <row r="1915" ht="15.75" customHeight="1">
      <c r="A1915" s="9">
        <v>2204402.0</v>
      </c>
      <c r="B1915" s="9">
        <v>7901600.0</v>
      </c>
      <c r="C1915" s="9">
        <v>39327.0</v>
      </c>
      <c r="D1915" s="9" t="s">
        <v>52</v>
      </c>
      <c r="E1915" s="9" t="s">
        <v>53</v>
      </c>
      <c r="F1915" s="9">
        <v>185619.0</v>
      </c>
      <c r="G1915" s="9">
        <v>8470485.96</v>
      </c>
      <c r="H1915" s="9">
        <v>8650470.06</v>
      </c>
      <c r="I1915" s="9">
        <v>8650470.06</v>
      </c>
      <c r="J1915" s="9">
        <v>0.0</v>
      </c>
      <c r="K1915" s="9">
        <v>0.0</v>
      </c>
      <c r="L1915" s="9" t="s">
        <v>59</v>
      </c>
      <c r="M1915" s="9" t="s">
        <v>62</v>
      </c>
      <c r="N1915" s="9">
        <v>1854040.32</v>
      </c>
      <c r="O1915" s="9">
        <v>1854040.32</v>
      </c>
      <c r="P1915" s="9">
        <v>144001.54</v>
      </c>
      <c r="Q1915" s="9">
        <v>144001.54</v>
      </c>
      <c r="R1915" s="9" t="s">
        <v>56</v>
      </c>
      <c r="S1915" s="9" t="s">
        <v>57</v>
      </c>
      <c r="T1915" s="9" t="s">
        <v>58</v>
      </c>
      <c r="V1915" s="9">
        <v>1899730.24</v>
      </c>
      <c r="W1915" s="9">
        <v>0.0</v>
      </c>
      <c r="X1915" s="9">
        <v>0.0</v>
      </c>
    </row>
    <row r="1916" ht="15.75" customHeight="1">
      <c r="A1916" s="9">
        <v>2207369.0</v>
      </c>
      <c r="B1916" s="9">
        <v>1.3162716E7</v>
      </c>
      <c r="C1916" s="9">
        <v>40282.0</v>
      </c>
      <c r="D1916" s="9" t="s">
        <v>52</v>
      </c>
      <c r="E1916" s="9" t="s">
        <v>53</v>
      </c>
      <c r="F1916" s="9">
        <v>107199.0</v>
      </c>
      <c r="G1916" s="9">
        <v>1.035404076E7</v>
      </c>
      <c r="H1916" s="9">
        <v>1.120716556E7</v>
      </c>
      <c r="I1916" s="9">
        <v>1.10459943E7</v>
      </c>
      <c r="J1916" s="9">
        <v>0.0</v>
      </c>
      <c r="K1916" s="9">
        <v>0.0</v>
      </c>
      <c r="L1916" s="9" t="s">
        <v>59</v>
      </c>
      <c r="M1916" s="9" t="s">
        <v>55</v>
      </c>
      <c r="N1916" s="9">
        <v>9878068.48</v>
      </c>
      <c r="O1916" s="9">
        <v>9876350.62</v>
      </c>
      <c r="P1916" s="9">
        <v>354956.61</v>
      </c>
      <c r="Q1916" s="9">
        <v>354956.61</v>
      </c>
      <c r="R1916" s="9" t="s">
        <v>72</v>
      </c>
      <c r="S1916" s="9" t="s">
        <v>57</v>
      </c>
      <c r="T1916" s="9" t="s">
        <v>73</v>
      </c>
      <c r="V1916" s="9">
        <v>1.044589827E7</v>
      </c>
      <c r="W1916" s="9">
        <v>483674.55</v>
      </c>
      <c r="X1916" s="9">
        <v>0.0</v>
      </c>
    </row>
    <row r="1917" ht="15.75" customHeight="1">
      <c r="A1917" s="9">
        <v>2214162.0</v>
      </c>
      <c r="B1917" s="9">
        <v>4095065.0</v>
      </c>
      <c r="C1917" s="9">
        <v>26627.0</v>
      </c>
      <c r="D1917" s="9" t="s">
        <v>52</v>
      </c>
      <c r="E1917" s="9" t="s">
        <v>53</v>
      </c>
      <c r="F1917" s="9">
        <v>205965.0</v>
      </c>
      <c r="G1917" s="9">
        <v>4679965.0</v>
      </c>
      <c r="H1917" s="9">
        <v>4679965.0</v>
      </c>
      <c r="I1917" s="9">
        <v>4675296.42</v>
      </c>
      <c r="J1917" s="9">
        <v>0.0</v>
      </c>
      <c r="K1917" s="9">
        <v>0.0</v>
      </c>
      <c r="L1917" s="9" t="s">
        <v>69</v>
      </c>
      <c r="M1917" s="9" t="s">
        <v>55</v>
      </c>
      <c r="N1917" s="9">
        <v>4225667.11</v>
      </c>
      <c r="O1917" s="9">
        <v>4225667.11</v>
      </c>
      <c r="P1917" s="9">
        <v>246683.33</v>
      </c>
      <c r="Q1917" s="9">
        <v>0.0</v>
      </c>
      <c r="R1917" s="9" t="s">
        <v>56</v>
      </c>
      <c r="S1917" s="9" t="s">
        <v>57</v>
      </c>
      <c r="T1917" s="9" t="s">
        <v>58</v>
      </c>
      <c r="V1917" s="9">
        <v>4225667.11</v>
      </c>
      <c r="W1917" s="9">
        <v>0.0</v>
      </c>
      <c r="X1917" s="9">
        <v>0.0</v>
      </c>
    </row>
    <row r="1918" ht="15.75" customHeight="1">
      <c r="A1918" s="9">
        <v>2217470.0</v>
      </c>
      <c r="B1918" s="9">
        <v>2.524707E7</v>
      </c>
      <c r="C1918" s="9">
        <v>33476.0</v>
      </c>
      <c r="D1918" s="9" t="s">
        <v>52</v>
      </c>
      <c r="E1918" s="9" t="s">
        <v>53</v>
      </c>
      <c r="F1918" s="9">
        <v>227637.0</v>
      </c>
      <c r="G1918" s="9">
        <v>2.524707E7</v>
      </c>
      <c r="H1918" s="9">
        <v>2.524707E7</v>
      </c>
      <c r="I1918" s="9">
        <v>2604011.05</v>
      </c>
      <c r="J1918" s="9">
        <v>0.0</v>
      </c>
      <c r="K1918" s="9">
        <v>0.0</v>
      </c>
      <c r="L1918" s="9" t="s">
        <v>59</v>
      </c>
      <c r="M1918" s="9" t="s">
        <v>65</v>
      </c>
      <c r="N1918" s="9">
        <v>950000.0</v>
      </c>
      <c r="O1918" s="9">
        <v>950000.0</v>
      </c>
      <c r="P1918" s="9">
        <v>95000.0</v>
      </c>
      <c r="Q1918" s="9">
        <v>0.0</v>
      </c>
      <c r="R1918" s="9" t="s">
        <v>60</v>
      </c>
      <c r="S1918" s="9" t="s">
        <v>57</v>
      </c>
      <c r="T1918" s="9" t="s">
        <v>61</v>
      </c>
      <c r="V1918" s="9">
        <v>950000.0</v>
      </c>
      <c r="W1918" s="9">
        <v>92000.0</v>
      </c>
    </row>
    <row r="1919" ht="15.75" customHeight="1">
      <c r="A1919" s="9">
        <v>2217506.0</v>
      </c>
      <c r="B1919" s="9">
        <v>3685831.0</v>
      </c>
      <c r="C1919" s="9">
        <v>40591.0</v>
      </c>
      <c r="D1919" s="9" t="s">
        <v>52</v>
      </c>
      <c r="E1919" s="9" t="s">
        <v>53</v>
      </c>
      <c r="F1919" s="9">
        <v>225083.0</v>
      </c>
      <c r="G1919" s="9">
        <v>1.387547856E7</v>
      </c>
      <c r="H1919" s="9">
        <v>1.054188707E7</v>
      </c>
      <c r="I1919" s="9">
        <v>7240967.44</v>
      </c>
      <c r="J1919" s="9">
        <v>0.0</v>
      </c>
      <c r="K1919" s="9">
        <v>0.0</v>
      </c>
      <c r="L1919" s="9" t="s">
        <v>59</v>
      </c>
      <c r="M1919" s="9" t="s">
        <v>55</v>
      </c>
      <c r="N1919" s="9">
        <v>9607326.5</v>
      </c>
      <c r="O1919" s="9">
        <v>9587036.83</v>
      </c>
      <c r="P1919" s="9">
        <v>480842.12</v>
      </c>
      <c r="Q1919" s="9">
        <v>432757.91</v>
      </c>
      <c r="R1919" s="9" t="s">
        <v>109</v>
      </c>
      <c r="S1919" s="9" t="s">
        <v>78</v>
      </c>
      <c r="T1919" s="9" t="s">
        <v>79</v>
      </c>
      <c r="U1919" s="9" t="s">
        <v>110</v>
      </c>
    </row>
    <row r="1920" ht="15.75" customHeight="1">
      <c r="A1920" s="9">
        <v>2219969.0</v>
      </c>
      <c r="B1920" s="9">
        <v>2426625.0</v>
      </c>
      <c r="C1920" s="9">
        <v>33209.0</v>
      </c>
      <c r="D1920" s="9" t="s">
        <v>52</v>
      </c>
      <c r="E1920" s="9" t="s">
        <v>53</v>
      </c>
      <c r="F1920" s="9">
        <v>219354.0</v>
      </c>
      <c r="G1920" s="9">
        <v>3185815.75</v>
      </c>
      <c r="H1920" s="9">
        <v>3185815.75</v>
      </c>
      <c r="I1920" s="9">
        <v>3083225.0</v>
      </c>
      <c r="J1920" s="9">
        <v>0.0</v>
      </c>
      <c r="K1920" s="9">
        <v>0.0</v>
      </c>
      <c r="L1920" s="9" t="s">
        <v>69</v>
      </c>
      <c r="M1920" s="9" t="s">
        <v>55</v>
      </c>
      <c r="N1920" s="9">
        <v>3083225.56</v>
      </c>
      <c r="O1920" s="9">
        <v>3083225.0</v>
      </c>
      <c r="R1920" s="9" t="s">
        <v>60</v>
      </c>
      <c r="S1920" s="9" t="s">
        <v>57</v>
      </c>
      <c r="T1920" s="9" t="s">
        <v>61</v>
      </c>
      <c r="V1920" s="9">
        <v>3084277.39</v>
      </c>
      <c r="W1920" s="9">
        <v>0.0</v>
      </c>
      <c r="X1920" s="9">
        <v>0.0</v>
      </c>
    </row>
    <row r="1921" ht="15.75" customHeight="1">
      <c r="A1921" s="9">
        <v>2224615.0</v>
      </c>
      <c r="B1921" s="9">
        <v>9967328.0</v>
      </c>
      <c r="C1921" s="9">
        <v>39344.0</v>
      </c>
      <c r="D1921" s="9" t="s">
        <v>52</v>
      </c>
      <c r="E1921" s="9" t="s">
        <v>53</v>
      </c>
      <c r="F1921" s="9">
        <v>222507.0</v>
      </c>
      <c r="G1921" s="9">
        <v>1.3300544E7</v>
      </c>
      <c r="H1921" s="9">
        <v>1.406547766E7</v>
      </c>
      <c r="I1921" s="9">
        <v>1.421413989E7</v>
      </c>
      <c r="J1921" s="9">
        <v>0.0</v>
      </c>
      <c r="K1921" s="9">
        <v>0.0</v>
      </c>
      <c r="L1921" s="9" t="s">
        <v>59</v>
      </c>
      <c r="M1921" s="9" t="s">
        <v>62</v>
      </c>
      <c r="N1921" s="9">
        <v>7918943.0</v>
      </c>
      <c r="O1921" s="9">
        <v>7918943.0</v>
      </c>
      <c r="P1921" s="9">
        <v>182500.0</v>
      </c>
      <c r="Q1921" s="9">
        <v>182500.0</v>
      </c>
      <c r="R1921" s="9" t="s">
        <v>56</v>
      </c>
      <c r="S1921" s="9" t="s">
        <v>57</v>
      </c>
      <c r="T1921" s="9" t="s">
        <v>58</v>
      </c>
      <c r="V1921" s="9">
        <v>9273397.18</v>
      </c>
      <c r="W1921" s="9">
        <v>0.0</v>
      </c>
      <c r="X1921" s="9">
        <v>0.0</v>
      </c>
    </row>
    <row r="1922" ht="15.75" customHeight="1">
      <c r="A1922" s="9">
        <v>2225792.0</v>
      </c>
      <c r="B1922" s="9">
        <v>3188628.0</v>
      </c>
      <c r="C1922" s="9">
        <v>40312.0</v>
      </c>
      <c r="D1922" s="9" t="s">
        <v>52</v>
      </c>
      <c r="E1922" s="9" t="s">
        <v>53</v>
      </c>
      <c r="F1922" s="9">
        <v>228210.0</v>
      </c>
      <c r="G1922" s="9">
        <v>2265758.07</v>
      </c>
      <c r="H1922" s="9">
        <v>2265758.07</v>
      </c>
      <c r="I1922" s="9">
        <v>2229713.93</v>
      </c>
      <c r="J1922" s="9">
        <v>0.0</v>
      </c>
      <c r="K1922" s="9">
        <v>0.0</v>
      </c>
      <c r="L1922" s="9" t="s">
        <v>69</v>
      </c>
      <c r="M1922" s="9" t="s">
        <v>55</v>
      </c>
      <c r="N1922" s="9">
        <v>2157864.83</v>
      </c>
      <c r="O1922" s="9">
        <v>2155988.38</v>
      </c>
      <c r="P1922" s="9">
        <v>107893.0</v>
      </c>
      <c r="Q1922" s="9">
        <v>107593.0</v>
      </c>
      <c r="R1922" s="9" t="s">
        <v>94</v>
      </c>
      <c r="S1922" s="9" t="s">
        <v>57</v>
      </c>
      <c r="T1922" s="9" t="s">
        <v>95</v>
      </c>
    </row>
    <row r="1923" ht="15.75" customHeight="1">
      <c r="A1923" s="9">
        <v>2226187.0</v>
      </c>
      <c r="B1923" s="9">
        <v>9832430.0</v>
      </c>
      <c r="C1923" s="9">
        <v>32178.0</v>
      </c>
      <c r="D1923" s="9" t="s">
        <v>52</v>
      </c>
      <c r="E1923" s="9" t="s">
        <v>53</v>
      </c>
      <c r="F1923" s="9">
        <v>79272.0</v>
      </c>
      <c r="G1923" s="9">
        <v>8278383.02</v>
      </c>
      <c r="H1923" s="9">
        <v>8278383.02</v>
      </c>
      <c r="I1923" s="9">
        <v>8139830.35</v>
      </c>
      <c r="J1923" s="9">
        <v>0.0</v>
      </c>
      <c r="K1923" s="9">
        <v>0.0</v>
      </c>
      <c r="L1923" s="9" t="s">
        <v>59</v>
      </c>
      <c r="M1923" s="9" t="s">
        <v>55</v>
      </c>
      <c r="N1923" s="9">
        <v>7432745.73</v>
      </c>
      <c r="O1923" s="9">
        <v>7432745.73</v>
      </c>
      <c r="P1923" s="9">
        <v>371637.29</v>
      </c>
      <c r="Q1923" s="9">
        <v>371637.29</v>
      </c>
      <c r="R1923" s="9" t="s">
        <v>56</v>
      </c>
      <c r="S1923" s="9" t="s">
        <v>57</v>
      </c>
      <c r="T1923" s="9" t="s">
        <v>58</v>
      </c>
      <c r="V1923" s="9">
        <v>7432705.73</v>
      </c>
      <c r="W1923" s="9">
        <v>0.0</v>
      </c>
      <c r="X1923" s="9">
        <v>0.0</v>
      </c>
    </row>
    <row r="1924" ht="15.75" customHeight="1">
      <c r="A1924" s="9">
        <v>2226496.0</v>
      </c>
      <c r="B1924" s="9">
        <v>9865260.0</v>
      </c>
      <c r="C1924" s="9">
        <v>39350.0</v>
      </c>
      <c r="D1924" s="9" t="s">
        <v>52</v>
      </c>
      <c r="E1924" s="9" t="s">
        <v>53</v>
      </c>
      <c r="F1924" s="9">
        <v>226304.0</v>
      </c>
      <c r="G1924" s="9">
        <v>1.580152184E7</v>
      </c>
      <c r="H1924" s="9">
        <v>1.5801522E7</v>
      </c>
      <c r="I1924" s="9">
        <v>1.409096154E7</v>
      </c>
      <c r="J1924" s="9">
        <v>1109300.04</v>
      </c>
      <c r="K1924" s="9">
        <v>1943122.0</v>
      </c>
      <c r="L1924" s="9" t="s">
        <v>59</v>
      </c>
      <c r="M1924" s="9" t="s">
        <v>55</v>
      </c>
      <c r="N1924" s="9">
        <v>1.517454023E7</v>
      </c>
      <c r="O1924" s="9">
        <v>1.4145156E7</v>
      </c>
      <c r="P1924" s="9">
        <v>606981.61</v>
      </c>
      <c r="Q1924" s="9">
        <v>606981.61</v>
      </c>
      <c r="R1924" s="9" t="s">
        <v>77</v>
      </c>
      <c r="S1924" s="9" t="s">
        <v>78</v>
      </c>
      <c r="T1924" s="9" t="s">
        <v>79</v>
      </c>
      <c r="U1924" s="9" t="s">
        <v>80</v>
      </c>
    </row>
    <row r="1925" ht="15.75" customHeight="1">
      <c r="A1925" s="9">
        <v>2227221.0</v>
      </c>
      <c r="B1925" s="9">
        <v>108629.0</v>
      </c>
      <c r="C1925" s="9">
        <v>29868.0</v>
      </c>
      <c r="D1925" s="9" t="s">
        <v>52</v>
      </c>
      <c r="E1925" s="9" t="s">
        <v>53</v>
      </c>
      <c r="F1925" s="9">
        <v>9348.0</v>
      </c>
      <c r="G1925" s="9">
        <v>108629.0</v>
      </c>
      <c r="H1925" s="9">
        <v>108629.0</v>
      </c>
      <c r="I1925" s="9">
        <v>0.0</v>
      </c>
      <c r="J1925" s="9">
        <v>0.0</v>
      </c>
      <c r="K1925" s="9">
        <v>0.0</v>
      </c>
      <c r="L1925" s="9" t="s">
        <v>54</v>
      </c>
      <c r="M1925" s="9" t="s">
        <v>55</v>
      </c>
      <c r="N1925" s="9">
        <v>0.0</v>
      </c>
      <c r="O1925" s="9">
        <v>0.0</v>
      </c>
      <c r="R1925" s="9" t="s">
        <v>60</v>
      </c>
      <c r="S1925" s="9" t="s">
        <v>57</v>
      </c>
      <c r="T1925" s="9" t="s">
        <v>61</v>
      </c>
    </row>
    <row r="1926" ht="15.75" customHeight="1">
      <c r="A1926" s="9">
        <v>2227298.0</v>
      </c>
      <c r="B1926" s="9">
        <v>1187886.0</v>
      </c>
      <c r="C1926" s="9">
        <v>30165.0</v>
      </c>
      <c r="D1926" s="9" t="s">
        <v>52</v>
      </c>
      <c r="E1926" s="9" t="s">
        <v>53</v>
      </c>
      <c r="F1926" s="9">
        <v>18705.0</v>
      </c>
      <c r="G1926" s="9">
        <v>0.0</v>
      </c>
      <c r="M1926" s="9" t="s">
        <v>55</v>
      </c>
      <c r="N1926" s="9">
        <v>1187886.0</v>
      </c>
      <c r="O1926" s="9">
        <v>1245206.21</v>
      </c>
      <c r="P1926" s="9">
        <v>15000.0</v>
      </c>
      <c r="Q1926" s="9">
        <v>15000.0</v>
      </c>
      <c r="R1926" s="9" t="s">
        <v>60</v>
      </c>
      <c r="S1926" s="9" t="s">
        <v>57</v>
      </c>
      <c r="T1926" s="9" t="s">
        <v>61</v>
      </c>
      <c r="V1926" s="9">
        <v>1139674.41</v>
      </c>
      <c r="W1926" s="9">
        <v>15000.0</v>
      </c>
      <c r="X1926" s="9">
        <v>0.0</v>
      </c>
    </row>
    <row r="1927" ht="15.75" customHeight="1">
      <c r="A1927" s="9">
        <v>2077519.0</v>
      </c>
      <c r="B1927" s="9">
        <v>2243772.0</v>
      </c>
      <c r="C1927" s="9">
        <v>30666.0</v>
      </c>
      <c r="D1927" s="9" t="s">
        <v>52</v>
      </c>
      <c r="E1927" s="9" t="s">
        <v>53</v>
      </c>
      <c r="F1927" s="9">
        <v>94470.0</v>
      </c>
      <c r="G1927" s="9">
        <v>2574624.36</v>
      </c>
      <c r="H1927" s="9">
        <v>2574624.36</v>
      </c>
      <c r="I1927" s="9">
        <v>2574624.36</v>
      </c>
      <c r="J1927" s="9">
        <v>0.0</v>
      </c>
      <c r="K1927" s="9">
        <v>0.0</v>
      </c>
      <c r="L1927" s="9" t="s">
        <v>69</v>
      </c>
      <c r="M1927" s="9" t="s">
        <v>55</v>
      </c>
      <c r="N1927" s="9">
        <v>2400385.37</v>
      </c>
      <c r="O1927" s="9">
        <v>2227476.26</v>
      </c>
      <c r="P1927" s="9">
        <v>120019.26</v>
      </c>
      <c r="Q1927" s="9">
        <v>118990.9</v>
      </c>
      <c r="R1927" s="9" t="s">
        <v>60</v>
      </c>
      <c r="S1927" s="9" t="s">
        <v>57</v>
      </c>
      <c r="T1927" s="9" t="s">
        <v>61</v>
      </c>
      <c r="V1927" s="9">
        <v>2404894.22</v>
      </c>
      <c r="W1927" s="9">
        <v>118990.9</v>
      </c>
      <c r="X1927" s="9">
        <v>0.0</v>
      </c>
    </row>
    <row r="1928" ht="15.75" customHeight="1">
      <c r="A1928" s="9">
        <v>2077830.0</v>
      </c>
      <c r="B1928" s="9">
        <v>5844439.0</v>
      </c>
      <c r="C1928" s="9">
        <v>29944.0</v>
      </c>
      <c r="D1928" s="9" t="s">
        <v>52</v>
      </c>
      <c r="E1928" s="9" t="s">
        <v>53</v>
      </c>
      <c r="F1928" s="9">
        <v>95996.0</v>
      </c>
      <c r="G1928" s="9">
        <v>5844439.0</v>
      </c>
      <c r="H1928" s="9">
        <v>5844439.0</v>
      </c>
      <c r="I1928" s="9">
        <v>5844437.6</v>
      </c>
      <c r="J1928" s="9">
        <v>0.0</v>
      </c>
      <c r="K1928" s="9">
        <v>0.0</v>
      </c>
      <c r="L1928" s="9" t="s">
        <v>54</v>
      </c>
      <c r="M1928" s="9" t="s">
        <v>55</v>
      </c>
      <c r="N1928" s="9">
        <v>5574739.0</v>
      </c>
      <c r="O1928" s="9">
        <v>5574439.0</v>
      </c>
      <c r="P1928" s="9">
        <v>220000.0</v>
      </c>
      <c r="Q1928" s="9">
        <v>220000.0</v>
      </c>
      <c r="R1928" s="9" t="s">
        <v>60</v>
      </c>
      <c r="S1928" s="9" t="s">
        <v>57</v>
      </c>
      <c r="T1928" s="9" t="s">
        <v>61</v>
      </c>
      <c r="V1928" s="9">
        <v>5574439.0</v>
      </c>
      <c r="W1928" s="9">
        <v>0.0</v>
      </c>
      <c r="X1928" s="9">
        <v>0.0</v>
      </c>
    </row>
    <row r="1929" ht="15.75" customHeight="1">
      <c r="A1929" s="9">
        <v>2078291.0</v>
      </c>
      <c r="B1929" s="9">
        <v>3.9664658E7</v>
      </c>
      <c r="C1929" s="9">
        <v>37149.0</v>
      </c>
      <c r="D1929" s="9" t="s">
        <v>52</v>
      </c>
      <c r="E1929" s="9" t="s">
        <v>53</v>
      </c>
      <c r="F1929" s="9">
        <v>71974.0</v>
      </c>
      <c r="G1929" s="9">
        <v>5.446091751E7</v>
      </c>
      <c r="H1929" s="9">
        <v>5.645363051E7</v>
      </c>
      <c r="I1929" s="9">
        <v>5.59816279E7</v>
      </c>
      <c r="J1929" s="9">
        <v>0.0</v>
      </c>
      <c r="K1929" s="9">
        <v>0.0</v>
      </c>
      <c r="L1929" s="9" t="s">
        <v>59</v>
      </c>
      <c r="M1929" s="9" t="s">
        <v>62</v>
      </c>
      <c r="N1929" s="9">
        <v>7761010.0</v>
      </c>
      <c r="O1929" s="9">
        <v>7761010.0</v>
      </c>
      <c r="P1929" s="9">
        <v>362000.0</v>
      </c>
      <c r="Q1929" s="9">
        <v>0.0</v>
      </c>
      <c r="R1929" s="9" t="s">
        <v>56</v>
      </c>
      <c r="S1929" s="9" t="s">
        <v>57</v>
      </c>
      <c r="T1929" s="9" t="s">
        <v>58</v>
      </c>
      <c r="V1929" s="9">
        <v>1.077408784E7</v>
      </c>
      <c r="W1929" s="9">
        <v>0.0</v>
      </c>
      <c r="X1929" s="9">
        <v>0.0</v>
      </c>
    </row>
    <row r="1930" ht="15.75" customHeight="1">
      <c r="A1930" s="9">
        <v>2079141.0</v>
      </c>
      <c r="B1930" s="9">
        <v>5908100.0</v>
      </c>
      <c r="C1930" s="9">
        <v>39374.0</v>
      </c>
      <c r="D1930" s="9" t="s">
        <v>52</v>
      </c>
      <c r="E1930" s="9" t="s">
        <v>53</v>
      </c>
      <c r="F1930" s="9">
        <v>79322.0</v>
      </c>
      <c r="G1930" s="9">
        <v>8495056.21</v>
      </c>
      <c r="H1930" s="9">
        <v>9098033.08</v>
      </c>
      <c r="I1930" s="9">
        <v>8110361.4</v>
      </c>
      <c r="J1930" s="9">
        <v>0.0</v>
      </c>
      <c r="K1930" s="9">
        <v>0.0</v>
      </c>
      <c r="L1930" s="9" t="s">
        <v>59</v>
      </c>
      <c r="M1930" s="9" t="s">
        <v>74</v>
      </c>
      <c r="N1930" s="9">
        <v>395000.0</v>
      </c>
      <c r="O1930" s="9">
        <v>394990.0</v>
      </c>
      <c r="R1930" s="9" t="s">
        <v>85</v>
      </c>
      <c r="S1930" s="9" t="s">
        <v>67</v>
      </c>
      <c r="T1930" s="9" t="s">
        <v>86</v>
      </c>
    </row>
    <row r="1931" ht="15.75" customHeight="1">
      <c r="A1931" s="9">
        <v>2084457.0</v>
      </c>
      <c r="B1931" s="9">
        <v>9022762.0</v>
      </c>
      <c r="C1931" s="9">
        <v>33194.0</v>
      </c>
      <c r="D1931" s="9" t="s">
        <v>52</v>
      </c>
      <c r="E1931" s="9" t="s">
        <v>53</v>
      </c>
      <c r="F1931" s="9">
        <v>92925.0</v>
      </c>
      <c r="G1931" s="9">
        <v>9532940.15</v>
      </c>
      <c r="H1931" s="9">
        <v>1.414375385E7</v>
      </c>
      <c r="I1931" s="9">
        <v>1.311175093E7</v>
      </c>
      <c r="J1931" s="9">
        <v>238500.0</v>
      </c>
      <c r="K1931" s="9">
        <v>714178.0</v>
      </c>
      <c r="L1931" s="9" t="s">
        <v>59</v>
      </c>
      <c r="M1931" s="9" t="s">
        <v>62</v>
      </c>
      <c r="N1931" s="9">
        <v>2594762.25</v>
      </c>
      <c r="O1931" s="9">
        <v>2594762.25</v>
      </c>
      <c r="P1931" s="9">
        <v>71947.55</v>
      </c>
      <c r="Q1931" s="9">
        <v>60025.0</v>
      </c>
      <c r="R1931" s="9" t="s">
        <v>96</v>
      </c>
      <c r="S1931" s="9" t="s">
        <v>78</v>
      </c>
      <c r="T1931" s="9" t="s">
        <v>79</v>
      </c>
      <c r="U1931" s="9" t="s">
        <v>97</v>
      </c>
    </row>
    <row r="1932" ht="15.75" customHeight="1">
      <c r="A1932" s="9">
        <v>2084964.0</v>
      </c>
      <c r="B1932" s="9">
        <v>2.5409641E7</v>
      </c>
      <c r="C1932" s="9">
        <v>33969.0</v>
      </c>
      <c r="D1932" s="9" t="s">
        <v>52</v>
      </c>
      <c r="E1932" s="9" t="s">
        <v>53</v>
      </c>
      <c r="F1932" s="9">
        <v>50071.0</v>
      </c>
      <c r="G1932" s="9">
        <v>2.5409641E7</v>
      </c>
      <c r="H1932" s="9">
        <v>2.575017035E7</v>
      </c>
      <c r="I1932" s="9">
        <v>2.494668215E7</v>
      </c>
      <c r="J1932" s="9">
        <v>0.0</v>
      </c>
      <c r="K1932" s="9">
        <v>0.0</v>
      </c>
      <c r="L1932" s="9" t="s">
        <v>59</v>
      </c>
      <c r="M1932" s="9" t="s">
        <v>62</v>
      </c>
      <c r="R1932" s="9" t="s">
        <v>75</v>
      </c>
      <c r="S1932" s="9" t="s">
        <v>57</v>
      </c>
      <c r="T1932" s="9" t="s">
        <v>76</v>
      </c>
    </row>
    <row r="1933" ht="15.75" customHeight="1">
      <c r="A1933" s="9">
        <v>2084975.0</v>
      </c>
      <c r="B1933" s="9">
        <v>7527522.0</v>
      </c>
      <c r="C1933" s="9">
        <v>31221.0</v>
      </c>
      <c r="D1933" s="9" t="s">
        <v>52</v>
      </c>
      <c r="E1933" s="9" t="s">
        <v>53</v>
      </c>
      <c r="F1933" s="9">
        <v>74899.0</v>
      </c>
      <c r="G1933" s="9">
        <v>8425374.13</v>
      </c>
      <c r="H1933" s="9">
        <v>8425374.13</v>
      </c>
      <c r="I1933" s="9">
        <v>8339658.34</v>
      </c>
      <c r="J1933" s="9">
        <v>0.0</v>
      </c>
      <c r="K1933" s="9">
        <v>0.0</v>
      </c>
      <c r="L1933" s="9" t="s">
        <v>69</v>
      </c>
      <c r="M1933" s="9" t="s">
        <v>55</v>
      </c>
      <c r="R1933" s="9" t="s">
        <v>60</v>
      </c>
      <c r="S1933" s="9" t="s">
        <v>57</v>
      </c>
      <c r="T1933" s="9" t="s">
        <v>61</v>
      </c>
      <c r="V1933" s="9">
        <v>8325705.33</v>
      </c>
      <c r="W1933" s="9">
        <v>0.0</v>
      </c>
      <c r="X1933" s="9">
        <v>0.0</v>
      </c>
    </row>
    <row r="1934" ht="15.75" customHeight="1">
      <c r="A1934" s="9">
        <v>2085793.0</v>
      </c>
      <c r="B1934" s="9">
        <v>1955298.0</v>
      </c>
      <c r="C1934" s="9">
        <v>30698.0</v>
      </c>
      <c r="D1934" s="9" t="s">
        <v>52</v>
      </c>
      <c r="E1934" s="9" t="s">
        <v>53</v>
      </c>
      <c r="F1934" s="9">
        <v>40856.0</v>
      </c>
      <c r="G1934" s="9">
        <v>1955298.0</v>
      </c>
      <c r="H1934" s="9">
        <v>1955298.0</v>
      </c>
      <c r="I1934" s="9">
        <v>223433.13</v>
      </c>
      <c r="J1934" s="9">
        <v>0.0</v>
      </c>
      <c r="K1934" s="9">
        <v>0.0</v>
      </c>
      <c r="L1934" s="9" t="s">
        <v>59</v>
      </c>
      <c r="M1934" s="9" t="s">
        <v>55</v>
      </c>
      <c r="N1934" s="9">
        <v>1243423.0</v>
      </c>
      <c r="O1934" s="9">
        <v>1119081.0</v>
      </c>
      <c r="P1934" s="9">
        <v>29444.26</v>
      </c>
      <c r="Q1934" s="9">
        <v>29444.26</v>
      </c>
      <c r="R1934" s="9" t="s">
        <v>60</v>
      </c>
      <c r="S1934" s="9" t="s">
        <v>57</v>
      </c>
      <c r="T1934" s="9" t="s">
        <v>61</v>
      </c>
      <c r="V1934" s="9">
        <v>1145937.52</v>
      </c>
      <c r="W1934" s="9">
        <v>29444.26</v>
      </c>
      <c r="X1934" s="9">
        <v>0.0</v>
      </c>
    </row>
    <row r="1935" ht="15.75" customHeight="1">
      <c r="A1935" s="9">
        <v>2088026.0</v>
      </c>
      <c r="B1935" s="9">
        <v>212339.0</v>
      </c>
      <c r="C1935" s="9">
        <v>30050.0</v>
      </c>
      <c r="D1935" s="9" t="s">
        <v>52</v>
      </c>
      <c r="E1935" s="9" t="s">
        <v>53</v>
      </c>
      <c r="F1935" s="9">
        <v>99880.0</v>
      </c>
      <c r="G1935" s="9">
        <v>210375.13</v>
      </c>
      <c r="H1935" s="9">
        <v>210375.13</v>
      </c>
      <c r="I1935" s="9">
        <v>215467.36</v>
      </c>
      <c r="J1935" s="9">
        <v>0.0</v>
      </c>
      <c r="K1935" s="9">
        <v>0.0</v>
      </c>
      <c r="L1935" s="9" t="s">
        <v>59</v>
      </c>
      <c r="M1935" s="9" t="s">
        <v>55</v>
      </c>
      <c r="N1935" s="9">
        <v>200538.1</v>
      </c>
      <c r="O1935" s="9">
        <v>62773.11</v>
      </c>
      <c r="P1935" s="9">
        <v>200538.1</v>
      </c>
      <c r="Q1935" s="9">
        <v>0.0</v>
      </c>
      <c r="R1935" s="9" t="s">
        <v>60</v>
      </c>
      <c r="S1935" s="9" t="s">
        <v>57</v>
      </c>
      <c r="T1935" s="9" t="s">
        <v>61</v>
      </c>
      <c r="V1935" s="9">
        <v>204693.17</v>
      </c>
      <c r="W1935" s="9">
        <v>8000.0</v>
      </c>
      <c r="X1935" s="9">
        <v>0.0</v>
      </c>
    </row>
    <row r="1936" ht="15.75" customHeight="1">
      <c r="A1936" s="9">
        <v>2088308.0</v>
      </c>
      <c r="B1936" s="9">
        <v>2.5570956E7</v>
      </c>
      <c r="C1936" s="9">
        <v>33963.0</v>
      </c>
      <c r="D1936" s="9" t="s">
        <v>52</v>
      </c>
      <c r="E1936" s="9" t="s">
        <v>53</v>
      </c>
      <c r="F1936" s="9">
        <v>49537.0</v>
      </c>
      <c r="G1936" s="9">
        <v>3.06851472E7</v>
      </c>
      <c r="H1936" s="9">
        <v>3.06851472E7</v>
      </c>
      <c r="I1936" s="9">
        <v>2.759739066E7</v>
      </c>
      <c r="J1936" s="9">
        <v>0.0</v>
      </c>
      <c r="K1936" s="9">
        <v>0.0</v>
      </c>
      <c r="L1936" s="9" t="s">
        <v>59</v>
      </c>
      <c r="M1936" s="9" t="s">
        <v>55</v>
      </c>
      <c r="N1936" s="9">
        <v>1528159.59</v>
      </c>
      <c r="O1936" s="9">
        <v>1528159.5</v>
      </c>
      <c r="P1936" s="9">
        <v>45844.79</v>
      </c>
      <c r="Q1936" s="9">
        <v>45844.79</v>
      </c>
      <c r="R1936" s="9" t="s">
        <v>60</v>
      </c>
      <c r="S1936" s="9" t="s">
        <v>57</v>
      </c>
      <c r="T1936" s="9" t="s">
        <v>61</v>
      </c>
      <c r="V1936" s="9">
        <v>1528160.0</v>
      </c>
      <c r="W1936" s="9">
        <v>45840.0</v>
      </c>
      <c r="X1936" s="9">
        <v>0.0</v>
      </c>
    </row>
    <row r="1937" ht="15.75" customHeight="1">
      <c r="A1937" s="9">
        <v>2090155.0</v>
      </c>
      <c r="B1937" s="9">
        <v>5065575.0</v>
      </c>
      <c r="C1937" s="9">
        <v>29776.0</v>
      </c>
      <c r="D1937" s="9" t="s">
        <v>52</v>
      </c>
      <c r="E1937" s="9" t="s">
        <v>53</v>
      </c>
      <c r="F1937" s="9">
        <v>53702.0</v>
      </c>
      <c r="G1937" s="9">
        <v>6573014.35</v>
      </c>
      <c r="H1937" s="9">
        <v>6573014.35</v>
      </c>
      <c r="I1937" s="9">
        <v>160513.33</v>
      </c>
      <c r="J1937" s="9">
        <v>0.0</v>
      </c>
      <c r="K1937" s="9">
        <v>0.0</v>
      </c>
      <c r="L1937" s="9" t="s">
        <v>69</v>
      </c>
      <c r="M1937" s="9" t="s">
        <v>65</v>
      </c>
      <c r="N1937" s="9">
        <v>141836.7</v>
      </c>
      <c r="O1937" s="9">
        <v>127653.03</v>
      </c>
      <c r="R1937" s="9" t="s">
        <v>60</v>
      </c>
      <c r="S1937" s="9" t="s">
        <v>57</v>
      </c>
      <c r="T1937" s="9" t="s">
        <v>61</v>
      </c>
      <c r="V1937" s="9">
        <v>127653.03</v>
      </c>
      <c r="W1937" s="9">
        <v>9860.3</v>
      </c>
    </row>
    <row r="1938" ht="15.75" customHeight="1">
      <c r="A1938" s="9">
        <v>2090516.0</v>
      </c>
      <c r="B1938" s="9">
        <v>5284087.0</v>
      </c>
      <c r="C1938" s="9">
        <v>29774.0</v>
      </c>
      <c r="D1938" s="9" t="s">
        <v>52</v>
      </c>
      <c r="E1938" s="9" t="s">
        <v>53</v>
      </c>
      <c r="F1938" s="9">
        <v>104468.0</v>
      </c>
      <c r="G1938" s="9">
        <v>5518206.0</v>
      </c>
      <c r="H1938" s="9">
        <v>5518206.0</v>
      </c>
      <c r="I1938" s="9">
        <v>5451632.41</v>
      </c>
      <c r="J1938" s="9">
        <v>0.0</v>
      </c>
      <c r="K1938" s="9">
        <v>0.0</v>
      </c>
      <c r="L1938" s="9" t="s">
        <v>69</v>
      </c>
      <c r="M1938" s="9" t="s">
        <v>65</v>
      </c>
      <c r="N1938" s="9">
        <v>120000.0</v>
      </c>
      <c r="O1938" s="9">
        <v>120000.0</v>
      </c>
      <c r="R1938" s="9" t="s">
        <v>60</v>
      </c>
      <c r="S1938" s="9" t="s">
        <v>57</v>
      </c>
      <c r="T1938" s="9" t="s">
        <v>61</v>
      </c>
      <c r="V1938" s="9">
        <v>120000.0</v>
      </c>
      <c r="W1938" s="9">
        <v>0.0</v>
      </c>
    </row>
    <row r="1939" ht="15.75" customHeight="1">
      <c r="A1939" s="9">
        <v>2090580.0</v>
      </c>
      <c r="B1939" s="9">
        <v>4395360.0</v>
      </c>
      <c r="C1939" s="9">
        <v>30878.0</v>
      </c>
      <c r="D1939" s="9" t="s">
        <v>52</v>
      </c>
      <c r="E1939" s="9" t="s">
        <v>53</v>
      </c>
      <c r="F1939" s="9">
        <v>7659.0</v>
      </c>
      <c r="G1939" s="9">
        <v>4776050.25</v>
      </c>
      <c r="H1939" s="9">
        <v>4776050.25</v>
      </c>
      <c r="I1939" s="9">
        <v>4984965.07</v>
      </c>
      <c r="J1939" s="9">
        <v>0.0</v>
      </c>
      <c r="K1939" s="9">
        <v>0.0</v>
      </c>
      <c r="L1939" s="9" t="s">
        <v>69</v>
      </c>
      <c r="M1939" s="9" t="s">
        <v>55</v>
      </c>
      <c r="N1939" s="9">
        <v>2798051.64</v>
      </c>
      <c r="O1939" s="9">
        <v>3069307.15</v>
      </c>
      <c r="P1939" s="9">
        <v>2798051.64</v>
      </c>
      <c r="Q1939" s="9">
        <v>42054.3</v>
      </c>
      <c r="R1939" s="9" t="s">
        <v>72</v>
      </c>
      <c r="S1939" s="9" t="s">
        <v>57</v>
      </c>
      <c r="T1939" s="9" t="s">
        <v>73</v>
      </c>
      <c r="V1939" s="9">
        <v>4471117.11</v>
      </c>
      <c r="W1939" s="9">
        <v>100067.74</v>
      </c>
      <c r="X1939" s="9">
        <v>0.0</v>
      </c>
    </row>
    <row r="1940" ht="15.75" customHeight="1">
      <c r="A1940" s="9">
        <v>2090773.0</v>
      </c>
      <c r="B1940" s="9">
        <v>4328316.0</v>
      </c>
      <c r="C1940" s="9">
        <v>30875.0</v>
      </c>
      <c r="D1940" s="9" t="s">
        <v>52</v>
      </c>
      <c r="E1940" s="9" t="s">
        <v>53</v>
      </c>
      <c r="F1940" s="9">
        <v>113515.0</v>
      </c>
      <c r="G1940" s="9">
        <v>4669777.58</v>
      </c>
      <c r="H1940" s="9">
        <v>4328316.0</v>
      </c>
      <c r="I1940" s="9">
        <v>4526249.11</v>
      </c>
      <c r="J1940" s="9">
        <v>0.0</v>
      </c>
      <c r="K1940" s="9">
        <v>0.0</v>
      </c>
      <c r="L1940" s="9" t="s">
        <v>59</v>
      </c>
      <c r="M1940" s="9" t="s">
        <v>55</v>
      </c>
      <c r="N1940" s="9">
        <v>4478861.2</v>
      </c>
      <c r="O1940" s="9">
        <v>4478861.2</v>
      </c>
      <c r="P1940" s="9">
        <v>48790.0</v>
      </c>
      <c r="Q1940" s="9">
        <v>48790.0</v>
      </c>
      <c r="R1940" s="9" t="s">
        <v>60</v>
      </c>
      <c r="S1940" s="9" t="s">
        <v>57</v>
      </c>
      <c r="T1940" s="9" t="s">
        <v>61</v>
      </c>
      <c r="V1940" s="9">
        <v>4499520.09</v>
      </c>
      <c r="W1940" s="9">
        <v>48790.0</v>
      </c>
      <c r="X1940" s="9">
        <v>0.0</v>
      </c>
    </row>
    <row r="1941" ht="15.75" customHeight="1">
      <c r="A1941" s="9">
        <v>2090884.0</v>
      </c>
      <c r="B1941" s="9">
        <v>1.2415297E7</v>
      </c>
      <c r="C1941" s="9">
        <v>30503.0</v>
      </c>
      <c r="D1941" s="9" t="s">
        <v>52</v>
      </c>
      <c r="E1941" s="9" t="s">
        <v>53</v>
      </c>
      <c r="F1941" s="9">
        <v>38580.0</v>
      </c>
      <c r="G1941" s="9">
        <v>1.2415297E7</v>
      </c>
      <c r="H1941" s="9">
        <v>1.2415297E7</v>
      </c>
      <c r="I1941" s="9">
        <v>0.0</v>
      </c>
      <c r="J1941" s="9">
        <v>0.0</v>
      </c>
      <c r="K1941" s="9">
        <v>0.0</v>
      </c>
      <c r="L1941" s="9" t="s">
        <v>54</v>
      </c>
      <c r="M1941" s="9" t="s">
        <v>55</v>
      </c>
      <c r="N1941" s="9">
        <v>1.2415297E7</v>
      </c>
      <c r="O1941" s="9">
        <v>1.08896859E7</v>
      </c>
      <c r="P1941" s="9">
        <v>315646.0</v>
      </c>
      <c r="Q1941" s="9">
        <v>314068.0</v>
      </c>
      <c r="R1941" s="9" t="s">
        <v>60</v>
      </c>
      <c r="S1941" s="9" t="s">
        <v>57</v>
      </c>
      <c r="T1941" s="9" t="s">
        <v>61</v>
      </c>
      <c r="V1941" s="9">
        <v>1.0889686E7</v>
      </c>
      <c r="W1941" s="9">
        <v>314068.0</v>
      </c>
      <c r="X1941" s="9">
        <v>0.0</v>
      </c>
    </row>
    <row r="1942" ht="15.75" customHeight="1">
      <c r="A1942" s="9">
        <v>2094074.0</v>
      </c>
      <c r="B1942" s="9">
        <v>496823.0</v>
      </c>
      <c r="C1942" s="9">
        <v>30368.0</v>
      </c>
      <c r="D1942" s="9" t="s">
        <v>52</v>
      </c>
      <c r="E1942" s="9" t="s">
        <v>53</v>
      </c>
      <c r="F1942" s="9">
        <v>109077.0</v>
      </c>
      <c r="G1942" s="9">
        <v>552598.3</v>
      </c>
      <c r="H1942" s="9">
        <v>552598.3</v>
      </c>
      <c r="I1942" s="9">
        <v>566272.3</v>
      </c>
      <c r="J1942" s="9">
        <v>0.0</v>
      </c>
      <c r="K1942" s="9">
        <v>0.0</v>
      </c>
      <c r="L1942" s="9" t="s">
        <v>69</v>
      </c>
      <c r="M1942" s="9" t="s">
        <v>55</v>
      </c>
      <c r="N1942" s="9">
        <v>589268.13</v>
      </c>
      <c r="O1942" s="9">
        <v>535698.3</v>
      </c>
      <c r="P1942" s="9">
        <v>589268.13</v>
      </c>
      <c r="Q1942" s="9">
        <v>18200.0</v>
      </c>
      <c r="R1942" s="9" t="s">
        <v>60</v>
      </c>
      <c r="S1942" s="9" t="s">
        <v>57</v>
      </c>
      <c r="T1942" s="9" t="s">
        <v>61</v>
      </c>
      <c r="V1942" s="9">
        <v>552598.3</v>
      </c>
      <c r="W1942" s="9">
        <v>0.0</v>
      </c>
      <c r="X1942" s="9">
        <v>0.0</v>
      </c>
    </row>
    <row r="1943" ht="15.75" customHeight="1">
      <c r="A1943" s="9">
        <v>2095003.0</v>
      </c>
      <c r="B1943" s="9">
        <v>834617.0</v>
      </c>
      <c r="C1943" s="9">
        <v>30916.0</v>
      </c>
      <c r="D1943" s="9" t="s">
        <v>52</v>
      </c>
      <c r="E1943" s="9" t="s">
        <v>53</v>
      </c>
      <c r="F1943" s="9">
        <v>97215.0</v>
      </c>
      <c r="G1943" s="9">
        <v>1036323.64</v>
      </c>
      <c r="H1943" s="9">
        <v>1036323.64</v>
      </c>
      <c r="I1943" s="9">
        <v>263776.76</v>
      </c>
      <c r="J1943" s="9">
        <v>0.0</v>
      </c>
      <c r="K1943" s="9">
        <v>0.0</v>
      </c>
      <c r="L1943" s="9" t="s">
        <v>54</v>
      </c>
      <c r="M1943" s="9" t="s">
        <v>55</v>
      </c>
      <c r="N1943" s="9">
        <v>920732.8</v>
      </c>
      <c r="O1943" s="9">
        <v>920732.8</v>
      </c>
      <c r="P1943" s="9">
        <v>0.0</v>
      </c>
      <c r="Q1943" s="9">
        <v>0.0</v>
      </c>
      <c r="R1943" s="9" t="s">
        <v>60</v>
      </c>
      <c r="S1943" s="9" t="s">
        <v>57</v>
      </c>
      <c r="T1943" s="9" t="s">
        <v>61</v>
      </c>
      <c r="V1943" s="9">
        <v>904504.12</v>
      </c>
      <c r="W1943" s="9">
        <v>0.0</v>
      </c>
      <c r="X1943" s="9">
        <v>0.0</v>
      </c>
    </row>
    <row r="1944" ht="15.75" customHeight="1">
      <c r="A1944" s="9">
        <v>2095203.0</v>
      </c>
      <c r="B1944" s="9">
        <v>4757039.0</v>
      </c>
      <c r="C1944" s="9">
        <v>30419.0</v>
      </c>
      <c r="D1944" s="9" t="s">
        <v>52</v>
      </c>
      <c r="E1944" s="9" t="s">
        <v>53</v>
      </c>
      <c r="F1944" s="9">
        <v>104792.0</v>
      </c>
      <c r="G1944" s="9">
        <v>5209388.04</v>
      </c>
      <c r="H1944" s="9">
        <v>5209388.04</v>
      </c>
      <c r="I1944" s="9">
        <v>3552223.26</v>
      </c>
      <c r="J1944" s="9">
        <v>0.0</v>
      </c>
      <c r="K1944" s="9">
        <v>0.0</v>
      </c>
      <c r="L1944" s="9" t="s">
        <v>69</v>
      </c>
      <c r="M1944" s="9" t="s">
        <v>55</v>
      </c>
      <c r="N1944" s="9">
        <v>4939388.04</v>
      </c>
      <c r="O1944" s="9">
        <v>4939388.04</v>
      </c>
      <c r="P1944" s="9">
        <v>195000.0</v>
      </c>
      <c r="Q1944" s="9">
        <v>195000.0</v>
      </c>
      <c r="R1944" s="9" t="s">
        <v>60</v>
      </c>
      <c r="S1944" s="9" t="s">
        <v>57</v>
      </c>
      <c r="T1944" s="9" t="s">
        <v>61</v>
      </c>
      <c r="V1944" s="9">
        <v>5133966.3</v>
      </c>
      <c r="W1944" s="9">
        <v>195000.0</v>
      </c>
      <c r="X1944" s="9">
        <v>0.0</v>
      </c>
    </row>
    <row r="1945" ht="15.75" customHeight="1">
      <c r="A1945" s="9">
        <v>2099708.0</v>
      </c>
      <c r="B1945" s="9">
        <v>1010993.0</v>
      </c>
      <c r="C1945" s="9">
        <v>29525.0</v>
      </c>
      <c r="D1945" s="9" t="s">
        <v>52</v>
      </c>
      <c r="E1945" s="9" t="s">
        <v>53</v>
      </c>
      <c r="F1945" s="9">
        <v>102222.0</v>
      </c>
      <c r="G1945" s="9">
        <v>973500.0</v>
      </c>
      <c r="H1945" s="9">
        <v>973500.0</v>
      </c>
      <c r="I1945" s="9">
        <v>830405.0</v>
      </c>
      <c r="J1945" s="9">
        <v>0.0</v>
      </c>
      <c r="K1945" s="9">
        <v>0.0</v>
      </c>
      <c r="L1945" s="9" t="s">
        <v>59</v>
      </c>
      <c r="M1945" s="9" t="s">
        <v>116</v>
      </c>
      <c r="N1945" s="9">
        <v>25000.0</v>
      </c>
      <c r="O1945" s="9">
        <v>25000.0</v>
      </c>
      <c r="R1945" s="9" t="s">
        <v>117</v>
      </c>
      <c r="S1945" s="9" t="s">
        <v>57</v>
      </c>
      <c r="T1945" s="9" t="s">
        <v>118</v>
      </c>
    </row>
    <row r="1946" ht="15.75" customHeight="1">
      <c r="A1946" s="9">
        <v>2101969.0</v>
      </c>
      <c r="B1946" s="9">
        <v>313804.26</v>
      </c>
      <c r="C1946" s="9">
        <v>31158.0</v>
      </c>
      <c r="D1946" s="9" t="s">
        <v>52</v>
      </c>
      <c r="E1946" s="9" t="s">
        <v>53</v>
      </c>
      <c r="F1946" s="9">
        <v>125095.0</v>
      </c>
      <c r="G1946" s="9">
        <v>345158.43</v>
      </c>
      <c r="H1946" s="9">
        <v>345158.43</v>
      </c>
      <c r="I1946" s="9">
        <v>0.0</v>
      </c>
      <c r="J1946" s="9">
        <v>0.0</v>
      </c>
      <c r="K1946" s="9">
        <v>0.0</v>
      </c>
      <c r="L1946" s="9" t="s">
        <v>54</v>
      </c>
      <c r="M1946" s="9" t="s">
        <v>55</v>
      </c>
      <c r="R1946" s="9" t="s">
        <v>60</v>
      </c>
      <c r="S1946" s="9" t="s">
        <v>57</v>
      </c>
      <c r="T1946" s="9" t="s">
        <v>61</v>
      </c>
      <c r="V1946" s="9">
        <v>328836.36</v>
      </c>
      <c r="W1946" s="9">
        <v>0.0</v>
      </c>
      <c r="X1946" s="9">
        <v>0.0</v>
      </c>
    </row>
    <row r="1947" ht="15.75" customHeight="1">
      <c r="A1947" s="9">
        <v>2104234.0</v>
      </c>
      <c r="B1947" s="9">
        <v>3413498.0</v>
      </c>
      <c r="C1947" s="9">
        <v>31263.0</v>
      </c>
      <c r="D1947" s="9" t="s">
        <v>52</v>
      </c>
      <c r="E1947" s="9" t="s">
        <v>53</v>
      </c>
      <c r="F1947" s="9">
        <v>107414.0</v>
      </c>
      <c r="G1947" s="9">
        <v>4439534.37</v>
      </c>
      <c r="H1947" s="9">
        <v>4439534.37</v>
      </c>
      <c r="I1947" s="9">
        <v>3831001.84</v>
      </c>
      <c r="J1947" s="9">
        <v>0.0</v>
      </c>
      <c r="K1947" s="9">
        <v>0.0</v>
      </c>
      <c r="L1947" s="9" t="s">
        <v>69</v>
      </c>
      <c r="M1947" s="9" t="s">
        <v>55</v>
      </c>
      <c r="R1947" s="9" t="s">
        <v>60</v>
      </c>
      <c r="S1947" s="9" t="s">
        <v>57</v>
      </c>
      <c r="T1947" s="9" t="s">
        <v>61</v>
      </c>
      <c r="V1947" s="9">
        <v>4278122.14</v>
      </c>
      <c r="W1947" s="9">
        <v>0.0</v>
      </c>
      <c r="X1947" s="9">
        <v>0.0</v>
      </c>
    </row>
    <row r="1948" ht="15.75" customHeight="1">
      <c r="A1948" s="9">
        <v>2104988.0</v>
      </c>
      <c r="B1948" s="9">
        <v>1079503.0</v>
      </c>
      <c r="C1948" s="9">
        <v>29524.0</v>
      </c>
      <c r="D1948" s="9" t="s">
        <v>52</v>
      </c>
      <c r="E1948" s="9" t="s">
        <v>53</v>
      </c>
      <c r="F1948" s="9">
        <v>102112.0</v>
      </c>
      <c r="G1948" s="9">
        <v>1174814.0</v>
      </c>
      <c r="H1948" s="9">
        <v>1174814.0</v>
      </c>
      <c r="I1948" s="9">
        <v>2500.0</v>
      </c>
      <c r="J1948" s="9">
        <v>0.0</v>
      </c>
      <c r="K1948" s="9">
        <v>0.0</v>
      </c>
      <c r="L1948" s="9" t="s">
        <v>59</v>
      </c>
      <c r="M1948" s="9" t="s">
        <v>116</v>
      </c>
      <c r="N1948" s="9">
        <v>40000.0</v>
      </c>
      <c r="O1948" s="9">
        <v>40000.0</v>
      </c>
      <c r="R1948" s="9" t="s">
        <v>117</v>
      </c>
      <c r="S1948" s="9" t="s">
        <v>57</v>
      </c>
      <c r="T1948" s="9" t="s">
        <v>118</v>
      </c>
    </row>
    <row r="1949" ht="15.75" customHeight="1">
      <c r="A1949" s="9">
        <v>2105563.0</v>
      </c>
      <c r="B1949" s="9">
        <v>2758754.0</v>
      </c>
      <c r="C1949" s="9">
        <v>29973.0</v>
      </c>
      <c r="D1949" s="9" t="s">
        <v>52</v>
      </c>
      <c r="E1949" s="9" t="s">
        <v>53</v>
      </c>
      <c r="F1949" s="9">
        <v>115942.0</v>
      </c>
      <c r="G1949" s="9">
        <v>2758754.0</v>
      </c>
      <c r="H1949" s="9">
        <v>2758754.0</v>
      </c>
      <c r="I1949" s="9">
        <v>0.0</v>
      </c>
      <c r="J1949" s="9">
        <v>0.0</v>
      </c>
      <c r="K1949" s="9">
        <v>0.0</v>
      </c>
      <c r="L1949" s="9" t="s">
        <v>54</v>
      </c>
      <c r="M1949" s="9" t="s">
        <v>55</v>
      </c>
      <c r="N1949" s="9">
        <v>2650578.0</v>
      </c>
      <c r="O1949" s="9">
        <v>2650578.31</v>
      </c>
      <c r="P1949" s="9">
        <v>2650578.0</v>
      </c>
      <c r="Q1949" s="9">
        <v>108175.69</v>
      </c>
      <c r="R1949" s="9" t="s">
        <v>60</v>
      </c>
      <c r="S1949" s="9" t="s">
        <v>57</v>
      </c>
      <c r="T1949" s="9" t="s">
        <v>61</v>
      </c>
      <c r="V1949" s="9">
        <v>2650578.31</v>
      </c>
      <c r="W1949" s="9">
        <v>108175.69</v>
      </c>
      <c r="X1949" s="9">
        <v>0.0</v>
      </c>
    </row>
    <row r="1950" ht="15.75" customHeight="1">
      <c r="A1950" s="9">
        <v>2107921.0</v>
      </c>
      <c r="B1950" s="9">
        <v>1214351.0</v>
      </c>
      <c r="C1950" s="9">
        <v>30062.0</v>
      </c>
      <c r="D1950" s="9" t="s">
        <v>52</v>
      </c>
      <c r="E1950" s="9" t="s">
        <v>53</v>
      </c>
      <c r="F1950" s="9">
        <v>135565.0</v>
      </c>
      <c r="G1950" s="9">
        <v>1214351.0</v>
      </c>
      <c r="H1950" s="9">
        <v>1214351.0</v>
      </c>
      <c r="I1950" s="9">
        <v>0.0</v>
      </c>
      <c r="J1950" s="9">
        <v>0.0</v>
      </c>
      <c r="K1950" s="9">
        <v>0.0</v>
      </c>
      <c r="L1950" s="9" t="s">
        <v>54</v>
      </c>
      <c r="M1950" s="9" t="s">
        <v>55</v>
      </c>
      <c r="N1950" s="9">
        <v>1136116.0</v>
      </c>
      <c r="O1950" s="9">
        <v>1760704.0</v>
      </c>
      <c r="P1950" s="9">
        <v>0.0</v>
      </c>
      <c r="Q1950" s="9">
        <v>0.0</v>
      </c>
      <c r="R1950" s="9" t="s">
        <v>60</v>
      </c>
      <c r="S1950" s="9" t="s">
        <v>57</v>
      </c>
      <c r="T1950" s="9" t="s">
        <v>61</v>
      </c>
      <c r="V1950" s="9">
        <v>1193759.09</v>
      </c>
      <c r="W1950" s="9">
        <v>57644.0</v>
      </c>
      <c r="X1950" s="9">
        <v>0.0</v>
      </c>
    </row>
    <row r="1951" ht="15.75" customHeight="1">
      <c r="A1951" s="9">
        <v>2118556.0</v>
      </c>
      <c r="B1951" s="9">
        <v>7083217.0</v>
      </c>
      <c r="C1951" s="9">
        <v>31256.0</v>
      </c>
      <c r="D1951" s="9" t="s">
        <v>52</v>
      </c>
      <c r="E1951" s="9" t="s">
        <v>53</v>
      </c>
      <c r="F1951" s="9">
        <v>135320.0</v>
      </c>
      <c r="G1951" s="9">
        <v>7413140.55</v>
      </c>
      <c r="H1951" s="9">
        <v>7413140.55</v>
      </c>
      <c r="I1951" s="9">
        <v>7392300.92</v>
      </c>
      <c r="J1951" s="9">
        <v>0.0</v>
      </c>
      <c r="K1951" s="9">
        <v>0.0</v>
      </c>
      <c r="L1951" s="9" t="s">
        <v>59</v>
      </c>
      <c r="M1951" s="9" t="s">
        <v>55</v>
      </c>
      <c r="R1951" s="9" t="s">
        <v>75</v>
      </c>
      <c r="S1951" s="9" t="s">
        <v>57</v>
      </c>
      <c r="T1951" s="9" t="s">
        <v>76</v>
      </c>
    </row>
    <row r="1952" ht="15.75" customHeight="1">
      <c r="A1952" s="9">
        <v>2122475.0</v>
      </c>
      <c r="B1952" s="9">
        <v>1516399.0</v>
      </c>
      <c r="C1952" s="9">
        <v>30286.0</v>
      </c>
      <c r="D1952" s="9" t="s">
        <v>52</v>
      </c>
      <c r="E1952" s="9" t="s">
        <v>53</v>
      </c>
      <c r="F1952" s="9">
        <v>31634.0</v>
      </c>
      <c r="G1952" s="9">
        <v>1516399.0</v>
      </c>
      <c r="H1952" s="9">
        <v>1516399.0</v>
      </c>
      <c r="I1952" s="9">
        <v>0.0</v>
      </c>
      <c r="J1952" s="9">
        <v>0.0</v>
      </c>
      <c r="K1952" s="9">
        <v>0.0</v>
      </c>
      <c r="L1952" s="9" t="s">
        <v>54</v>
      </c>
      <c r="M1952" s="9" t="s">
        <v>55</v>
      </c>
      <c r="N1952" s="9">
        <v>1479670.49</v>
      </c>
      <c r="O1952" s="9">
        <v>1612858.93</v>
      </c>
      <c r="P1952" s="9">
        <v>1479670.49</v>
      </c>
      <c r="Q1952" s="9">
        <v>0.0</v>
      </c>
      <c r="R1952" s="9" t="s">
        <v>75</v>
      </c>
      <c r="S1952" s="9" t="s">
        <v>57</v>
      </c>
      <c r="T1952" s="9" t="s">
        <v>76</v>
      </c>
    </row>
    <row r="1953" ht="15.75" customHeight="1">
      <c r="A1953" s="9">
        <v>2126437.0</v>
      </c>
      <c r="B1953" s="9">
        <v>1072676.0</v>
      </c>
      <c r="C1953" s="9">
        <v>29952.0</v>
      </c>
      <c r="D1953" s="9" t="s">
        <v>52</v>
      </c>
      <c r="E1953" s="9" t="s">
        <v>53</v>
      </c>
      <c r="F1953" s="9">
        <v>144500.0</v>
      </c>
      <c r="G1953" s="9">
        <v>1057676.0</v>
      </c>
      <c r="H1953" s="9">
        <v>1057676.0</v>
      </c>
      <c r="I1953" s="9">
        <v>1046365.13</v>
      </c>
      <c r="J1953" s="9">
        <v>0.0</v>
      </c>
      <c r="K1953" s="9">
        <v>0.0</v>
      </c>
      <c r="L1953" s="9" t="s">
        <v>59</v>
      </c>
      <c r="M1953" s="9" t="s">
        <v>55</v>
      </c>
      <c r="N1953" s="9">
        <v>1037080.12</v>
      </c>
      <c r="O1953" s="9">
        <v>1028365.16</v>
      </c>
      <c r="P1953" s="9">
        <v>18000.0</v>
      </c>
      <c r="Q1953" s="9">
        <v>18000.0</v>
      </c>
      <c r="R1953" s="9" t="s">
        <v>72</v>
      </c>
      <c r="S1953" s="9" t="s">
        <v>57</v>
      </c>
      <c r="T1953" s="9" t="s">
        <v>73</v>
      </c>
      <c r="V1953" s="9">
        <v>1028365.16</v>
      </c>
      <c r="W1953" s="9">
        <v>18000.0</v>
      </c>
      <c r="X1953" s="9">
        <v>0.0</v>
      </c>
    </row>
    <row r="1954" ht="15.75" customHeight="1">
      <c r="A1954" s="9">
        <v>2128484.0</v>
      </c>
      <c r="B1954" s="9">
        <v>767994.8</v>
      </c>
      <c r="C1954" s="9">
        <v>31071.0</v>
      </c>
      <c r="D1954" s="9" t="s">
        <v>52</v>
      </c>
      <c r="E1954" s="9" t="s">
        <v>53</v>
      </c>
      <c r="F1954" s="9">
        <v>147244.0</v>
      </c>
      <c r="G1954" s="9">
        <v>894783.8</v>
      </c>
      <c r="H1954" s="9">
        <v>894783.8</v>
      </c>
      <c r="I1954" s="9">
        <v>1017347.19</v>
      </c>
      <c r="J1954" s="9">
        <v>0.0</v>
      </c>
      <c r="K1954" s="9">
        <v>0.0</v>
      </c>
      <c r="L1954" s="9" t="s">
        <v>59</v>
      </c>
      <c r="M1954" s="9" t="s">
        <v>55</v>
      </c>
      <c r="P1954" s="9">
        <v>18000.0</v>
      </c>
      <c r="Q1954" s="9">
        <v>18000.0</v>
      </c>
      <c r="R1954" s="9" t="s">
        <v>60</v>
      </c>
      <c r="S1954" s="9" t="s">
        <v>57</v>
      </c>
      <c r="T1954" s="9" t="s">
        <v>61</v>
      </c>
      <c r="V1954" s="9">
        <v>999347.19</v>
      </c>
      <c r="W1954" s="9">
        <v>18000.0</v>
      </c>
      <c r="X1954" s="9">
        <v>0.0</v>
      </c>
    </row>
    <row r="1955" ht="15.75" customHeight="1">
      <c r="A1955" s="9">
        <v>2130667.0</v>
      </c>
      <c r="B1955" s="9">
        <v>4341884.0</v>
      </c>
      <c r="C1955" s="9">
        <v>30800.0</v>
      </c>
      <c r="D1955" s="9" t="s">
        <v>52</v>
      </c>
      <c r="E1955" s="9" t="s">
        <v>53</v>
      </c>
      <c r="F1955" s="9">
        <v>141308.0</v>
      </c>
      <c r="G1955" s="9">
        <v>4399287.7</v>
      </c>
      <c r="H1955" s="9">
        <v>4399287.7</v>
      </c>
      <c r="I1955" s="9">
        <v>45067.0</v>
      </c>
      <c r="J1955" s="9">
        <v>0.0</v>
      </c>
      <c r="K1955" s="9">
        <v>0.0</v>
      </c>
      <c r="L1955" s="9" t="s">
        <v>54</v>
      </c>
      <c r="M1955" s="9" t="s">
        <v>55</v>
      </c>
      <c r="N1955" s="9">
        <v>4072837.69</v>
      </c>
      <c r="O1955" s="9">
        <v>4068584.12</v>
      </c>
      <c r="P1955" s="9">
        <v>146450.0</v>
      </c>
      <c r="Q1955" s="9">
        <v>146450.0</v>
      </c>
      <c r="R1955" s="9" t="s">
        <v>75</v>
      </c>
      <c r="S1955" s="9" t="s">
        <v>57</v>
      </c>
      <c r="T1955" s="9" t="s">
        <v>76</v>
      </c>
    </row>
    <row r="1956" ht="15.75" customHeight="1">
      <c r="A1956" s="9">
        <v>2132896.0</v>
      </c>
      <c r="B1956" s="9">
        <v>1.022893E7</v>
      </c>
      <c r="C1956" s="9">
        <v>46503.0</v>
      </c>
      <c r="D1956" s="9" t="s">
        <v>52</v>
      </c>
      <c r="E1956" s="9" t="s">
        <v>53</v>
      </c>
      <c r="F1956" s="9">
        <v>112814.0</v>
      </c>
      <c r="G1956" s="9">
        <v>1.307987814E7</v>
      </c>
      <c r="H1956" s="9">
        <v>1.463757884E7</v>
      </c>
      <c r="I1956" s="9">
        <v>1.349986811E7</v>
      </c>
      <c r="J1956" s="9">
        <v>0.0</v>
      </c>
      <c r="K1956" s="9">
        <v>0.0</v>
      </c>
      <c r="L1956" s="9" t="s">
        <v>59</v>
      </c>
      <c r="M1956" s="9" t="s">
        <v>62</v>
      </c>
      <c r="N1956" s="9">
        <v>816252.21</v>
      </c>
      <c r="O1956" s="9">
        <v>734627.0</v>
      </c>
      <c r="R1956" s="9" t="s">
        <v>72</v>
      </c>
      <c r="S1956" s="9" t="s">
        <v>57</v>
      </c>
      <c r="T1956" s="9" t="s">
        <v>73</v>
      </c>
      <c r="V1956" s="9">
        <v>827696.95</v>
      </c>
      <c r="W1956" s="9">
        <v>0.0</v>
      </c>
      <c r="X1956" s="9">
        <v>0.0</v>
      </c>
    </row>
    <row r="1957" ht="15.75" customHeight="1">
      <c r="A1957" s="9">
        <v>2138912.0</v>
      </c>
      <c r="B1957" s="9">
        <v>4449420.0</v>
      </c>
      <c r="C1957" s="9">
        <v>30084.0</v>
      </c>
      <c r="D1957" s="9" t="s">
        <v>52</v>
      </c>
      <c r="E1957" s="9" t="s">
        <v>53</v>
      </c>
      <c r="F1957" s="9">
        <v>170878.0</v>
      </c>
      <c r="G1957" s="9">
        <v>5348817.54</v>
      </c>
      <c r="H1957" s="9">
        <v>5348817.54</v>
      </c>
      <c r="I1957" s="9">
        <v>5340815.98</v>
      </c>
      <c r="J1957" s="9">
        <v>0.0</v>
      </c>
      <c r="K1957" s="9">
        <v>0.0</v>
      </c>
      <c r="L1957" s="9" t="s">
        <v>59</v>
      </c>
      <c r="M1957" s="9" t="s">
        <v>55</v>
      </c>
      <c r="N1957" s="9">
        <v>5155681.1</v>
      </c>
      <c r="O1957" s="9">
        <v>5619611.43</v>
      </c>
      <c r="P1957" s="9">
        <v>185136.49</v>
      </c>
      <c r="Q1957" s="9">
        <v>185136.49</v>
      </c>
      <c r="R1957" s="9" t="s">
        <v>94</v>
      </c>
      <c r="S1957" s="9" t="s">
        <v>57</v>
      </c>
      <c r="T1957" s="9" t="s">
        <v>95</v>
      </c>
    </row>
    <row r="1958" ht="15.75" customHeight="1">
      <c r="A1958" s="9">
        <v>2140409.0</v>
      </c>
      <c r="B1958" s="9">
        <v>4200000.0</v>
      </c>
      <c r="C1958" s="9">
        <v>30248.0</v>
      </c>
      <c r="D1958" s="9" t="s">
        <v>52</v>
      </c>
      <c r="E1958" s="9" t="s">
        <v>53</v>
      </c>
      <c r="F1958" s="9">
        <v>172624.0</v>
      </c>
      <c r="G1958" s="9">
        <v>4363394.2</v>
      </c>
      <c r="H1958" s="9">
        <v>4363394.2</v>
      </c>
      <c r="I1958" s="9">
        <v>0.0</v>
      </c>
      <c r="J1958" s="9">
        <v>0.0</v>
      </c>
      <c r="K1958" s="9">
        <v>0.0</v>
      </c>
      <c r="L1958" s="9" t="s">
        <v>54</v>
      </c>
      <c r="M1958" s="9" t="s">
        <v>55</v>
      </c>
      <c r="N1958" s="9">
        <v>4011687.64</v>
      </c>
      <c r="O1958" s="9">
        <v>3739028.87</v>
      </c>
      <c r="P1958" s="9">
        <v>199999.99</v>
      </c>
      <c r="Q1958" s="9">
        <v>199999.99</v>
      </c>
      <c r="R1958" s="9" t="s">
        <v>94</v>
      </c>
      <c r="S1958" s="9" t="s">
        <v>57</v>
      </c>
      <c r="T1958" s="9" t="s">
        <v>95</v>
      </c>
    </row>
    <row r="1959" ht="15.75" customHeight="1">
      <c r="A1959" s="9">
        <v>2142256.0</v>
      </c>
      <c r="B1959" s="9">
        <v>3169115.0</v>
      </c>
      <c r="C1959" s="9">
        <v>30456.0</v>
      </c>
      <c r="D1959" s="9" t="s">
        <v>52</v>
      </c>
      <c r="E1959" s="9" t="s">
        <v>53</v>
      </c>
      <c r="F1959" s="9">
        <v>177537.0</v>
      </c>
      <c r="G1959" s="9">
        <v>3476457.68</v>
      </c>
      <c r="H1959" s="9">
        <v>3476457.68</v>
      </c>
      <c r="I1959" s="9">
        <v>3397435.0</v>
      </c>
      <c r="J1959" s="9">
        <v>0.0</v>
      </c>
      <c r="K1959" s="9">
        <v>0.0</v>
      </c>
      <c r="L1959" s="9" t="s">
        <v>59</v>
      </c>
      <c r="M1959" s="9" t="s">
        <v>55</v>
      </c>
      <c r="N1959" s="9">
        <v>3297796.0</v>
      </c>
      <c r="O1959" s="9">
        <v>3297796.49</v>
      </c>
      <c r="P1959" s="9">
        <v>99638.51</v>
      </c>
      <c r="Q1959" s="9">
        <v>99638.51</v>
      </c>
      <c r="R1959" s="9" t="s">
        <v>60</v>
      </c>
      <c r="S1959" s="9" t="s">
        <v>57</v>
      </c>
      <c r="T1959" s="9" t="s">
        <v>61</v>
      </c>
      <c r="V1959" s="9">
        <v>3297796.49</v>
      </c>
      <c r="W1959" s="9">
        <v>99638.51</v>
      </c>
      <c r="X1959" s="9">
        <v>0.0</v>
      </c>
    </row>
    <row r="1960" ht="15.75" customHeight="1">
      <c r="A1960" s="9">
        <v>2142874.0</v>
      </c>
      <c r="B1960" s="9">
        <v>1980735.0</v>
      </c>
      <c r="C1960" s="9">
        <v>30087.0</v>
      </c>
      <c r="D1960" s="9" t="s">
        <v>52</v>
      </c>
      <c r="E1960" s="9" t="s">
        <v>53</v>
      </c>
      <c r="F1960" s="9">
        <v>172251.0</v>
      </c>
      <c r="G1960" s="9">
        <v>2348684.38</v>
      </c>
      <c r="H1960" s="9">
        <v>2348684.38</v>
      </c>
      <c r="I1960" s="9">
        <v>2288684.38</v>
      </c>
      <c r="J1960" s="9">
        <v>0.0</v>
      </c>
      <c r="K1960" s="9">
        <v>0.0</v>
      </c>
      <c r="L1960" s="9" t="s">
        <v>59</v>
      </c>
      <c r="M1960" s="9" t="s">
        <v>55</v>
      </c>
      <c r="N1960" s="9">
        <v>2158955.75</v>
      </c>
      <c r="O1960" s="9">
        <v>8931991.5</v>
      </c>
      <c r="P1960" s="9">
        <v>0.0</v>
      </c>
      <c r="Q1960" s="9">
        <v>129728.63</v>
      </c>
      <c r="R1960" s="9" t="s">
        <v>60</v>
      </c>
      <c r="S1960" s="9" t="s">
        <v>57</v>
      </c>
      <c r="T1960" s="9" t="s">
        <v>61</v>
      </c>
      <c r="V1960" s="9">
        <v>2158955.75</v>
      </c>
      <c r="W1960" s="9">
        <v>129728.63</v>
      </c>
      <c r="X1960" s="9">
        <v>0.0</v>
      </c>
    </row>
    <row r="1961" ht="15.75" customHeight="1">
      <c r="A1961" s="9">
        <v>2143692.0</v>
      </c>
      <c r="B1961" s="9">
        <v>9148287.0</v>
      </c>
      <c r="C1961" s="9">
        <v>31260.0</v>
      </c>
      <c r="D1961" s="9" t="s">
        <v>52</v>
      </c>
      <c r="E1961" s="9" t="s">
        <v>53</v>
      </c>
      <c r="F1961" s="9">
        <v>15513.0</v>
      </c>
      <c r="G1961" s="9">
        <v>1.026021534E7</v>
      </c>
      <c r="H1961" s="9">
        <v>1.026021534E7</v>
      </c>
      <c r="I1961" s="9">
        <v>1.019235751E7</v>
      </c>
      <c r="J1961" s="9">
        <v>0.0</v>
      </c>
      <c r="K1961" s="9">
        <v>0.0</v>
      </c>
      <c r="L1961" s="9" t="s">
        <v>69</v>
      </c>
      <c r="M1961" s="9" t="s">
        <v>55</v>
      </c>
      <c r="R1961" s="9" t="s">
        <v>60</v>
      </c>
      <c r="S1961" s="9" t="s">
        <v>57</v>
      </c>
      <c r="T1961" s="9" t="s">
        <v>61</v>
      </c>
      <c r="V1961" s="9">
        <v>1.019235751E7</v>
      </c>
      <c r="W1961" s="9">
        <v>0.0</v>
      </c>
      <c r="X1961" s="9">
        <v>2085.48</v>
      </c>
    </row>
    <row r="1962" ht="15.75" customHeight="1">
      <c r="A1962" s="9">
        <v>2144771.0</v>
      </c>
      <c r="B1962" s="9">
        <v>3752400.0</v>
      </c>
      <c r="C1962" s="9">
        <v>30086.0</v>
      </c>
      <c r="D1962" s="9" t="s">
        <v>52</v>
      </c>
      <c r="E1962" s="9" t="s">
        <v>53</v>
      </c>
      <c r="F1962" s="9">
        <v>180028.0</v>
      </c>
      <c r="G1962" s="9">
        <v>3752400.0</v>
      </c>
      <c r="H1962" s="9">
        <v>3752400.0</v>
      </c>
      <c r="I1962" s="9">
        <v>2916562.0</v>
      </c>
      <c r="J1962" s="9">
        <v>0.0</v>
      </c>
      <c r="K1962" s="9">
        <v>0.0</v>
      </c>
      <c r="L1962" s="9" t="s">
        <v>69</v>
      </c>
      <c r="M1962" s="9" t="s">
        <v>55</v>
      </c>
      <c r="N1962" s="9">
        <v>2817696.0</v>
      </c>
      <c r="O1962" s="9">
        <v>246807.0</v>
      </c>
      <c r="P1962" s="9">
        <v>0.0</v>
      </c>
      <c r="Q1962" s="9">
        <v>98866.0</v>
      </c>
      <c r="R1962" s="9" t="s">
        <v>60</v>
      </c>
      <c r="S1962" s="9" t="s">
        <v>57</v>
      </c>
      <c r="T1962" s="9" t="s">
        <v>61</v>
      </c>
      <c r="V1962" s="9">
        <v>2916562.0</v>
      </c>
      <c r="W1962" s="9">
        <v>0.0</v>
      </c>
      <c r="X1962" s="9">
        <v>0.0</v>
      </c>
    </row>
    <row r="1963" ht="15.75" customHeight="1">
      <c r="A1963" s="9">
        <v>2145157.0</v>
      </c>
      <c r="B1963" s="9">
        <v>1803060.0</v>
      </c>
      <c r="C1963" s="9">
        <v>30313.0</v>
      </c>
      <c r="D1963" s="9" t="s">
        <v>52</v>
      </c>
      <c r="E1963" s="9" t="s">
        <v>53</v>
      </c>
      <c r="F1963" s="9">
        <v>180139.0</v>
      </c>
      <c r="G1963" s="9">
        <v>2035264.41</v>
      </c>
      <c r="H1963" s="9">
        <v>2035264.41</v>
      </c>
      <c r="I1963" s="9">
        <v>2035263.0</v>
      </c>
      <c r="J1963" s="9">
        <v>0.0</v>
      </c>
      <c r="K1963" s="9">
        <v>0.0</v>
      </c>
      <c r="L1963" s="9" t="s">
        <v>69</v>
      </c>
      <c r="M1963" s="9" t="s">
        <v>55</v>
      </c>
      <c r="N1963" s="9">
        <v>1952174.41</v>
      </c>
      <c r="O1963" s="9">
        <v>1952174.41</v>
      </c>
      <c r="P1963" s="9">
        <v>83090.0</v>
      </c>
      <c r="Q1963" s="9">
        <v>83090.0</v>
      </c>
      <c r="R1963" s="9" t="s">
        <v>60</v>
      </c>
      <c r="S1963" s="9" t="s">
        <v>57</v>
      </c>
      <c r="T1963" s="9" t="s">
        <v>61</v>
      </c>
      <c r="V1963" s="9">
        <v>2035264.41</v>
      </c>
      <c r="W1963" s="9">
        <v>0.0</v>
      </c>
      <c r="X1963" s="9">
        <v>0.0</v>
      </c>
    </row>
    <row r="1964" ht="15.75" customHeight="1">
      <c r="A1964" s="9">
        <v>2147840.0</v>
      </c>
      <c r="B1964" s="9">
        <v>4.5771228E7</v>
      </c>
      <c r="C1964" s="9">
        <v>30565.0</v>
      </c>
      <c r="D1964" s="9" t="s">
        <v>52</v>
      </c>
      <c r="E1964" s="9" t="s">
        <v>53</v>
      </c>
      <c r="F1964" s="9">
        <v>188875.0</v>
      </c>
      <c r="G1964" s="9">
        <v>4.5771228E7</v>
      </c>
      <c r="H1964" s="9">
        <v>4.5771228E7</v>
      </c>
      <c r="I1964" s="9">
        <v>3.660270599E7</v>
      </c>
      <c r="J1964" s="9">
        <v>0.0</v>
      </c>
      <c r="K1964" s="9">
        <v>0.0</v>
      </c>
      <c r="L1964" s="9" t="s">
        <v>69</v>
      </c>
      <c r="M1964" s="9" t="s">
        <v>62</v>
      </c>
      <c r="N1964" s="9">
        <v>4.2728122E7</v>
      </c>
      <c r="O1964" s="9">
        <v>4.260421475E7</v>
      </c>
      <c r="P1964" s="9">
        <v>1304750.0</v>
      </c>
      <c r="Q1964" s="9">
        <v>1304750.0</v>
      </c>
      <c r="R1964" s="9" t="s">
        <v>60</v>
      </c>
      <c r="S1964" s="9" t="s">
        <v>57</v>
      </c>
      <c r="T1964" s="9" t="s">
        <v>61</v>
      </c>
      <c r="V1964" s="9">
        <v>3.51385467E7</v>
      </c>
      <c r="W1964" s="9">
        <v>1264772.29</v>
      </c>
      <c r="X1964" s="9">
        <v>0.0</v>
      </c>
    </row>
    <row r="1965" ht="15.75" customHeight="1">
      <c r="A1965" s="9">
        <v>2148040.0</v>
      </c>
      <c r="B1965" s="9">
        <v>680431.09</v>
      </c>
      <c r="C1965" s="9">
        <v>31554.0</v>
      </c>
      <c r="D1965" s="9" t="s">
        <v>52</v>
      </c>
      <c r="E1965" s="9" t="s">
        <v>53</v>
      </c>
      <c r="F1965" s="9">
        <v>140175.0</v>
      </c>
      <c r="G1965" s="9">
        <v>949599.86</v>
      </c>
      <c r="H1965" s="9">
        <v>949599.86</v>
      </c>
      <c r="I1965" s="9">
        <v>817878.78</v>
      </c>
      <c r="J1965" s="9">
        <v>0.0</v>
      </c>
      <c r="K1965" s="9">
        <v>0.0</v>
      </c>
      <c r="L1965" s="9" t="s">
        <v>59</v>
      </c>
      <c r="M1965" s="9" t="s">
        <v>55</v>
      </c>
      <c r="R1965" s="9" t="s">
        <v>56</v>
      </c>
      <c r="S1965" s="9" t="s">
        <v>57</v>
      </c>
      <c r="T1965" s="9" t="s">
        <v>58</v>
      </c>
      <c r="V1965" s="9">
        <v>811701.62</v>
      </c>
      <c r="W1965" s="9">
        <v>0.0</v>
      </c>
      <c r="X1965" s="9">
        <v>0.0</v>
      </c>
    </row>
    <row r="1966" ht="15.75" customHeight="1">
      <c r="A1966" s="9">
        <v>2148933.0</v>
      </c>
      <c r="B1966" s="9">
        <v>204649.35</v>
      </c>
      <c r="C1966" s="9">
        <v>30462.0</v>
      </c>
      <c r="D1966" s="9" t="s">
        <v>52</v>
      </c>
      <c r="E1966" s="9" t="s">
        <v>53</v>
      </c>
      <c r="F1966" s="9">
        <v>187714.0</v>
      </c>
      <c r="G1966" s="9">
        <v>179424.41</v>
      </c>
      <c r="H1966" s="9">
        <v>179424.41</v>
      </c>
      <c r="I1966" s="9">
        <v>179424.47</v>
      </c>
      <c r="J1966" s="9">
        <v>0.0</v>
      </c>
      <c r="K1966" s="9">
        <v>0.0</v>
      </c>
      <c r="L1966" s="9" t="s">
        <v>59</v>
      </c>
      <c r="M1966" s="9" t="s">
        <v>55</v>
      </c>
      <c r="N1966" s="9">
        <v>153624.41</v>
      </c>
      <c r="O1966" s="9">
        <v>153624.41</v>
      </c>
      <c r="P1966" s="9">
        <v>153624.41</v>
      </c>
      <c r="Q1966" s="9">
        <v>15000.0</v>
      </c>
      <c r="R1966" s="9" t="s">
        <v>56</v>
      </c>
      <c r="S1966" s="9" t="s">
        <v>57</v>
      </c>
      <c r="T1966" s="9" t="s">
        <v>58</v>
      </c>
      <c r="V1966" s="9">
        <v>0.0</v>
      </c>
      <c r="W1966" s="9">
        <v>11060.96</v>
      </c>
      <c r="X1966" s="9">
        <v>0.0</v>
      </c>
    </row>
    <row r="1967" ht="15.75" customHeight="1">
      <c r="A1967" s="9">
        <v>2150530.0</v>
      </c>
      <c r="B1967" s="9">
        <v>8928278.0</v>
      </c>
      <c r="C1967" s="9">
        <v>30092.0</v>
      </c>
      <c r="D1967" s="9" t="s">
        <v>52</v>
      </c>
      <c r="E1967" s="9" t="s">
        <v>53</v>
      </c>
      <c r="F1967" s="9">
        <v>190594.0</v>
      </c>
      <c r="G1967" s="9">
        <v>9388335.86</v>
      </c>
      <c r="H1967" s="9">
        <v>9388335.86</v>
      </c>
      <c r="I1967" s="9">
        <v>7935701.64</v>
      </c>
      <c r="J1967" s="9">
        <v>0.0</v>
      </c>
      <c r="K1967" s="9">
        <v>0.0</v>
      </c>
      <c r="L1967" s="9" t="s">
        <v>69</v>
      </c>
      <c r="M1967" s="9" t="s">
        <v>55</v>
      </c>
      <c r="N1967" s="9">
        <v>7503371.42</v>
      </c>
      <c r="O1967" s="9">
        <v>3854248.74</v>
      </c>
      <c r="P1967" s="9">
        <v>0.0</v>
      </c>
      <c r="Q1967" s="9">
        <v>432330.36</v>
      </c>
      <c r="R1967" s="9" t="s">
        <v>60</v>
      </c>
      <c r="S1967" s="9" t="s">
        <v>57</v>
      </c>
      <c r="T1967" s="9" t="s">
        <v>61</v>
      </c>
      <c r="V1967" s="9">
        <v>7503731.42</v>
      </c>
      <c r="W1967" s="9">
        <v>432330.36</v>
      </c>
      <c r="X1967" s="9">
        <v>0.0</v>
      </c>
    </row>
    <row r="1968" ht="15.75" customHeight="1">
      <c r="A1968" s="9">
        <v>2156703.0</v>
      </c>
      <c r="B1968" s="9">
        <v>6739031.0</v>
      </c>
      <c r="C1968" s="9">
        <v>30567.0</v>
      </c>
      <c r="D1968" s="9" t="s">
        <v>52</v>
      </c>
      <c r="E1968" s="9" t="s">
        <v>53</v>
      </c>
      <c r="F1968" s="9">
        <v>129802.0</v>
      </c>
      <c r="G1968" s="9">
        <v>7378425.68</v>
      </c>
      <c r="H1968" s="9">
        <v>7378425.68</v>
      </c>
      <c r="I1968" s="9">
        <v>927446.29</v>
      </c>
      <c r="J1968" s="9">
        <v>0.0</v>
      </c>
      <c r="K1968" s="9">
        <v>0.0</v>
      </c>
      <c r="L1968" s="9" t="s">
        <v>59</v>
      </c>
      <c r="M1968" s="9" t="s">
        <v>55</v>
      </c>
      <c r="N1968" s="9">
        <v>7027072.08</v>
      </c>
      <c r="O1968" s="9">
        <v>7013017.94</v>
      </c>
      <c r="R1968" s="9" t="s">
        <v>60</v>
      </c>
      <c r="S1968" s="9" t="s">
        <v>57</v>
      </c>
      <c r="T1968" s="9" t="s">
        <v>61</v>
      </c>
      <c r="V1968" s="9">
        <v>7176694.0</v>
      </c>
      <c r="W1968" s="9">
        <v>316218.24</v>
      </c>
      <c r="X1968" s="9">
        <v>0.0</v>
      </c>
    </row>
    <row r="1969" ht="15.75" customHeight="1">
      <c r="A1969" s="9">
        <v>2157471.0</v>
      </c>
      <c r="B1969" s="9">
        <v>7659752.0</v>
      </c>
      <c r="C1969" s="9">
        <v>26724.0</v>
      </c>
      <c r="D1969" s="9" t="s">
        <v>52</v>
      </c>
      <c r="E1969" s="9" t="s">
        <v>53</v>
      </c>
      <c r="F1969" s="9">
        <v>212391.0</v>
      </c>
      <c r="G1969" s="9">
        <v>8599568.93</v>
      </c>
      <c r="H1969" s="9">
        <v>8894459.75</v>
      </c>
      <c r="I1969" s="9">
        <v>8894459.75</v>
      </c>
      <c r="J1969" s="9">
        <v>0.0</v>
      </c>
      <c r="K1969" s="9">
        <v>0.0</v>
      </c>
      <c r="L1969" s="9" t="s">
        <v>69</v>
      </c>
      <c r="M1969" s="9" t="s">
        <v>55</v>
      </c>
      <c r="N1969" s="9">
        <v>8185368.93</v>
      </c>
      <c r="O1969" s="9">
        <v>8185368.93</v>
      </c>
      <c r="P1969" s="9">
        <v>254200.0</v>
      </c>
      <c r="Q1969" s="9">
        <v>254200.0</v>
      </c>
      <c r="R1969" s="9" t="s">
        <v>60</v>
      </c>
      <c r="S1969" s="9" t="s">
        <v>57</v>
      </c>
      <c r="T1969" s="9" t="s">
        <v>61</v>
      </c>
      <c r="V1969" s="9">
        <v>8478349.61</v>
      </c>
      <c r="W1969" s="9">
        <v>0.0</v>
      </c>
      <c r="X1969" s="9">
        <v>0.0</v>
      </c>
    </row>
    <row r="1970" ht="15.75" customHeight="1">
      <c r="A1970" s="9">
        <v>2163323.0</v>
      </c>
      <c r="B1970" s="9">
        <v>5107195.0</v>
      </c>
      <c r="C1970" s="9">
        <v>30905.0</v>
      </c>
      <c r="D1970" s="9" t="s">
        <v>52</v>
      </c>
      <c r="E1970" s="9" t="s">
        <v>53</v>
      </c>
      <c r="F1970" s="9">
        <v>142851.0</v>
      </c>
      <c r="G1970" s="9">
        <v>7210701.63</v>
      </c>
      <c r="H1970" s="9">
        <v>7210701.63</v>
      </c>
      <c r="I1970" s="9">
        <v>7202794.9</v>
      </c>
      <c r="J1970" s="9">
        <v>0.0</v>
      </c>
      <c r="K1970" s="9">
        <v>0.0</v>
      </c>
      <c r="L1970" s="9" t="s">
        <v>59</v>
      </c>
      <c r="M1970" s="9" t="s">
        <v>55</v>
      </c>
      <c r="N1970" s="9">
        <v>6434477.79</v>
      </c>
      <c r="O1970" s="9">
        <v>601852.0</v>
      </c>
      <c r="P1970" s="9">
        <v>192780.91</v>
      </c>
      <c r="Q1970" s="9">
        <v>163373.65</v>
      </c>
      <c r="R1970" s="9" t="s">
        <v>60</v>
      </c>
      <c r="S1970" s="9" t="s">
        <v>57</v>
      </c>
      <c r="T1970" s="9" t="s">
        <v>61</v>
      </c>
      <c r="V1970" s="9">
        <v>7006497.0</v>
      </c>
      <c r="W1970" s="9">
        <v>220542.04</v>
      </c>
      <c r="X1970" s="9">
        <v>0.0</v>
      </c>
    </row>
    <row r="1971" ht="15.75" customHeight="1">
      <c r="A1971" s="9">
        <v>2280051.0</v>
      </c>
      <c r="B1971" s="9">
        <v>5339651.0</v>
      </c>
      <c r="C1971" s="9">
        <v>39357.0</v>
      </c>
      <c r="D1971" s="9" t="s">
        <v>52</v>
      </c>
      <c r="E1971" s="9" t="s">
        <v>53</v>
      </c>
      <c r="F1971" s="9">
        <v>323901.0</v>
      </c>
      <c r="G1971" s="9">
        <v>2498528.88</v>
      </c>
      <c r="H1971" s="9">
        <v>2777787.07</v>
      </c>
      <c r="I1971" s="9">
        <v>2631262.21</v>
      </c>
      <c r="J1971" s="9">
        <v>0.0</v>
      </c>
      <c r="K1971" s="9">
        <v>0.0</v>
      </c>
      <c r="L1971" s="9" t="s">
        <v>59</v>
      </c>
      <c r="M1971" s="9" t="s">
        <v>55</v>
      </c>
      <c r="N1971" s="9">
        <v>2350979.89</v>
      </c>
      <c r="O1971" s="9">
        <v>2350979.89</v>
      </c>
      <c r="P1971" s="9">
        <v>117548.99</v>
      </c>
      <c r="Q1971" s="9">
        <v>117548.99</v>
      </c>
      <c r="R1971" s="9" t="s">
        <v>60</v>
      </c>
      <c r="S1971" s="9" t="s">
        <v>57</v>
      </c>
      <c r="T1971" s="9" t="s">
        <v>61</v>
      </c>
      <c r="V1971" s="9">
        <v>2499035.46</v>
      </c>
      <c r="W1971" s="9">
        <v>0.0</v>
      </c>
      <c r="X1971" s="9">
        <v>0.0</v>
      </c>
    </row>
    <row r="1972" ht="15.75" customHeight="1">
      <c r="A1972" s="9">
        <v>2283291.0</v>
      </c>
      <c r="B1972" s="9">
        <v>7080199.0</v>
      </c>
      <c r="C1972" s="9">
        <v>37745.0</v>
      </c>
      <c r="D1972" s="9" t="s">
        <v>52</v>
      </c>
      <c r="E1972" s="9" t="s">
        <v>53</v>
      </c>
      <c r="F1972" s="9">
        <v>325508.0</v>
      </c>
      <c r="G1972" s="9">
        <v>8194567.94</v>
      </c>
      <c r="H1972" s="9">
        <v>8194567.94</v>
      </c>
      <c r="I1972" s="9">
        <v>7188795.8</v>
      </c>
      <c r="J1972" s="9">
        <v>0.0</v>
      </c>
      <c r="K1972" s="9">
        <v>64157.0</v>
      </c>
      <c r="L1972" s="9" t="s">
        <v>69</v>
      </c>
      <c r="M1972" s="9" t="s">
        <v>55</v>
      </c>
      <c r="N1972" s="9">
        <v>7580347.13</v>
      </c>
      <c r="O1972" s="9">
        <v>6424022.99</v>
      </c>
      <c r="P1972" s="9">
        <v>490078.0</v>
      </c>
      <c r="Q1972" s="9">
        <v>373788.31</v>
      </c>
      <c r="R1972" s="9" t="s">
        <v>56</v>
      </c>
      <c r="S1972" s="9" t="s">
        <v>57</v>
      </c>
      <c r="T1972" s="9" t="s">
        <v>58</v>
      </c>
      <c r="V1972" s="9">
        <v>6592424.73</v>
      </c>
      <c r="W1972" s="9">
        <v>490078.0</v>
      </c>
      <c r="X1972" s="9">
        <v>0.0</v>
      </c>
    </row>
    <row r="1973" ht="15.75" customHeight="1">
      <c r="A1973" s="9">
        <v>2283961.0</v>
      </c>
      <c r="B1973" s="9">
        <v>3931888.0</v>
      </c>
      <c r="C1973" s="9">
        <v>42573.0</v>
      </c>
      <c r="D1973" s="9" t="s">
        <v>52</v>
      </c>
      <c r="E1973" s="9" t="s">
        <v>53</v>
      </c>
      <c r="F1973" s="9">
        <v>325872.0</v>
      </c>
      <c r="G1973" s="9">
        <v>2358716.65</v>
      </c>
      <c r="H1973" s="9">
        <v>2758207.37</v>
      </c>
      <c r="I1973" s="9">
        <v>2630796.62</v>
      </c>
      <c r="J1973" s="9">
        <v>0.0</v>
      </c>
      <c r="K1973" s="9">
        <v>0.0</v>
      </c>
      <c r="L1973" s="9" t="s">
        <v>59</v>
      </c>
      <c r="M1973" s="9" t="s">
        <v>55</v>
      </c>
      <c r="N1973" s="9">
        <v>2245030.17</v>
      </c>
      <c r="O1973" s="9">
        <v>2245030.15</v>
      </c>
      <c r="P1973" s="9">
        <v>134701.81</v>
      </c>
      <c r="Q1973" s="9">
        <v>0.0</v>
      </c>
      <c r="R1973" s="9" t="s">
        <v>56</v>
      </c>
      <c r="S1973" s="9" t="s">
        <v>57</v>
      </c>
      <c r="T1973" s="9" t="s">
        <v>58</v>
      </c>
      <c r="V1973" s="9">
        <v>2188433.0</v>
      </c>
      <c r="W1973" s="9">
        <v>0.0</v>
      </c>
      <c r="X1973" s="9">
        <v>0.0</v>
      </c>
    </row>
    <row r="1974" ht="15.75" customHeight="1">
      <c r="A1974" s="9">
        <v>2289611.0</v>
      </c>
      <c r="B1974" s="9">
        <v>1609746.0</v>
      </c>
      <c r="C1974" s="9">
        <v>40582.0</v>
      </c>
      <c r="D1974" s="9" t="s">
        <v>52</v>
      </c>
      <c r="E1974" s="9" t="s">
        <v>53</v>
      </c>
      <c r="F1974" s="9">
        <v>331200.0</v>
      </c>
      <c r="G1974" s="9">
        <v>3586807.71</v>
      </c>
      <c r="H1974" s="9">
        <v>3503261.32</v>
      </c>
      <c r="I1974" s="9">
        <v>3503261.32</v>
      </c>
      <c r="J1974" s="9">
        <v>0.0</v>
      </c>
      <c r="K1974" s="9">
        <v>0.0</v>
      </c>
      <c r="L1974" s="9" t="s">
        <v>69</v>
      </c>
      <c r="M1974" s="9" t="s">
        <v>55</v>
      </c>
      <c r="N1974" s="9">
        <v>3410881.67</v>
      </c>
      <c r="O1974" s="9">
        <v>3346745.44</v>
      </c>
      <c r="P1974" s="9">
        <v>170544.08</v>
      </c>
      <c r="Q1974" s="9">
        <v>170544.08</v>
      </c>
      <c r="R1974" s="9" t="s">
        <v>60</v>
      </c>
      <c r="S1974" s="9" t="s">
        <v>57</v>
      </c>
      <c r="T1974" s="9" t="s">
        <v>61</v>
      </c>
      <c r="V1974" s="9">
        <v>3334001.32</v>
      </c>
      <c r="W1974" s="9">
        <v>170544.08</v>
      </c>
      <c r="X1974" s="9">
        <v>0.0</v>
      </c>
    </row>
    <row r="1975" ht="15.75" customHeight="1">
      <c r="A1975" s="9">
        <v>2289777.0</v>
      </c>
      <c r="B1975" s="9">
        <v>4453970.0</v>
      </c>
      <c r="C1975" s="9">
        <v>36969.0</v>
      </c>
      <c r="D1975" s="9" t="s">
        <v>52</v>
      </c>
      <c r="E1975" s="9" t="s">
        <v>53</v>
      </c>
      <c r="F1975" s="9">
        <v>331357.0</v>
      </c>
      <c r="G1975" s="9">
        <v>4186732.72</v>
      </c>
      <c r="H1975" s="9">
        <v>4186732.72</v>
      </c>
      <c r="I1975" s="9">
        <v>3547946.04</v>
      </c>
      <c r="J1975" s="9">
        <v>0.0</v>
      </c>
      <c r="K1975" s="9">
        <v>0.0</v>
      </c>
      <c r="L1975" s="9" t="s">
        <v>59</v>
      </c>
      <c r="M1975" s="9" t="s">
        <v>55</v>
      </c>
      <c r="N1975" s="9">
        <v>4243854.97</v>
      </c>
      <c r="O1975" s="9">
        <v>3596487.26</v>
      </c>
      <c r="P1975" s="9">
        <v>127316.0</v>
      </c>
      <c r="Q1975" s="9">
        <v>126230.0</v>
      </c>
      <c r="R1975" s="9" t="s">
        <v>56</v>
      </c>
      <c r="S1975" s="9" t="s">
        <v>57</v>
      </c>
      <c r="T1975" s="9" t="s">
        <v>58</v>
      </c>
      <c r="V1975" s="9">
        <v>3533023.02</v>
      </c>
      <c r="W1975" s="9">
        <v>0.0</v>
      </c>
      <c r="X1975" s="9">
        <v>0.0</v>
      </c>
    </row>
    <row r="1976" ht="15.75" customHeight="1">
      <c r="A1976" s="9">
        <v>2300048.0</v>
      </c>
      <c r="B1976" s="9">
        <v>1.2425222E7</v>
      </c>
      <c r="C1976" s="9">
        <v>37703.0</v>
      </c>
      <c r="D1976" s="9" t="s">
        <v>52</v>
      </c>
      <c r="E1976" s="9" t="s">
        <v>53</v>
      </c>
      <c r="F1976" s="9">
        <v>319691.0</v>
      </c>
      <c r="G1976" s="9">
        <v>1.559089864E7</v>
      </c>
      <c r="H1976" s="9">
        <v>1.685402426E7</v>
      </c>
      <c r="I1976" s="9">
        <v>1.519599814E7</v>
      </c>
      <c r="J1976" s="9">
        <v>0.0</v>
      </c>
      <c r="K1976" s="9">
        <v>0.0</v>
      </c>
      <c r="L1976" s="9" t="s">
        <v>59</v>
      </c>
      <c r="M1976" s="9" t="s">
        <v>55</v>
      </c>
      <c r="N1976" s="9">
        <v>1.296691977E7</v>
      </c>
      <c r="O1976" s="9">
        <v>1.296691977E7</v>
      </c>
      <c r="P1976" s="9">
        <v>910134.0</v>
      </c>
      <c r="Q1976" s="9">
        <v>819120.6</v>
      </c>
      <c r="R1976" s="9" t="s">
        <v>94</v>
      </c>
      <c r="S1976" s="9" t="s">
        <v>57</v>
      </c>
      <c r="T1976" s="9" t="s">
        <v>95</v>
      </c>
    </row>
    <row r="1977" ht="15.75" customHeight="1">
      <c r="A1977" s="9">
        <v>2300841.0</v>
      </c>
      <c r="B1977" s="9">
        <v>7715006.0</v>
      </c>
      <c r="C1977" s="9">
        <v>37802.0</v>
      </c>
      <c r="D1977" s="9" t="s">
        <v>52</v>
      </c>
      <c r="E1977" s="9" t="s">
        <v>53</v>
      </c>
      <c r="F1977" s="9">
        <v>338514.0</v>
      </c>
      <c r="G1977" s="9">
        <v>8312515.89</v>
      </c>
      <c r="H1977" s="9">
        <v>8312515.89</v>
      </c>
      <c r="I1977" s="9">
        <v>8854022.91</v>
      </c>
      <c r="J1977" s="9">
        <v>0.0</v>
      </c>
      <c r="K1977" s="9">
        <v>0.0</v>
      </c>
      <c r="L1977" s="9" t="s">
        <v>59</v>
      </c>
      <c r="M1977" s="9" t="s">
        <v>55</v>
      </c>
      <c r="N1977" s="9">
        <v>7833480.69</v>
      </c>
      <c r="O1977" s="9">
        <v>7050132.63</v>
      </c>
      <c r="P1977" s="9">
        <v>414290.63</v>
      </c>
      <c r="Q1977" s="9">
        <v>414290.63</v>
      </c>
      <c r="R1977" s="9" t="s">
        <v>72</v>
      </c>
      <c r="S1977" s="9" t="s">
        <v>57</v>
      </c>
      <c r="T1977" s="9" t="s">
        <v>73</v>
      </c>
      <c r="V1977" s="9">
        <v>9227529.45</v>
      </c>
      <c r="W1977" s="9">
        <v>544342.61</v>
      </c>
      <c r="X1977" s="9">
        <v>0.0</v>
      </c>
    </row>
    <row r="1978" ht="15.75" customHeight="1">
      <c r="A1978" s="9">
        <v>2300975.0</v>
      </c>
      <c r="B1978" s="9">
        <v>4785990.0</v>
      </c>
      <c r="C1978" s="9">
        <v>40600.0</v>
      </c>
      <c r="D1978" s="9" t="s">
        <v>52</v>
      </c>
      <c r="E1978" s="9" t="s">
        <v>53</v>
      </c>
      <c r="F1978" s="9">
        <v>339132.0</v>
      </c>
      <c r="G1978" s="9">
        <v>6881173.45</v>
      </c>
      <c r="H1978" s="9">
        <v>6903772.12</v>
      </c>
      <c r="I1978" s="9">
        <v>6903772.12</v>
      </c>
      <c r="J1978" s="9">
        <v>0.0</v>
      </c>
      <c r="K1978" s="9">
        <v>0.0</v>
      </c>
      <c r="L1978" s="9" t="s">
        <v>59</v>
      </c>
      <c r="M1978" s="9" t="s">
        <v>55</v>
      </c>
      <c r="N1978" s="9">
        <v>6651624.7</v>
      </c>
      <c r="O1978" s="9">
        <v>6649550.87</v>
      </c>
      <c r="P1978" s="9">
        <v>199548.74</v>
      </c>
      <c r="Q1978" s="9">
        <v>199548.74</v>
      </c>
      <c r="R1978" s="9" t="s">
        <v>72</v>
      </c>
      <c r="S1978" s="9" t="s">
        <v>57</v>
      </c>
      <c r="T1978" s="9" t="s">
        <v>73</v>
      </c>
      <c r="V1978" s="9">
        <v>6653248.16</v>
      </c>
      <c r="W1978" s="9">
        <v>196545.98</v>
      </c>
      <c r="X1978" s="9">
        <v>0.0</v>
      </c>
    </row>
    <row r="1979" ht="15.75" customHeight="1">
      <c r="A1979" s="9">
        <v>2309429.0</v>
      </c>
      <c r="B1979" s="9">
        <v>1.2366678E7</v>
      </c>
      <c r="C1979" s="9">
        <v>44721.0</v>
      </c>
      <c r="D1979" s="9" t="s">
        <v>52</v>
      </c>
      <c r="E1979" s="9" t="s">
        <v>53</v>
      </c>
      <c r="F1979" s="9">
        <v>347815.0</v>
      </c>
      <c r="G1979" s="9">
        <v>2.462104489E7</v>
      </c>
      <c r="H1979" s="9">
        <v>2.837837178E7</v>
      </c>
      <c r="I1979" s="9">
        <v>2.538903164E7</v>
      </c>
      <c r="J1979" s="9">
        <v>0.0</v>
      </c>
      <c r="K1979" s="9">
        <v>10000.0</v>
      </c>
      <c r="L1979" s="9" t="s">
        <v>59</v>
      </c>
      <c r="M1979" s="9" t="s">
        <v>55</v>
      </c>
      <c r="N1979" s="9">
        <v>2.347725703E7</v>
      </c>
      <c r="O1979" s="9">
        <v>2.347317523E7</v>
      </c>
      <c r="P1979" s="9">
        <v>694160.2</v>
      </c>
      <c r="Q1979" s="9">
        <v>624744.18</v>
      </c>
      <c r="R1979" s="9" t="s">
        <v>77</v>
      </c>
      <c r="S1979" s="9" t="s">
        <v>78</v>
      </c>
      <c r="T1979" s="9" t="s">
        <v>79</v>
      </c>
      <c r="U1979" s="9" t="s">
        <v>80</v>
      </c>
    </row>
    <row r="1980" ht="15.75" customHeight="1">
      <c r="A1980" s="9">
        <v>2309531.0</v>
      </c>
      <c r="B1980" s="9">
        <v>8.347494E7</v>
      </c>
      <c r="C1980" s="9">
        <v>37606.0</v>
      </c>
      <c r="D1980" s="9" t="s">
        <v>52</v>
      </c>
      <c r="E1980" s="9" t="s">
        <v>53</v>
      </c>
      <c r="F1980" s="9">
        <v>276568.0</v>
      </c>
      <c r="G1980" s="9">
        <v>1.0054758012E8</v>
      </c>
      <c r="H1980" s="9">
        <v>2.1466993082E8</v>
      </c>
      <c r="I1980" s="9">
        <v>3040224.19</v>
      </c>
      <c r="J1980" s="9">
        <v>0.0</v>
      </c>
      <c r="K1980" s="9">
        <v>0.0</v>
      </c>
      <c r="L1980" s="9" t="s">
        <v>69</v>
      </c>
      <c r="M1980" s="9" t="s">
        <v>65</v>
      </c>
      <c r="N1980" s="9">
        <v>2420640.82</v>
      </c>
      <c r="O1980" s="9">
        <v>1846251.48</v>
      </c>
      <c r="P1980" s="9">
        <v>464448.0</v>
      </c>
      <c r="Q1980" s="9">
        <v>450000.0</v>
      </c>
      <c r="R1980" s="9" t="s">
        <v>92</v>
      </c>
      <c r="S1980" s="9" t="s">
        <v>57</v>
      </c>
      <c r="T1980" s="9" t="s">
        <v>93</v>
      </c>
    </row>
    <row r="1981" ht="15.75" customHeight="1">
      <c r="A1981" s="9">
        <v>2310742.0</v>
      </c>
      <c r="B1981" s="9">
        <v>1.260309E7</v>
      </c>
      <c r="C1981" s="9">
        <v>40603.0</v>
      </c>
      <c r="D1981" s="9" t="s">
        <v>52</v>
      </c>
      <c r="E1981" s="9" t="s">
        <v>53</v>
      </c>
      <c r="F1981" s="9">
        <v>348222.0</v>
      </c>
      <c r="G1981" s="9">
        <v>9415597.54</v>
      </c>
      <c r="H1981" s="9">
        <v>9070596.19</v>
      </c>
      <c r="I1981" s="9">
        <v>7629292.26</v>
      </c>
      <c r="J1981" s="9">
        <v>0.0</v>
      </c>
      <c r="K1981" s="9">
        <v>5770.0</v>
      </c>
      <c r="L1981" s="9" t="s">
        <v>59</v>
      </c>
      <c r="M1981" s="9" t="s">
        <v>55</v>
      </c>
      <c r="N1981" s="9">
        <v>8819056.86</v>
      </c>
      <c r="O1981" s="9">
        <v>8819056.86</v>
      </c>
      <c r="P1981" s="9">
        <v>238411.89</v>
      </c>
      <c r="Q1981" s="9">
        <v>238411.89</v>
      </c>
      <c r="R1981" s="9" t="s">
        <v>56</v>
      </c>
      <c r="S1981" s="9" t="s">
        <v>57</v>
      </c>
      <c r="T1981" s="9" t="s">
        <v>58</v>
      </c>
      <c r="V1981" s="9">
        <v>0.0</v>
      </c>
      <c r="W1981" s="9">
        <v>354541.0</v>
      </c>
      <c r="X1981" s="9">
        <v>0.0</v>
      </c>
    </row>
    <row r="1982" ht="15.75" customHeight="1">
      <c r="A1982" s="9">
        <v>2311010.0</v>
      </c>
      <c r="B1982" s="9">
        <v>4987550.0</v>
      </c>
      <c r="C1982" s="9">
        <v>39342.0</v>
      </c>
      <c r="D1982" s="9" t="s">
        <v>52</v>
      </c>
      <c r="E1982" s="9" t="s">
        <v>53</v>
      </c>
      <c r="F1982" s="9">
        <v>348402.0</v>
      </c>
      <c r="G1982" s="9">
        <v>4340166.8</v>
      </c>
      <c r="H1982" s="9">
        <v>4340166.8</v>
      </c>
      <c r="I1982" s="9">
        <v>4073242.93</v>
      </c>
      <c r="J1982" s="9">
        <v>0.0</v>
      </c>
      <c r="K1982" s="9">
        <v>0.0</v>
      </c>
      <c r="L1982" s="9" t="s">
        <v>59</v>
      </c>
      <c r="M1982" s="9" t="s">
        <v>55</v>
      </c>
      <c r="N1982" s="9">
        <v>4103492.19</v>
      </c>
      <c r="O1982" s="9">
        <v>4103492.19</v>
      </c>
      <c r="P1982" s="9">
        <v>124021.98</v>
      </c>
      <c r="Q1982" s="9">
        <v>124021.98</v>
      </c>
      <c r="R1982" s="9" t="s">
        <v>56</v>
      </c>
      <c r="S1982" s="9" t="s">
        <v>57</v>
      </c>
      <c r="T1982" s="9" t="s">
        <v>58</v>
      </c>
      <c r="V1982" s="9">
        <v>3880435.91</v>
      </c>
      <c r="W1982" s="9">
        <v>114100.23</v>
      </c>
      <c r="X1982" s="9">
        <v>0.0</v>
      </c>
    </row>
    <row r="1983" ht="15.75" customHeight="1">
      <c r="A1983" s="9">
        <v>2311510.0</v>
      </c>
      <c r="B1983" s="9">
        <v>1.64311765E8</v>
      </c>
      <c r="C1983" s="9">
        <v>38493.0</v>
      </c>
      <c r="D1983" s="9" t="s">
        <v>52</v>
      </c>
      <c r="E1983" s="9" t="s">
        <v>53</v>
      </c>
      <c r="F1983" s="9">
        <v>68954.0</v>
      </c>
      <c r="G1983" s="9">
        <v>1.64311765E8</v>
      </c>
      <c r="H1983" s="9">
        <v>1.64311765E8</v>
      </c>
      <c r="I1983" s="9">
        <v>1441467.19</v>
      </c>
      <c r="J1983" s="9">
        <v>0.0</v>
      </c>
      <c r="K1983" s="9">
        <v>0.0</v>
      </c>
      <c r="L1983" s="9" t="s">
        <v>69</v>
      </c>
      <c r="M1983" s="9" t="s">
        <v>65</v>
      </c>
      <c r="R1983" s="9" t="s">
        <v>63</v>
      </c>
      <c r="S1983" s="9" t="s">
        <v>63</v>
      </c>
      <c r="V1983" s="9">
        <v>265143.47</v>
      </c>
      <c r="W1983" s="9">
        <v>0.0</v>
      </c>
    </row>
    <row r="1984" ht="15.75" customHeight="1">
      <c r="A1984" s="9">
        <v>2314109.0</v>
      </c>
      <c r="B1984" s="9">
        <v>4963995.0</v>
      </c>
      <c r="C1984" s="9">
        <v>37840.0</v>
      </c>
      <c r="D1984" s="9" t="s">
        <v>52</v>
      </c>
      <c r="E1984" s="9" t="s">
        <v>53</v>
      </c>
      <c r="F1984" s="9">
        <v>351706.0</v>
      </c>
      <c r="G1984" s="9">
        <v>5433940.28</v>
      </c>
      <c r="H1984" s="9">
        <v>5433940.28</v>
      </c>
      <c r="I1984" s="9">
        <v>5308939.54</v>
      </c>
      <c r="J1984" s="9">
        <v>0.0</v>
      </c>
      <c r="K1984" s="9">
        <v>0.0</v>
      </c>
      <c r="L1984" s="9" t="s">
        <v>59</v>
      </c>
      <c r="M1984" s="9" t="s">
        <v>55</v>
      </c>
      <c r="N1984" s="9">
        <v>5106399.54</v>
      </c>
      <c r="O1984" s="9">
        <v>5106399.54</v>
      </c>
      <c r="P1984" s="9">
        <v>197540.74</v>
      </c>
      <c r="Q1984" s="9">
        <v>197540.74</v>
      </c>
      <c r="R1984" s="9" t="s">
        <v>94</v>
      </c>
      <c r="S1984" s="9" t="s">
        <v>57</v>
      </c>
      <c r="T1984" s="9" t="s">
        <v>95</v>
      </c>
    </row>
    <row r="1985" ht="15.75" customHeight="1">
      <c r="A1985" s="9">
        <v>2319393.0</v>
      </c>
      <c r="B1985" s="9">
        <v>1.0518378E7</v>
      </c>
      <c r="C1985" s="9">
        <v>41833.0</v>
      </c>
      <c r="D1985" s="9" t="s">
        <v>52</v>
      </c>
      <c r="E1985" s="9" t="s">
        <v>53</v>
      </c>
      <c r="F1985" s="9">
        <v>356339.0</v>
      </c>
      <c r="G1985" s="9">
        <v>7494970.48</v>
      </c>
      <c r="H1985" s="9">
        <v>7041382.95</v>
      </c>
      <c r="I1985" s="9">
        <v>6971893.75</v>
      </c>
      <c r="J1985" s="9">
        <v>0.0</v>
      </c>
      <c r="K1985" s="9">
        <v>0.0</v>
      </c>
      <c r="L1985" s="9" t="s">
        <v>69</v>
      </c>
      <c r="M1985" s="9" t="s">
        <v>55</v>
      </c>
      <c r="N1985" s="9">
        <v>7068611.83</v>
      </c>
      <c r="O1985" s="9">
        <v>6361750.65</v>
      </c>
      <c r="P1985" s="9">
        <v>265059.65</v>
      </c>
      <c r="Q1985" s="9">
        <v>238553.73</v>
      </c>
      <c r="R1985" s="9" t="s">
        <v>56</v>
      </c>
      <c r="S1985" s="9" t="s">
        <v>57</v>
      </c>
      <c r="T1985" s="9" t="s">
        <v>58</v>
      </c>
      <c r="V1985" s="9">
        <v>6478878.56</v>
      </c>
      <c r="W1985" s="9">
        <v>257216.66</v>
      </c>
      <c r="X1985" s="9">
        <v>0.0</v>
      </c>
    </row>
    <row r="1986" ht="15.75" customHeight="1">
      <c r="A1986" s="9">
        <v>2321972.0</v>
      </c>
      <c r="B1986" s="9">
        <v>9246386.0</v>
      </c>
      <c r="C1986" s="9">
        <v>44260.0</v>
      </c>
      <c r="D1986" s="9" t="s">
        <v>52</v>
      </c>
      <c r="E1986" s="9" t="s">
        <v>53</v>
      </c>
      <c r="F1986" s="9">
        <v>358924.0</v>
      </c>
      <c r="G1986" s="9">
        <v>2.628389254E7</v>
      </c>
      <c r="H1986" s="9">
        <v>2.436258332E7</v>
      </c>
      <c r="I1986" s="9">
        <v>9517835.81</v>
      </c>
      <c r="J1986" s="9">
        <v>8000.0</v>
      </c>
      <c r="K1986" s="9">
        <v>70000.0</v>
      </c>
      <c r="L1986" s="9" t="s">
        <v>59</v>
      </c>
      <c r="M1986" s="9" t="s">
        <v>55</v>
      </c>
      <c r="N1986" s="9">
        <v>2.50007802E7</v>
      </c>
      <c r="O1986" s="9">
        <v>2.250070218E7</v>
      </c>
      <c r="P1986" s="9">
        <v>1110062.0</v>
      </c>
      <c r="Q1986" s="9">
        <v>999055.8</v>
      </c>
      <c r="R1986" s="9" t="s">
        <v>96</v>
      </c>
      <c r="S1986" s="9" t="s">
        <v>78</v>
      </c>
      <c r="T1986" s="9" t="s">
        <v>79</v>
      </c>
      <c r="U1986" s="9" t="s">
        <v>97</v>
      </c>
    </row>
    <row r="1987" ht="15.75" customHeight="1">
      <c r="A1987" s="9">
        <v>2325016.0</v>
      </c>
      <c r="B1987" s="9">
        <v>9479052.0</v>
      </c>
      <c r="C1987" s="9">
        <v>40102.0</v>
      </c>
      <c r="D1987" s="9" t="s">
        <v>52</v>
      </c>
      <c r="E1987" s="9" t="s">
        <v>53</v>
      </c>
      <c r="F1987" s="9">
        <v>361727.0</v>
      </c>
      <c r="G1987" s="9">
        <v>8700135.09</v>
      </c>
      <c r="H1987" s="9">
        <v>8700135.09</v>
      </c>
      <c r="I1987" s="9">
        <v>8688852.19</v>
      </c>
      <c r="J1987" s="9">
        <v>0.0</v>
      </c>
      <c r="K1987" s="9">
        <v>0.0</v>
      </c>
      <c r="L1987" s="9" t="s">
        <v>69</v>
      </c>
      <c r="M1987" s="9" t="s">
        <v>55</v>
      </c>
      <c r="N1987" s="9">
        <v>8114414.37</v>
      </c>
      <c r="O1987" s="9">
        <v>8113602.93</v>
      </c>
      <c r="P1987" s="9">
        <v>398286.72</v>
      </c>
      <c r="Q1987" s="9">
        <v>398286.68</v>
      </c>
      <c r="R1987" s="9" t="s">
        <v>60</v>
      </c>
      <c r="S1987" s="9" t="s">
        <v>57</v>
      </c>
      <c r="T1987" s="9" t="s">
        <v>61</v>
      </c>
      <c r="V1987" s="9">
        <v>8248356.26</v>
      </c>
      <c r="W1987" s="9">
        <v>398286.68</v>
      </c>
      <c r="X1987" s="9">
        <v>0.0</v>
      </c>
    </row>
    <row r="1988" ht="15.75" customHeight="1">
      <c r="A1988" s="9">
        <v>2325250.0</v>
      </c>
      <c r="B1988" s="9">
        <v>2105612.0</v>
      </c>
      <c r="C1988" s="9">
        <v>40305.0</v>
      </c>
      <c r="D1988" s="9" t="s">
        <v>52</v>
      </c>
      <c r="E1988" s="9" t="s">
        <v>53</v>
      </c>
      <c r="F1988" s="9">
        <v>361950.0</v>
      </c>
      <c r="G1988" s="9">
        <v>2426817.94</v>
      </c>
      <c r="H1988" s="9">
        <v>2113682.56</v>
      </c>
      <c r="I1988" s="9">
        <v>2113681.69</v>
      </c>
      <c r="J1988" s="9">
        <v>0.0</v>
      </c>
      <c r="K1988" s="9">
        <v>0.0</v>
      </c>
      <c r="L1988" s="9" t="s">
        <v>69</v>
      </c>
      <c r="M1988" s="9" t="s">
        <v>55</v>
      </c>
      <c r="N1988" s="9">
        <v>2340577.0</v>
      </c>
      <c r="O1988" s="9">
        <v>2340577.0</v>
      </c>
      <c r="P1988" s="9">
        <v>86240.0</v>
      </c>
      <c r="Q1988" s="9">
        <v>86240.0</v>
      </c>
      <c r="R1988" s="9" t="s">
        <v>60</v>
      </c>
      <c r="S1988" s="9" t="s">
        <v>57</v>
      </c>
      <c r="T1988" s="9" t="s">
        <v>61</v>
      </c>
      <c r="V1988" s="9">
        <v>2027441.69</v>
      </c>
      <c r="W1988" s="9">
        <v>86240.0</v>
      </c>
      <c r="X1988" s="9">
        <v>0.0</v>
      </c>
    </row>
    <row r="1989" ht="15.75" customHeight="1">
      <c r="A1989" s="9">
        <v>2326318.0</v>
      </c>
      <c r="B1989" s="9">
        <v>413000.66</v>
      </c>
      <c r="C1989" s="9">
        <v>40306.0</v>
      </c>
      <c r="D1989" s="9" t="s">
        <v>52</v>
      </c>
      <c r="E1989" s="9" t="s">
        <v>53</v>
      </c>
      <c r="F1989" s="9">
        <v>362846.0</v>
      </c>
      <c r="G1989" s="9">
        <v>1161321.22</v>
      </c>
      <c r="H1989" s="9">
        <v>617232.66</v>
      </c>
      <c r="I1989" s="9">
        <v>607134.21</v>
      </c>
      <c r="J1989" s="9">
        <v>0.0</v>
      </c>
      <c r="K1989" s="9">
        <v>0.0</v>
      </c>
      <c r="L1989" s="9" t="s">
        <v>69</v>
      </c>
      <c r="M1989" s="9" t="s">
        <v>55</v>
      </c>
      <c r="R1989" s="9" t="s">
        <v>56</v>
      </c>
      <c r="S1989" s="9" t="s">
        <v>57</v>
      </c>
      <c r="T1989" s="9" t="s">
        <v>58</v>
      </c>
      <c r="V1989" s="9">
        <v>568528.41</v>
      </c>
      <c r="W1989" s="9">
        <v>28441.96</v>
      </c>
      <c r="X1989" s="9">
        <v>0.0</v>
      </c>
    </row>
    <row r="1990" ht="15.75" customHeight="1">
      <c r="A1990" s="9">
        <v>2326409.0</v>
      </c>
      <c r="B1990" s="9">
        <v>848071.1</v>
      </c>
      <c r="C1990" s="9">
        <v>40103.0</v>
      </c>
      <c r="D1990" s="9" t="s">
        <v>52</v>
      </c>
      <c r="E1990" s="9" t="s">
        <v>53</v>
      </c>
      <c r="F1990" s="9">
        <v>362935.0</v>
      </c>
      <c r="G1990" s="9">
        <v>1019587.96</v>
      </c>
      <c r="H1990" s="9">
        <v>1019587.96</v>
      </c>
      <c r="I1990" s="9">
        <v>954903.85</v>
      </c>
      <c r="J1990" s="9">
        <v>0.0</v>
      </c>
      <c r="K1990" s="9">
        <v>0.0</v>
      </c>
      <c r="L1990" s="9" t="s">
        <v>69</v>
      </c>
      <c r="M1990" s="9" t="s">
        <v>55</v>
      </c>
      <c r="R1990" s="9" t="s">
        <v>56</v>
      </c>
      <c r="S1990" s="9" t="s">
        <v>57</v>
      </c>
      <c r="T1990" s="9" t="s">
        <v>58</v>
      </c>
      <c r="V1990" s="9">
        <v>907423.18</v>
      </c>
      <c r="W1990" s="9">
        <v>40485.73</v>
      </c>
      <c r="X1990" s="9">
        <v>0.0</v>
      </c>
    </row>
    <row r="1991" ht="15.75" customHeight="1">
      <c r="A1991" s="9">
        <v>2326554.0</v>
      </c>
      <c r="B1991" s="9">
        <v>7102387.0</v>
      </c>
      <c r="C1991" s="9">
        <v>40604.0</v>
      </c>
      <c r="D1991" s="9" t="s">
        <v>52</v>
      </c>
      <c r="E1991" s="9" t="s">
        <v>53</v>
      </c>
      <c r="F1991" s="9">
        <v>363077.0</v>
      </c>
      <c r="G1991" s="9">
        <v>1.994965453E7</v>
      </c>
      <c r="H1991" s="9">
        <v>1.301376574E7</v>
      </c>
      <c r="I1991" s="9">
        <v>1.297674407E7</v>
      </c>
      <c r="J1991" s="9">
        <v>0.0</v>
      </c>
      <c r="K1991" s="9">
        <v>0.0</v>
      </c>
      <c r="L1991" s="9" t="s">
        <v>69</v>
      </c>
      <c r="M1991" s="9" t="s">
        <v>55</v>
      </c>
      <c r="N1991" s="9">
        <v>1.2207841E7</v>
      </c>
      <c r="O1991" s="9">
        <v>1.138019053E7</v>
      </c>
      <c r="P1991" s="9">
        <v>705925.0</v>
      </c>
      <c r="Q1991" s="9">
        <v>657962.76</v>
      </c>
      <c r="R1991" s="9" t="s">
        <v>60</v>
      </c>
      <c r="S1991" s="9" t="s">
        <v>57</v>
      </c>
      <c r="T1991" s="9" t="s">
        <v>61</v>
      </c>
      <c r="V1991" s="9">
        <v>1.21880058E7</v>
      </c>
      <c r="W1991" s="9">
        <v>753395.28</v>
      </c>
      <c r="X1991" s="9">
        <v>0.0</v>
      </c>
    </row>
    <row r="1992" ht="15.75" customHeight="1">
      <c r="A1992" s="9">
        <v>2328351.0</v>
      </c>
      <c r="B1992" s="9">
        <v>5.1075586E7</v>
      </c>
      <c r="C1992" s="9">
        <v>33951.0</v>
      </c>
      <c r="D1992" s="9" t="s">
        <v>52</v>
      </c>
      <c r="E1992" s="9" t="s">
        <v>53</v>
      </c>
      <c r="F1992" s="9">
        <v>364711.0</v>
      </c>
      <c r="G1992" s="9">
        <v>0.0</v>
      </c>
      <c r="M1992" s="9" t="s">
        <v>116</v>
      </c>
      <c r="N1992" s="9">
        <v>501800.0</v>
      </c>
      <c r="O1992" s="9">
        <v>501800.0</v>
      </c>
      <c r="P1992" s="9">
        <v>44200.0</v>
      </c>
      <c r="Q1992" s="9">
        <v>44200.0</v>
      </c>
      <c r="R1992" s="9" t="s">
        <v>60</v>
      </c>
      <c r="S1992" s="9" t="s">
        <v>57</v>
      </c>
      <c r="T1992" s="9" t="s">
        <v>61</v>
      </c>
      <c r="V1992" s="9">
        <v>546000.0</v>
      </c>
    </row>
    <row r="1993" ht="15.75" customHeight="1">
      <c r="A1993" s="9">
        <v>2436877.0</v>
      </c>
      <c r="B1993" s="9">
        <v>84455.46</v>
      </c>
      <c r="C1993" s="9">
        <v>43188.0</v>
      </c>
      <c r="D1993" s="9" t="s">
        <v>52</v>
      </c>
      <c r="E1993" s="9" t="s">
        <v>111</v>
      </c>
      <c r="F1993" s="9">
        <v>2436877.0</v>
      </c>
      <c r="G1993" s="9">
        <v>84455.46</v>
      </c>
      <c r="H1993" s="9">
        <v>86604.93</v>
      </c>
      <c r="I1993" s="9">
        <v>3342.0</v>
      </c>
      <c r="J1993" s="9">
        <v>0.0</v>
      </c>
      <c r="K1993" s="9">
        <v>0.0</v>
      </c>
      <c r="L1993" s="9" t="s">
        <v>59</v>
      </c>
      <c r="M1993" s="9" t="s">
        <v>55</v>
      </c>
      <c r="R1993" s="9" t="s">
        <v>94</v>
      </c>
      <c r="S1993" s="9" t="s">
        <v>57</v>
      </c>
      <c r="T1993" s="9" t="s">
        <v>95</v>
      </c>
    </row>
    <row r="1994" ht="15.75" customHeight="1">
      <c r="A1994" s="9">
        <v>2437409.0</v>
      </c>
      <c r="B1994" s="9">
        <v>235621.88</v>
      </c>
      <c r="C1994" s="9">
        <v>43200.0</v>
      </c>
      <c r="D1994" s="9" t="s">
        <v>52</v>
      </c>
      <c r="E1994" s="9" t="s">
        <v>111</v>
      </c>
      <c r="F1994" s="9">
        <v>2437409.0</v>
      </c>
      <c r="G1994" s="9">
        <v>235621.88</v>
      </c>
      <c r="H1994" s="9">
        <v>240934.02</v>
      </c>
      <c r="I1994" s="9">
        <v>6855.6</v>
      </c>
      <c r="J1994" s="9">
        <v>0.0</v>
      </c>
      <c r="K1994" s="9">
        <v>0.0</v>
      </c>
      <c r="L1994" s="9" t="s">
        <v>59</v>
      </c>
      <c r="M1994" s="9" t="s">
        <v>55</v>
      </c>
      <c r="R1994" s="9" t="s">
        <v>94</v>
      </c>
      <c r="S1994" s="9" t="s">
        <v>57</v>
      </c>
      <c r="T1994" s="9" t="s">
        <v>95</v>
      </c>
    </row>
    <row r="1995" ht="15.75" customHeight="1">
      <c r="A1995" s="9">
        <v>2437411.0</v>
      </c>
      <c r="B1995" s="9">
        <v>241484.88</v>
      </c>
      <c r="C1995" s="9">
        <v>43230.0</v>
      </c>
      <c r="D1995" s="9" t="s">
        <v>52</v>
      </c>
      <c r="E1995" s="9" t="s">
        <v>111</v>
      </c>
      <c r="F1995" s="9">
        <v>2437411.0</v>
      </c>
      <c r="G1995" s="9">
        <v>241484.88</v>
      </c>
      <c r="H1995" s="9">
        <v>247215.12</v>
      </c>
      <c r="I1995" s="9">
        <v>0.0</v>
      </c>
      <c r="J1995" s="9">
        <v>0.0</v>
      </c>
      <c r="K1995" s="9">
        <v>0.0</v>
      </c>
      <c r="L1995" s="9" t="s">
        <v>59</v>
      </c>
      <c r="M1995" s="9" t="s">
        <v>55</v>
      </c>
      <c r="R1995" s="9" t="s">
        <v>63</v>
      </c>
      <c r="S1995" s="9" t="s">
        <v>63</v>
      </c>
    </row>
    <row r="1996" ht="15.75" customHeight="1">
      <c r="A1996" s="9">
        <v>2437413.0</v>
      </c>
      <c r="B1996" s="9">
        <v>352208.6</v>
      </c>
      <c r="C1996" s="9">
        <v>43081.0</v>
      </c>
      <c r="D1996" s="9" t="s">
        <v>52</v>
      </c>
      <c r="E1996" s="9" t="s">
        <v>111</v>
      </c>
      <c r="F1996" s="9">
        <v>2437413.0</v>
      </c>
      <c r="G1996" s="9">
        <v>352208.6</v>
      </c>
      <c r="H1996" s="9">
        <v>358052.0</v>
      </c>
      <c r="I1996" s="9">
        <v>11236.19</v>
      </c>
      <c r="J1996" s="9">
        <v>0.0</v>
      </c>
      <c r="K1996" s="9">
        <v>0.0</v>
      </c>
      <c r="L1996" s="9" t="s">
        <v>59</v>
      </c>
      <c r="M1996" s="9" t="s">
        <v>55</v>
      </c>
      <c r="R1996" s="9" t="s">
        <v>56</v>
      </c>
      <c r="S1996" s="9" t="s">
        <v>57</v>
      </c>
      <c r="T1996" s="9" t="s">
        <v>58</v>
      </c>
    </row>
    <row r="1997" ht="15.75" customHeight="1">
      <c r="A1997" s="9">
        <v>2437613.0</v>
      </c>
      <c r="B1997" s="9">
        <v>101154.44</v>
      </c>
      <c r="C1997" s="9">
        <v>43126.0</v>
      </c>
      <c r="D1997" s="9" t="s">
        <v>52</v>
      </c>
      <c r="E1997" s="9" t="s">
        <v>111</v>
      </c>
      <c r="F1997" s="9">
        <v>2437613.0</v>
      </c>
      <c r="G1997" s="9">
        <v>101154.44</v>
      </c>
      <c r="H1997" s="9">
        <v>102922.44</v>
      </c>
      <c r="I1997" s="9">
        <v>0.0</v>
      </c>
      <c r="J1997" s="9">
        <v>0.0</v>
      </c>
      <c r="K1997" s="9">
        <v>0.0</v>
      </c>
      <c r="L1997" s="9" t="s">
        <v>59</v>
      </c>
      <c r="M1997" s="9" t="s">
        <v>55</v>
      </c>
      <c r="R1997" s="9" t="s">
        <v>94</v>
      </c>
      <c r="S1997" s="9" t="s">
        <v>57</v>
      </c>
      <c r="T1997" s="9" t="s">
        <v>95</v>
      </c>
    </row>
    <row r="1998" ht="15.75" customHeight="1">
      <c r="A1998" s="9">
        <v>2437694.0</v>
      </c>
      <c r="B1998" s="9">
        <v>167179.88</v>
      </c>
      <c r="C1998" s="9">
        <v>43152.0</v>
      </c>
      <c r="D1998" s="9" t="s">
        <v>52</v>
      </c>
      <c r="E1998" s="9" t="s">
        <v>111</v>
      </c>
      <c r="F1998" s="9">
        <v>2437694.0</v>
      </c>
      <c r="G1998" s="9">
        <v>167179.88</v>
      </c>
      <c r="H1998" s="9">
        <v>172522.38</v>
      </c>
      <c r="I1998" s="9">
        <v>6484.66</v>
      </c>
      <c r="J1998" s="9">
        <v>0.0</v>
      </c>
      <c r="K1998" s="9">
        <v>0.0</v>
      </c>
      <c r="L1998" s="9" t="s">
        <v>59</v>
      </c>
      <c r="M1998" s="9" t="s">
        <v>55</v>
      </c>
      <c r="R1998" s="9" t="s">
        <v>56</v>
      </c>
      <c r="S1998" s="9" t="s">
        <v>57</v>
      </c>
      <c r="T1998" s="9" t="s">
        <v>58</v>
      </c>
    </row>
    <row r="1999" ht="15.75" customHeight="1">
      <c r="A1999" s="9">
        <v>2437696.0</v>
      </c>
      <c r="B1999" s="9">
        <v>76645.14</v>
      </c>
      <c r="C1999" s="9">
        <v>43133.0</v>
      </c>
      <c r="D1999" s="9" t="s">
        <v>52</v>
      </c>
      <c r="E1999" s="9" t="s">
        <v>111</v>
      </c>
      <c r="F1999" s="9">
        <v>2437696.0</v>
      </c>
      <c r="G1999" s="9">
        <v>76645.14</v>
      </c>
      <c r="H1999" s="9">
        <v>78371.64</v>
      </c>
      <c r="I1999" s="9">
        <v>0.0</v>
      </c>
      <c r="J1999" s="9">
        <v>0.0</v>
      </c>
      <c r="K1999" s="9">
        <v>0.0</v>
      </c>
      <c r="L1999" s="9" t="s">
        <v>59</v>
      </c>
      <c r="M1999" s="9" t="s">
        <v>55</v>
      </c>
      <c r="R1999" s="9" t="s">
        <v>56</v>
      </c>
      <c r="S1999" s="9" t="s">
        <v>57</v>
      </c>
      <c r="T1999" s="9" t="s">
        <v>58</v>
      </c>
    </row>
    <row r="2000" ht="15.75" customHeight="1">
      <c r="A2000" s="9">
        <v>2438513.0</v>
      </c>
      <c r="B2000" s="9">
        <v>247848.1</v>
      </c>
      <c r="C2000" s="9">
        <v>43341.0</v>
      </c>
      <c r="D2000" s="9" t="s">
        <v>52</v>
      </c>
      <c r="E2000" s="9" t="s">
        <v>111</v>
      </c>
      <c r="F2000" s="9">
        <v>2438513.0</v>
      </c>
      <c r="G2000" s="9">
        <v>247848.1</v>
      </c>
      <c r="H2000" s="9">
        <v>251147.7</v>
      </c>
      <c r="I2000" s="9">
        <v>0.0</v>
      </c>
      <c r="J2000" s="9">
        <v>0.0</v>
      </c>
      <c r="K2000" s="9">
        <v>0.0</v>
      </c>
      <c r="L2000" s="9" t="s">
        <v>59</v>
      </c>
      <c r="M2000" s="9" t="s">
        <v>55</v>
      </c>
      <c r="R2000" s="9" t="s">
        <v>94</v>
      </c>
      <c r="S2000" s="9" t="s">
        <v>57</v>
      </c>
      <c r="T2000" s="9" t="s">
        <v>95</v>
      </c>
    </row>
    <row r="2001" ht="15.75" customHeight="1">
      <c r="A2001" s="9">
        <v>2438664.0</v>
      </c>
      <c r="B2001" s="9">
        <v>161713.16</v>
      </c>
      <c r="C2001" s="9">
        <v>43127.0</v>
      </c>
      <c r="D2001" s="9" t="s">
        <v>52</v>
      </c>
      <c r="E2001" s="9" t="s">
        <v>111</v>
      </c>
      <c r="F2001" s="9">
        <v>2438664.0</v>
      </c>
      <c r="G2001" s="9">
        <v>161713.16</v>
      </c>
      <c r="H2001" s="9">
        <v>163551.16</v>
      </c>
      <c r="I2001" s="9">
        <v>4919.6</v>
      </c>
      <c r="J2001" s="9">
        <v>0.0</v>
      </c>
      <c r="K2001" s="9">
        <v>0.0</v>
      </c>
      <c r="L2001" s="9" t="s">
        <v>59</v>
      </c>
      <c r="M2001" s="9" t="s">
        <v>55</v>
      </c>
      <c r="R2001" s="9" t="s">
        <v>56</v>
      </c>
      <c r="S2001" s="9" t="s">
        <v>57</v>
      </c>
      <c r="T2001" s="9" t="s">
        <v>58</v>
      </c>
    </row>
    <row r="2002" ht="15.75" customHeight="1">
      <c r="A2002" s="9">
        <v>2438681.0</v>
      </c>
      <c r="B2002" s="9">
        <v>109063.01</v>
      </c>
      <c r="C2002" s="9">
        <v>43111.0</v>
      </c>
      <c r="D2002" s="9" t="s">
        <v>52</v>
      </c>
      <c r="E2002" s="9" t="s">
        <v>111</v>
      </c>
      <c r="F2002" s="9">
        <v>2438681.0</v>
      </c>
      <c r="G2002" s="9">
        <v>109063.01</v>
      </c>
      <c r="H2002" s="9">
        <v>110944.01</v>
      </c>
      <c r="I2002" s="9">
        <v>0.0</v>
      </c>
      <c r="J2002" s="9">
        <v>0.0</v>
      </c>
      <c r="K2002" s="9">
        <v>0.0</v>
      </c>
      <c r="L2002" s="9" t="s">
        <v>59</v>
      </c>
      <c r="M2002" s="9" t="s">
        <v>55</v>
      </c>
      <c r="R2002" s="9" t="s">
        <v>94</v>
      </c>
      <c r="S2002" s="9" t="s">
        <v>57</v>
      </c>
      <c r="T2002" s="9" t="s">
        <v>95</v>
      </c>
    </row>
    <row r="2003" ht="15.75" customHeight="1">
      <c r="A2003" s="9">
        <v>2439217.0</v>
      </c>
      <c r="B2003" s="9">
        <v>119729.62</v>
      </c>
      <c r="C2003" s="9">
        <v>43163.0</v>
      </c>
      <c r="D2003" s="9" t="s">
        <v>52</v>
      </c>
      <c r="E2003" s="9" t="s">
        <v>111</v>
      </c>
      <c r="F2003" s="9">
        <v>2439217.0</v>
      </c>
      <c r="G2003" s="9">
        <v>119729.62</v>
      </c>
      <c r="H2003" s="9">
        <v>123169.62</v>
      </c>
      <c r="I2003" s="9">
        <v>2024.87</v>
      </c>
      <c r="J2003" s="9">
        <v>0.0</v>
      </c>
      <c r="K2003" s="9">
        <v>0.0</v>
      </c>
      <c r="L2003" s="9" t="s">
        <v>59</v>
      </c>
      <c r="M2003" s="9" t="s">
        <v>55</v>
      </c>
      <c r="R2003" s="9" t="s">
        <v>94</v>
      </c>
      <c r="S2003" s="9" t="s">
        <v>57</v>
      </c>
      <c r="T2003" s="9" t="s">
        <v>95</v>
      </c>
    </row>
    <row r="2004" ht="15.75" customHeight="1">
      <c r="A2004" s="9">
        <v>2439234.0</v>
      </c>
      <c r="B2004" s="9">
        <v>179709.39</v>
      </c>
      <c r="C2004" s="9">
        <v>43164.0</v>
      </c>
      <c r="D2004" s="9" t="s">
        <v>52</v>
      </c>
      <c r="E2004" s="9" t="s">
        <v>111</v>
      </c>
      <c r="F2004" s="9">
        <v>2439234.0</v>
      </c>
      <c r="G2004" s="9">
        <v>179709.39</v>
      </c>
      <c r="H2004" s="9">
        <v>186397.39</v>
      </c>
      <c r="I2004" s="9">
        <v>0.0</v>
      </c>
      <c r="J2004" s="9">
        <v>0.0</v>
      </c>
      <c r="K2004" s="9">
        <v>0.0</v>
      </c>
      <c r="L2004" s="9" t="s">
        <v>59</v>
      </c>
      <c r="M2004" s="9" t="s">
        <v>55</v>
      </c>
      <c r="R2004" s="9" t="s">
        <v>70</v>
      </c>
      <c r="S2004" s="9" t="s">
        <v>57</v>
      </c>
      <c r="T2004" s="9" t="s">
        <v>71</v>
      </c>
    </row>
    <row r="2005" ht="15.75" customHeight="1">
      <c r="A2005" s="9">
        <v>2439249.0</v>
      </c>
      <c r="B2005" s="9">
        <v>254987.49</v>
      </c>
      <c r="C2005" s="9">
        <v>43166.0</v>
      </c>
      <c r="D2005" s="9" t="s">
        <v>52</v>
      </c>
      <c r="E2005" s="9" t="s">
        <v>111</v>
      </c>
      <c r="F2005" s="9">
        <v>2439249.0</v>
      </c>
      <c r="G2005" s="9">
        <v>254987.49</v>
      </c>
      <c r="H2005" s="9">
        <v>259213.49</v>
      </c>
      <c r="I2005" s="9">
        <v>6973.78</v>
      </c>
      <c r="J2005" s="9">
        <v>0.0</v>
      </c>
      <c r="K2005" s="9">
        <v>0.0</v>
      </c>
      <c r="L2005" s="9" t="s">
        <v>59</v>
      </c>
      <c r="M2005" s="9" t="s">
        <v>55</v>
      </c>
      <c r="R2005" s="9" t="s">
        <v>94</v>
      </c>
      <c r="S2005" s="9" t="s">
        <v>57</v>
      </c>
      <c r="T2005" s="9" t="s">
        <v>95</v>
      </c>
    </row>
    <row r="2006" ht="15.75" customHeight="1">
      <c r="A2006" s="9">
        <v>2439334.0</v>
      </c>
      <c r="B2006" s="9">
        <v>218224.72</v>
      </c>
      <c r="C2006" s="9">
        <v>43076.0</v>
      </c>
      <c r="D2006" s="9" t="s">
        <v>52</v>
      </c>
      <c r="E2006" s="9" t="s">
        <v>111</v>
      </c>
      <c r="F2006" s="9">
        <v>2439334.0</v>
      </c>
      <c r="G2006" s="9">
        <v>218224.72</v>
      </c>
      <c r="H2006" s="9">
        <v>223326.32</v>
      </c>
      <c r="I2006" s="9">
        <v>8869.0</v>
      </c>
      <c r="J2006" s="9">
        <v>0.0</v>
      </c>
      <c r="K2006" s="9">
        <v>0.0</v>
      </c>
      <c r="L2006" s="9" t="s">
        <v>59</v>
      </c>
      <c r="M2006" s="9" t="s">
        <v>55</v>
      </c>
      <c r="R2006" s="9" t="s">
        <v>56</v>
      </c>
      <c r="S2006" s="9" t="s">
        <v>57</v>
      </c>
      <c r="T2006" s="9" t="s">
        <v>58</v>
      </c>
    </row>
    <row r="2007" ht="15.75" customHeight="1">
      <c r="A2007" s="9">
        <v>2439351.0</v>
      </c>
      <c r="B2007" s="9">
        <v>82874.58</v>
      </c>
      <c r="C2007" s="9">
        <v>43229.0</v>
      </c>
      <c r="D2007" s="9" t="s">
        <v>52</v>
      </c>
      <c r="E2007" s="9" t="s">
        <v>111</v>
      </c>
      <c r="F2007" s="9">
        <v>2439351.0</v>
      </c>
      <c r="G2007" s="9">
        <v>82874.58</v>
      </c>
      <c r="H2007" s="9">
        <v>86267.58</v>
      </c>
      <c r="I2007" s="9">
        <v>4440.0</v>
      </c>
      <c r="J2007" s="9">
        <v>0.0</v>
      </c>
      <c r="K2007" s="9">
        <v>0.0</v>
      </c>
      <c r="L2007" s="9" t="s">
        <v>59</v>
      </c>
      <c r="M2007" s="9" t="s">
        <v>55</v>
      </c>
      <c r="R2007" s="9" t="s">
        <v>94</v>
      </c>
      <c r="S2007" s="9" t="s">
        <v>57</v>
      </c>
      <c r="T2007" s="9" t="s">
        <v>95</v>
      </c>
    </row>
    <row r="2008" ht="15.75" customHeight="1">
      <c r="A2008" s="9">
        <v>2439432.0</v>
      </c>
      <c r="B2008" s="9">
        <v>51815.22</v>
      </c>
      <c r="C2008" s="9">
        <v>43091.0</v>
      </c>
      <c r="D2008" s="9" t="s">
        <v>52</v>
      </c>
      <c r="E2008" s="9" t="s">
        <v>111</v>
      </c>
      <c r="F2008" s="9">
        <v>2439432.0</v>
      </c>
      <c r="G2008" s="9">
        <v>51815.22</v>
      </c>
      <c r="H2008" s="9">
        <v>54894.22</v>
      </c>
      <c r="I2008" s="9">
        <v>0.0</v>
      </c>
      <c r="J2008" s="9">
        <v>0.0</v>
      </c>
      <c r="K2008" s="9">
        <v>0.0</v>
      </c>
      <c r="L2008" s="9" t="s">
        <v>59</v>
      </c>
      <c r="M2008" s="9" t="s">
        <v>55</v>
      </c>
      <c r="R2008" s="9" t="s">
        <v>75</v>
      </c>
      <c r="S2008" s="9" t="s">
        <v>57</v>
      </c>
      <c r="T2008" s="9" t="s">
        <v>76</v>
      </c>
    </row>
    <row r="2009" ht="15.75" customHeight="1">
      <c r="A2009" s="9">
        <v>2439434.0</v>
      </c>
      <c r="B2009" s="9">
        <v>307890.72</v>
      </c>
      <c r="C2009" s="9">
        <v>43276.0</v>
      </c>
      <c r="D2009" s="9" t="s">
        <v>52</v>
      </c>
      <c r="E2009" s="9" t="s">
        <v>111</v>
      </c>
      <c r="F2009" s="9">
        <v>2439434.0</v>
      </c>
      <c r="G2009" s="9">
        <v>307890.72</v>
      </c>
      <c r="H2009" s="9">
        <v>313928.78</v>
      </c>
      <c r="I2009" s="9">
        <v>4371.05</v>
      </c>
      <c r="J2009" s="9">
        <v>0.0</v>
      </c>
      <c r="K2009" s="9">
        <v>0.0</v>
      </c>
      <c r="L2009" s="9" t="s">
        <v>59</v>
      </c>
      <c r="M2009" s="9" t="s">
        <v>55</v>
      </c>
      <c r="R2009" s="9" t="s">
        <v>94</v>
      </c>
      <c r="S2009" s="9" t="s">
        <v>57</v>
      </c>
      <c r="T2009" s="9" t="s">
        <v>95</v>
      </c>
    </row>
    <row r="2010" ht="15.75" customHeight="1">
      <c r="A2010" s="9">
        <v>2439836.0</v>
      </c>
      <c r="B2010" s="9">
        <v>1.599464259E7</v>
      </c>
      <c r="C2010" s="9">
        <v>42443.0</v>
      </c>
      <c r="D2010" s="9" t="s">
        <v>52</v>
      </c>
      <c r="E2010" s="9" t="s">
        <v>103</v>
      </c>
      <c r="F2010" s="9">
        <v>2439836.0</v>
      </c>
      <c r="H2010" s="9">
        <v>1.314272898E7</v>
      </c>
      <c r="I2010" s="9">
        <v>1.314272898E7</v>
      </c>
      <c r="J2010" s="9">
        <v>0.0</v>
      </c>
      <c r="K2010" s="9">
        <v>0.0</v>
      </c>
      <c r="L2010" s="9" t="s">
        <v>69</v>
      </c>
      <c r="M2010" s="9" t="s">
        <v>55</v>
      </c>
      <c r="N2010" s="9">
        <v>1.382884828E7</v>
      </c>
      <c r="O2010" s="9">
        <v>1.382884828E7</v>
      </c>
      <c r="P2010" s="9">
        <v>463858.0</v>
      </c>
      <c r="Q2010" s="9">
        <v>463858.0</v>
      </c>
      <c r="R2010" s="9" t="s">
        <v>119</v>
      </c>
      <c r="S2010" s="9" t="s">
        <v>120</v>
      </c>
      <c r="T2010" s="9" t="s">
        <v>121</v>
      </c>
      <c r="V2010" s="9">
        <v>1.248837338E7</v>
      </c>
      <c r="W2010" s="9">
        <v>0.0</v>
      </c>
    </row>
    <row r="2011" ht="15.75" customHeight="1">
      <c r="A2011" s="9">
        <v>2439983.0</v>
      </c>
      <c r="B2011" s="9">
        <v>273157.09</v>
      </c>
      <c r="C2011" s="9">
        <v>43084.0</v>
      </c>
      <c r="D2011" s="9" t="s">
        <v>52</v>
      </c>
      <c r="E2011" s="9" t="s">
        <v>111</v>
      </c>
      <c r="F2011" s="9">
        <v>2439983.0</v>
      </c>
      <c r="G2011" s="9">
        <v>273157.09</v>
      </c>
      <c r="H2011" s="9">
        <v>278497.09</v>
      </c>
      <c r="I2011" s="9">
        <v>5733.66</v>
      </c>
      <c r="J2011" s="9">
        <v>0.0</v>
      </c>
      <c r="K2011" s="9">
        <v>0.0</v>
      </c>
      <c r="L2011" s="9" t="s">
        <v>59</v>
      </c>
      <c r="M2011" s="9" t="s">
        <v>55</v>
      </c>
      <c r="R2011" s="9" t="s">
        <v>94</v>
      </c>
      <c r="S2011" s="9" t="s">
        <v>57</v>
      </c>
      <c r="T2011" s="9" t="s">
        <v>95</v>
      </c>
    </row>
    <row r="2012" ht="15.75" customHeight="1">
      <c r="A2012" s="9">
        <v>2439985.0</v>
      </c>
      <c r="B2012" s="9">
        <v>202144.83</v>
      </c>
      <c r="C2012" s="9">
        <v>43137.0</v>
      </c>
      <c r="D2012" s="9" t="s">
        <v>52</v>
      </c>
      <c r="E2012" s="9" t="s">
        <v>111</v>
      </c>
      <c r="F2012" s="9">
        <v>2439985.0</v>
      </c>
      <c r="G2012" s="9">
        <v>202144.83</v>
      </c>
      <c r="H2012" s="9">
        <v>205907.33</v>
      </c>
      <c r="I2012" s="9">
        <v>7198.43</v>
      </c>
      <c r="J2012" s="9">
        <v>0.0</v>
      </c>
      <c r="K2012" s="9">
        <v>0.0</v>
      </c>
      <c r="L2012" s="9" t="s">
        <v>59</v>
      </c>
      <c r="M2012" s="9" t="s">
        <v>55</v>
      </c>
      <c r="R2012" s="9" t="s">
        <v>106</v>
      </c>
      <c r="S2012" s="9" t="s">
        <v>82</v>
      </c>
      <c r="T2012" s="9" t="s">
        <v>107</v>
      </c>
      <c r="U2012" s="9" t="s">
        <v>108</v>
      </c>
    </row>
    <row r="2013" ht="15.75" customHeight="1">
      <c r="A2013" s="9">
        <v>2440000.0</v>
      </c>
      <c r="B2013" s="9">
        <v>157734.28</v>
      </c>
      <c r="C2013" s="9">
        <v>43219.0</v>
      </c>
      <c r="D2013" s="9" t="s">
        <v>52</v>
      </c>
      <c r="E2013" s="9" t="s">
        <v>111</v>
      </c>
      <c r="F2013" s="9">
        <v>2440000.0</v>
      </c>
      <c r="G2013" s="9">
        <v>157734.28</v>
      </c>
      <c r="H2013" s="9">
        <v>162125.28</v>
      </c>
      <c r="I2013" s="9">
        <v>7471.39</v>
      </c>
      <c r="J2013" s="9">
        <v>0.0</v>
      </c>
      <c r="K2013" s="9">
        <v>0.0</v>
      </c>
      <c r="L2013" s="9" t="s">
        <v>59</v>
      </c>
      <c r="M2013" s="9" t="s">
        <v>55</v>
      </c>
      <c r="R2013" s="9" t="s">
        <v>56</v>
      </c>
      <c r="S2013" s="9" t="s">
        <v>57</v>
      </c>
      <c r="T2013" s="9" t="s">
        <v>58</v>
      </c>
    </row>
    <row r="2014" ht="15.75" customHeight="1">
      <c r="A2014" s="9">
        <v>2050456.0</v>
      </c>
      <c r="B2014" s="9">
        <v>1812519.0</v>
      </c>
      <c r="C2014" s="9">
        <v>30435.0</v>
      </c>
      <c r="D2014" s="9" t="s">
        <v>52</v>
      </c>
      <c r="E2014" s="9" t="s">
        <v>53</v>
      </c>
      <c r="F2014" s="9">
        <v>52481.0</v>
      </c>
      <c r="G2014" s="9">
        <v>1846765.0</v>
      </c>
      <c r="H2014" s="9">
        <v>1846765.0</v>
      </c>
      <c r="I2014" s="9">
        <v>2055863.64</v>
      </c>
      <c r="J2014" s="9">
        <v>0.0</v>
      </c>
      <c r="K2014" s="9">
        <v>0.0</v>
      </c>
      <c r="L2014" s="9" t="s">
        <v>59</v>
      </c>
      <c r="M2014" s="9" t="s">
        <v>55</v>
      </c>
      <c r="N2014" s="9">
        <v>5.32507165E7</v>
      </c>
      <c r="O2014" s="9">
        <v>1760053.0</v>
      </c>
      <c r="P2014" s="9">
        <v>50000.0</v>
      </c>
      <c r="Q2014" s="9">
        <v>50000.0</v>
      </c>
      <c r="R2014" s="9" t="s">
        <v>56</v>
      </c>
      <c r="S2014" s="9" t="s">
        <v>57</v>
      </c>
      <c r="T2014" s="9" t="s">
        <v>58</v>
      </c>
      <c r="V2014" s="9">
        <v>1861959.1</v>
      </c>
      <c r="W2014" s="9">
        <v>0.0</v>
      </c>
      <c r="X2014" s="9">
        <v>0.0</v>
      </c>
    </row>
    <row r="2015" ht="15.75" customHeight="1">
      <c r="A2015" s="9">
        <v>2051106.0</v>
      </c>
      <c r="B2015" s="9">
        <v>515785.0</v>
      </c>
      <c r="C2015" s="9">
        <v>30942.0</v>
      </c>
      <c r="D2015" s="9" t="s">
        <v>52</v>
      </c>
      <c r="E2015" s="9" t="s">
        <v>53</v>
      </c>
      <c r="F2015" s="9">
        <v>53694.0</v>
      </c>
      <c r="G2015" s="9">
        <v>550349.07</v>
      </c>
      <c r="H2015" s="9">
        <v>550349.07</v>
      </c>
      <c r="I2015" s="9">
        <v>610231.07</v>
      </c>
      <c r="J2015" s="9">
        <v>0.0</v>
      </c>
      <c r="K2015" s="9">
        <v>0.0</v>
      </c>
      <c r="L2015" s="9" t="s">
        <v>59</v>
      </c>
      <c r="M2015" s="9" t="s">
        <v>55</v>
      </c>
      <c r="N2015" s="9">
        <v>561484.58</v>
      </c>
      <c r="O2015" s="9">
        <v>505336.13</v>
      </c>
      <c r="P2015" s="9">
        <v>561484.58</v>
      </c>
      <c r="Q2015" s="9">
        <v>9500.0</v>
      </c>
      <c r="R2015" s="9" t="s">
        <v>60</v>
      </c>
      <c r="S2015" s="9" t="s">
        <v>57</v>
      </c>
      <c r="T2015" s="9" t="s">
        <v>61</v>
      </c>
      <c r="V2015" s="9">
        <v>592718.81</v>
      </c>
      <c r="W2015" s="9">
        <v>0.0</v>
      </c>
      <c r="X2015" s="9">
        <v>0.0</v>
      </c>
    </row>
    <row r="2016" ht="15.75" customHeight="1">
      <c r="A2016" s="9">
        <v>2051163.0</v>
      </c>
      <c r="B2016" s="9">
        <v>1.0139085E7</v>
      </c>
      <c r="C2016" s="9">
        <v>30492.0</v>
      </c>
      <c r="D2016" s="9" t="s">
        <v>52</v>
      </c>
      <c r="E2016" s="9" t="s">
        <v>53</v>
      </c>
      <c r="F2016" s="9">
        <v>46332.0</v>
      </c>
      <c r="G2016" s="9">
        <v>1.216633787E7</v>
      </c>
      <c r="H2016" s="9">
        <v>1.2166151E7</v>
      </c>
      <c r="I2016" s="9">
        <v>1.2166151E7</v>
      </c>
      <c r="J2016" s="9">
        <v>0.0</v>
      </c>
      <c r="K2016" s="9">
        <v>0.0</v>
      </c>
      <c r="L2016" s="9" t="s">
        <v>69</v>
      </c>
      <c r="M2016" s="9" t="s">
        <v>55</v>
      </c>
      <c r="N2016" s="9">
        <v>9481613.23</v>
      </c>
      <c r="O2016" s="9">
        <v>9766061.63</v>
      </c>
      <c r="P2016" s="9">
        <v>338417.77</v>
      </c>
      <c r="Q2016" s="9">
        <v>304624.59</v>
      </c>
      <c r="R2016" s="9" t="s">
        <v>72</v>
      </c>
      <c r="S2016" s="9" t="s">
        <v>57</v>
      </c>
      <c r="T2016" s="9" t="s">
        <v>73</v>
      </c>
      <c r="V2016" s="9">
        <v>1.216042771E7</v>
      </c>
      <c r="W2016" s="9">
        <v>0.0</v>
      </c>
      <c r="X2016" s="9">
        <v>0.0</v>
      </c>
    </row>
    <row r="2017" ht="15.75" customHeight="1">
      <c r="A2017" s="9">
        <v>2052060.0</v>
      </c>
      <c r="B2017" s="9">
        <v>1495605.0</v>
      </c>
      <c r="C2017" s="9">
        <v>31249.0</v>
      </c>
      <c r="D2017" s="9" t="s">
        <v>52</v>
      </c>
      <c r="E2017" s="9" t="s">
        <v>53</v>
      </c>
      <c r="F2017" s="9">
        <v>59200.0</v>
      </c>
      <c r="G2017" s="9">
        <v>1495605.0</v>
      </c>
      <c r="H2017" s="9">
        <v>1495605.0</v>
      </c>
      <c r="I2017" s="9">
        <v>0.0</v>
      </c>
      <c r="J2017" s="9">
        <v>0.0</v>
      </c>
      <c r="K2017" s="9">
        <v>0.0</v>
      </c>
      <c r="L2017" s="9" t="s">
        <v>54</v>
      </c>
      <c r="M2017" s="9" t="s">
        <v>55</v>
      </c>
      <c r="R2017" s="9" t="s">
        <v>56</v>
      </c>
      <c r="S2017" s="9" t="s">
        <v>57</v>
      </c>
      <c r="T2017" s="9" t="s">
        <v>58</v>
      </c>
      <c r="V2017" s="9">
        <v>1484840.79</v>
      </c>
      <c r="W2017" s="9">
        <v>0.0</v>
      </c>
      <c r="X2017" s="9">
        <v>0.0</v>
      </c>
    </row>
    <row r="2018" ht="15.75" customHeight="1">
      <c r="A2018" s="9">
        <v>2052110.0</v>
      </c>
      <c r="B2018" s="9">
        <v>911544.0</v>
      </c>
      <c r="C2018" s="9">
        <v>30922.0</v>
      </c>
      <c r="D2018" s="9" t="s">
        <v>52</v>
      </c>
      <c r="E2018" s="9" t="s">
        <v>53</v>
      </c>
      <c r="F2018" s="9">
        <v>49091.0</v>
      </c>
      <c r="G2018" s="9">
        <v>911544.0</v>
      </c>
      <c r="H2018" s="9">
        <v>911544.0</v>
      </c>
      <c r="I2018" s="9">
        <v>0.0</v>
      </c>
      <c r="J2018" s="9">
        <v>0.0</v>
      </c>
      <c r="K2018" s="9">
        <v>0.0</v>
      </c>
      <c r="L2018" s="9" t="s">
        <v>54</v>
      </c>
      <c r="M2018" s="9" t="s">
        <v>55</v>
      </c>
      <c r="N2018" s="9">
        <v>901969.0</v>
      </c>
      <c r="O2018" s="9">
        <v>901969.0</v>
      </c>
      <c r="R2018" s="9" t="s">
        <v>60</v>
      </c>
      <c r="S2018" s="9" t="s">
        <v>57</v>
      </c>
      <c r="T2018" s="9" t="s">
        <v>61</v>
      </c>
      <c r="V2018" s="9">
        <v>901969.0</v>
      </c>
      <c r="W2018" s="9">
        <v>0.0</v>
      </c>
      <c r="X2018" s="9">
        <v>0.0</v>
      </c>
    </row>
    <row r="2019" ht="15.75" customHeight="1">
      <c r="A2019" s="9">
        <v>2052117.0</v>
      </c>
      <c r="B2019" s="9">
        <v>648012.0</v>
      </c>
      <c r="C2019" s="9">
        <v>31054.0</v>
      </c>
      <c r="D2019" s="9" t="s">
        <v>52</v>
      </c>
      <c r="E2019" s="9" t="s">
        <v>53</v>
      </c>
      <c r="F2019" s="9">
        <v>52104.0</v>
      </c>
      <c r="G2019" s="9">
        <v>648012.0</v>
      </c>
      <c r="H2019" s="9">
        <v>648012.0</v>
      </c>
      <c r="I2019" s="9">
        <v>22757.71</v>
      </c>
      <c r="J2019" s="9">
        <v>0.0</v>
      </c>
      <c r="K2019" s="9">
        <v>0.0</v>
      </c>
      <c r="L2019" s="9" t="s">
        <v>69</v>
      </c>
      <c r="M2019" s="9" t="s">
        <v>55</v>
      </c>
      <c r="R2019" s="9" t="s">
        <v>60</v>
      </c>
      <c r="S2019" s="9" t="s">
        <v>57</v>
      </c>
      <c r="T2019" s="9" t="s">
        <v>61</v>
      </c>
      <c r="V2019" s="9">
        <v>759936.58</v>
      </c>
      <c r="W2019" s="9">
        <v>0.0</v>
      </c>
      <c r="X2019" s="9">
        <v>0.0</v>
      </c>
    </row>
    <row r="2020" ht="15.75" customHeight="1">
      <c r="A2020" s="9">
        <v>2052192.0</v>
      </c>
      <c r="B2020" s="9">
        <v>2825235.0</v>
      </c>
      <c r="C2020" s="9">
        <v>30391.0</v>
      </c>
      <c r="D2020" s="9" t="s">
        <v>52</v>
      </c>
      <c r="E2020" s="9" t="s">
        <v>53</v>
      </c>
      <c r="F2020" s="9">
        <v>45405.0</v>
      </c>
      <c r="G2020" s="9">
        <v>2825235.0</v>
      </c>
      <c r="H2020" s="9">
        <v>2825235.0</v>
      </c>
      <c r="I2020" s="9">
        <v>2759091.27</v>
      </c>
      <c r="J2020" s="9">
        <v>0.0</v>
      </c>
      <c r="K2020" s="9">
        <v>0.0</v>
      </c>
      <c r="L2020" s="9" t="s">
        <v>59</v>
      </c>
      <c r="M2020" s="9" t="s">
        <v>55</v>
      </c>
      <c r="N2020" s="9">
        <v>2700323.0</v>
      </c>
      <c r="O2020" s="9">
        <v>2430290.7</v>
      </c>
      <c r="P2020" s="9">
        <v>64912.0</v>
      </c>
      <c r="Q2020" s="9">
        <v>58420.8</v>
      </c>
      <c r="R2020" s="9" t="s">
        <v>60</v>
      </c>
      <c r="S2020" s="9" t="s">
        <v>57</v>
      </c>
      <c r="T2020" s="9" t="s">
        <v>61</v>
      </c>
      <c r="V2020" s="9">
        <v>2702521.49</v>
      </c>
      <c r="W2020" s="9">
        <v>0.0</v>
      </c>
      <c r="X2020" s="9">
        <v>0.0</v>
      </c>
    </row>
    <row r="2021" ht="15.75" customHeight="1">
      <c r="A2021" s="9">
        <v>2052228.0</v>
      </c>
      <c r="B2021" s="9">
        <v>1099639.0</v>
      </c>
      <c r="C2021" s="9">
        <v>30649.0</v>
      </c>
      <c r="D2021" s="9" t="s">
        <v>52</v>
      </c>
      <c r="E2021" s="9" t="s">
        <v>53</v>
      </c>
      <c r="F2021" s="9">
        <v>48704.0</v>
      </c>
      <c r="G2021" s="9">
        <v>1099639.0</v>
      </c>
      <c r="H2021" s="9">
        <v>1099639.0</v>
      </c>
      <c r="I2021" s="9">
        <v>1018398.57</v>
      </c>
      <c r="J2021" s="9">
        <v>0.0</v>
      </c>
      <c r="K2021" s="9">
        <v>0.0</v>
      </c>
      <c r="L2021" s="9" t="s">
        <v>59</v>
      </c>
      <c r="M2021" s="9" t="s">
        <v>55</v>
      </c>
      <c r="N2021" s="9">
        <v>1073843.15</v>
      </c>
      <c r="O2021" s="9">
        <v>991540.0</v>
      </c>
      <c r="R2021" s="9" t="s">
        <v>60</v>
      </c>
      <c r="S2021" s="9" t="s">
        <v>57</v>
      </c>
      <c r="T2021" s="9" t="s">
        <v>61</v>
      </c>
      <c r="V2021" s="9">
        <v>1018398.57</v>
      </c>
      <c r="W2021" s="9">
        <v>0.0</v>
      </c>
      <c r="X2021" s="9">
        <v>0.0</v>
      </c>
    </row>
    <row r="2022" ht="15.75" customHeight="1">
      <c r="A2022" s="9">
        <v>2053771.0</v>
      </c>
      <c r="B2022" s="9">
        <v>4239846.0</v>
      </c>
      <c r="C2022" s="9">
        <v>31010.0</v>
      </c>
      <c r="D2022" s="9" t="s">
        <v>52</v>
      </c>
      <c r="E2022" s="9" t="s">
        <v>53</v>
      </c>
      <c r="F2022" s="9">
        <v>55828.0</v>
      </c>
      <c r="G2022" s="9">
        <v>4239846.0</v>
      </c>
      <c r="H2022" s="9">
        <v>3938793.52</v>
      </c>
      <c r="I2022" s="9">
        <v>3938793.52</v>
      </c>
      <c r="J2022" s="9">
        <v>0.0</v>
      </c>
      <c r="K2022" s="9">
        <v>0.0</v>
      </c>
      <c r="L2022" s="9" t="s">
        <v>69</v>
      </c>
      <c r="M2022" s="9" t="s">
        <v>55</v>
      </c>
      <c r="R2022" s="9" t="s">
        <v>60</v>
      </c>
      <c r="S2022" s="9" t="s">
        <v>57</v>
      </c>
      <c r="T2022" s="9" t="s">
        <v>61</v>
      </c>
      <c r="V2022" s="9">
        <v>3938793.52</v>
      </c>
      <c r="W2022" s="9">
        <v>0.0</v>
      </c>
      <c r="X2022" s="9">
        <v>0.0</v>
      </c>
    </row>
    <row r="2023" ht="15.75" customHeight="1">
      <c r="A2023" s="9">
        <v>2053789.0</v>
      </c>
      <c r="B2023" s="9">
        <v>239209.0</v>
      </c>
      <c r="C2023" s="9">
        <v>30509.0</v>
      </c>
      <c r="D2023" s="9" t="s">
        <v>52</v>
      </c>
      <c r="E2023" s="9" t="s">
        <v>53</v>
      </c>
      <c r="F2023" s="9">
        <v>47024.0</v>
      </c>
      <c r="G2023" s="9">
        <v>239209.0</v>
      </c>
      <c r="H2023" s="9">
        <v>239209.0</v>
      </c>
      <c r="I2023" s="9">
        <v>37985.14</v>
      </c>
      <c r="J2023" s="9">
        <v>3320.0</v>
      </c>
      <c r="K2023" s="9">
        <v>3320.0</v>
      </c>
      <c r="L2023" s="9" t="s">
        <v>59</v>
      </c>
      <c r="M2023" s="9" t="s">
        <v>55</v>
      </c>
      <c r="N2023" s="9">
        <v>239209.0</v>
      </c>
      <c r="O2023" s="9">
        <v>215288.1</v>
      </c>
      <c r="P2023" s="9">
        <v>239209.0</v>
      </c>
      <c r="Q2023" s="9">
        <v>10000.0</v>
      </c>
      <c r="R2023" s="9" t="s">
        <v>75</v>
      </c>
      <c r="S2023" s="9" t="s">
        <v>57</v>
      </c>
      <c r="T2023" s="9" t="s">
        <v>76</v>
      </c>
    </row>
    <row r="2024" ht="15.75" customHeight="1">
      <c r="A2024" s="9">
        <v>2053821.0</v>
      </c>
      <c r="B2024" s="9">
        <v>3475142.0</v>
      </c>
      <c r="C2024" s="9">
        <v>29951.0</v>
      </c>
      <c r="D2024" s="9" t="s">
        <v>52</v>
      </c>
      <c r="E2024" s="9" t="s">
        <v>53</v>
      </c>
      <c r="F2024" s="9">
        <v>44787.0</v>
      </c>
      <c r="G2024" s="9">
        <v>3475141.2</v>
      </c>
      <c r="H2024" s="9">
        <v>3475141.2</v>
      </c>
      <c r="I2024" s="9">
        <v>3523048.42</v>
      </c>
      <c r="J2024" s="9">
        <v>0.0</v>
      </c>
      <c r="K2024" s="9">
        <v>0.0</v>
      </c>
      <c r="L2024" s="9" t="s">
        <v>69</v>
      </c>
      <c r="M2024" s="9" t="s">
        <v>55</v>
      </c>
      <c r="N2024" s="9">
        <v>3188203.0</v>
      </c>
      <c r="O2024" s="9">
        <v>3188203.0</v>
      </c>
      <c r="P2024" s="9">
        <v>3188203.0</v>
      </c>
      <c r="Q2024" s="9">
        <v>188545.0</v>
      </c>
      <c r="R2024" s="9" t="s">
        <v>60</v>
      </c>
      <c r="S2024" s="9" t="s">
        <v>57</v>
      </c>
      <c r="T2024" s="9" t="s">
        <v>61</v>
      </c>
      <c r="V2024" s="9">
        <v>3426052.0</v>
      </c>
      <c r="W2024" s="9">
        <v>0.0</v>
      </c>
      <c r="X2024" s="9">
        <v>0.0</v>
      </c>
    </row>
    <row r="2025" ht="15.75" customHeight="1">
      <c r="A2025" s="9">
        <v>2054264.0</v>
      </c>
      <c r="B2025" s="9">
        <v>1.342162E7</v>
      </c>
      <c r="C2025" s="9">
        <v>31090.0</v>
      </c>
      <c r="D2025" s="9" t="s">
        <v>52</v>
      </c>
      <c r="E2025" s="9" t="s">
        <v>53</v>
      </c>
      <c r="F2025" s="9">
        <v>4732.0</v>
      </c>
      <c r="G2025" s="9">
        <v>1.346082681E7</v>
      </c>
      <c r="H2025" s="9">
        <v>1.346082681E7</v>
      </c>
      <c r="I2025" s="9">
        <v>1.5871727E7</v>
      </c>
      <c r="J2025" s="9">
        <v>0.0</v>
      </c>
      <c r="K2025" s="9">
        <v>0.0</v>
      </c>
      <c r="L2025" s="9" t="s">
        <v>69</v>
      </c>
      <c r="M2025" s="9" t="s">
        <v>55</v>
      </c>
      <c r="R2025" s="9" t="s">
        <v>60</v>
      </c>
      <c r="S2025" s="9" t="s">
        <v>57</v>
      </c>
      <c r="T2025" s="9" t="s">
        <v>61</v>
      </c>
      <c r="V2025" s="9">
        <v>1.859760987E7</v>
      </c>
      <c r="W2025" s="9">
        <v>0.0</v>
      </c>
      <c r="X2025" s="9">
        <v>0.0</v>
      </c>
    </row>
    <row r="2026" ht="15.75" customHeight="1">
      <c r="A2026" s="9">
        <v>2054307.0</v>
      </c>
      <c r="B2026" s="9">
        <v>1792137.0</v>
      </c>
      <c r="C2026" s="9">
        <v>29632.0</v>
      </c>
      <c r="D2026" s="9" t="s">
        <v>52</v>
      </c>
      <c r="E2026" s="9" t="s">
        <v>53</v>
      </c>
      <c r="F2026" s="9">
        <v>53814.0</v>
      </c>
      <c r="G2026" s="9">
        <v>1792137.0</v>
      </c>
      <c r="H2026" s="9">
        <v>1792137.0</v>
      </c>
      <c r="I2026" s="9">
        <v>0.0</v>
      </c>
      <c r="J2026" s="9">
        <v>0.0</v>
      </c>
      <c r="K2026" s="9">
        <v>0.0</v>
      </c>
      <c r="L2026" s="9" t="s">
        <v>54</v>
      </c>
      <c r="M2026" s="9" t="s">
        <v>65</v>
      </c>
      <c r="N2026" s="9">
        <v>90000.0</v>
      </c>
      <c r="O2026" s="9">
        <v>81626.0</v>
      </c>
      <c r="R2026" s="9" t="s">
        <v>92</v>
      </c>
      <c r="S2026" s="9" t="s">
        <v>57</v>
      </c>
      <c r="T2026" s="9" t="s">
        <v>93</v>
      </c>
    </row>
    <row r="2027" ht="15.75" customHeight="1">
      <c r="A2027" s="9">
        <v>2054868.0</v>
      </c>
      <c r="B2027" s="9">
        <v>2978988.0</v>
      </c>
      <c r="C2027" s="9">
        <v>30489.0</v>
      </c>
      <c r="D2027" s="9" t="s">
        <v>52</v>
      </c>
      <c r="E2027" s="9" t="s">
        <v>53</v>
      </c>
      <c r="F2027" s="9">
        <v>49569.0</v>
      </c>
      <c r="G2027" s="9">
        <v>2978988.0</v>
      </c>
      <c r="H2027" s="9">
        <v>2978988.0</v>
      </c>
      <c r="I2027" s="9">
        <v>2707763.85</v>
      </c>
      <c r="J2027" s="9">
        <v>0.0</v>
      </c>
      <c r="K2027" s="9">
        <v>0.0</v>
      </c>
      <c r="L2027" s="9" t="s">
        <v>59</v>
      </c>
      <c r="M2027" s="9" t="s">
        <v>55</v>
      </c>
      <c r="N2027" s="9">
        <v>2813824.35</v>
      </c>
      <c r="O2027" s="9">
        <v>2532441.92</v>
      </c>
      <c r="P2027" s="9">
        <v>90000.0</v>
      </c>
      <c r="Q2027" s="9">
        <v>95400.0</v>
      </c>
      <c r="R2027" s="9" t="s">
        <v>60</v>
      </c>
      <c r="S2027" s="9" t="s">
        <v>57</v>
      </c>
      <c r="T2027" s="9" t="s">
        <v>61</v>
      </c>
      <c r="V2027" s="9">
        <v>2532441.91</v>
      </c>
      <c r="W2027" s="9">
        <v>104940.0</v>
      </c>
      <c r="X2027" s="9">
        <v>0.0</v>
      </c>
    </row>
    <row r="2028" ht="15.75" customHeight="1">
      <c r="A2028" s="9">
        <v>2054950.0</v>
      </c>
      <c r="B2028" s="9">
        <v>1061634.0</v>
      </c>
      <c r="C2028" s="9">
        <v>30709.0</v>
      </c>
      <c r="D2028" s="9" t="s">
        <v>52</v>
      </c>
      <c r="E2028" s="9" t="s">
        <v>53</v>
      </c>
      <c r="F2028" s="9">
        <v>54116.0</v>
      </c>
      <c r="G2028" s="9">
        <v>1826431.0</v>
      </c>
      <c r="H2028" s="9">
        <v>1826431.01</v>
      </c>
      <c r="I2028" s="9">
        <v>1826430.49</v>
      </c>
      <c r="J2028" s="9">
        <v>0.0</v>
      </c>
      <c r="K2028" s="9">
        <v>0.0</v>
      </c>
      <c r="L2028" s="9" t="s">
        <v>69</v>
      </c>
      <c r="M2028" s="9" t="s">
        <v>55</v>
      </c>
      <c r="N2028" s="9">
        <v>1753431.0</v>
      </c>
      <c r="O2028" s="9">
        <v>1753430.76</v>
      </c>
      <c r="P2028" s="9">
        <v>73000.0</v>
      </c>
      <c r="Q2028" s="9">
        <v>73000.0</v>
      </c>
      <c r="R2028" s="9" t="s">
        <v>60</v>
      </c>
      <c r="S2028" s="9" t="s">
        <v>57</v>
      </c>
      <c r="T2028" s="9" t="s">
        <v>61</v>
      </c>
      <c r="V2028" s="9">
        <v>1753431.0</v>
      </c>
      <c r="W2028" s="9">
        <v>73000.11</v>
      </c>
      <c r="X2028" s="9">
        <v>0.0</v>
      </c>
    </row>
    <row r="2029" ht="15.75" customHeight="1">
      <c r="A2029" s="9">
        <v>2056397.0</v>
      </c>
      <c r="B2029" s="9">
        <v>9989336.0</v>
      </c>
      <c r="C2029" s="9">
        <v>30879.0</v>
      </c>
      <c r="D2029" s="9" t="s">
        <v>52</v>
      </c>
      <c r="E2029" s="9" t="s">
        <v>53</v>
      </c>
      <c r="F2029" s="9">
        <v>50476.0</v>
      </c>
      <c r="G2029" s="9">
        <v>9989336.0</v>
      </c>
      <c r="H2029" s="9">
        <v>9989336.0</v>
      </c>
      <c r="I2029" s="9">
        <v>9314008.03</v>
      </c>
      <c r="J2029" s="9">
        <v>0.0</v>
      </c>
      <c r="K2029" s="9">
        <v>0.0</v>
      </c>
      <c r="L2029" s="9" t="s">
        <v>59</v>
      </c>
      <c r="M2029" s="9" t="s">
        <v>55</v>
      </c>
      <c r="N2029" s="9">
        <v>9741665.0</v>
      </c>
      <c r="O2029" s="9">
        <v>8996704.91</v>
      </c>
      <c r="P2029" s="9">
        <v>9741665.0</v>
      </c>
      <c r="Q2029" s="9">
        <v>208125.0</v>
      </c>
      <c r="R2029" s="9" t="s">
        <v>75</v>
      </c>
      <c r="S2029" s="9" t="s">
        <v>57</v>
      </c>
      <c r="T2029" s="9" t="s">
        <v>76</v>
      </c>
    </row>
    <row r="2030" ht="15.75" customHeight="1">
      <c r="A2030" s="9">
        <v>2056572.0</v>
      </c>
      <c r="B2030" s="9">
        <v>808958.0</v>
      </c>
      <c r="C2030" s="9">
        <v>31061.0</v>
      </c>
      <c r="D2030" s="9" t="s">
        <v>52</v>
      </c>
      <c r="E2030" s="9" t="s">
        <v>53</v>
      </c>
      <c r="F2030" s="9">
        <v>57330.0</v>
      </c>
      <c r="G2030" s="9">
        <v>808958.0</v>
      </c>
      <c r="H2030" s="9">
        <v>808958.0</v>
      </c>
      <c r="I2030" s="9">
        <v>732184.2</v>
      </c>
      <c r="J2030" s="9">
        <v>0.0</v>
      </c>
      <c r="K2030" s="9">
        <v>0.0</v>
      </c>
      <c r="L2030" s="9" t="s">
        <v>69</v>
      </c>
      <c r="M2030" s="9" t="s">
        <v>55</v>
      </c>
      <c r="R2030" s="9" t="s">
        <v>60</v>
      </c>
      <c r="S2030" s="9" t="s">
        <v>57</v>
      </c>
      <c r="T2030" s="9" t="s">
        <v>61</v>
      </c>
      <c r="V2030" s="9">
        <v>803459.2</v>
      </c>
      <c r="W2030" s="9">
        <v>0.0</v>
      </c>
      <c r="X2030" s="9">
        <v>0.0</v>
      </c>
    </row>
    <row r="2031" ht="15.75" customHeight="1">
      <c r="A2031" s="9">
        <v>2057472.0</v>
      </c>
      <c r="B2031" s="9">
        <v>7906247.0</v>
      </c>
      <c r="C2031" s="9">
        <v>30426.0</v>
      </c>
      <c r="D2031" s="9" t="s">
        <v>52</v>
      </c>
      <c r="E2031" s="9" t="s">
        <v>53</v>
      </c>
      <c r="F2031" s="9">
        <v>53481.0</v>
      </c>
      <c r="G2031" s="9">
        <v>8981427.33</v>
      </c>
      <c r="H2031" s="9">
        <v>8981427.33</v>
      </c>
      <c r="I2031" s="9">
        <v>8969044.91</v>
      </c>
      <c r="J2031" s="9">
        <v>0.0</v>
      </c>
      <c r="K2031" s="9">
        <v>0.0</v>
      </c>
      <c r="L2031" s="9" t="s">
        <v>69</v>
      </c>
      <c r="M2031" s="9" t="s">
        <v>55</v>
      </c>
      <c r="N2031" s="9">
        <v>7160586.1</v>
      </c>
      <c r="O2031" s="9">
        <v>7160586.1</v>
      </c>
      <c r="P2031" s="9">
        <v>275035.2</v>
      </c>
      <c r="Q2031" s="9">
        <v>275035.2</v>
      </c>
      <c r="R2031" s="9" t="s">
        <v>60</v>
      </c>
      <c r="S2031" s="9" t="s">
        <v>57</v>
      </c>
      <c r="T2031" s="9" t="s">
        <v>61</v>
      </c>
      <c r="V2031" s="9">
        <v>8981427.33</v>
      </c>
      <c r="W2031" s="9">
        <v>275035.2</v>
      </c>
      <c r="X2031" s="9">
        <v>0.0</v>
      </c>
    </row>
    <row r="2032" ht="15.75" customHeight="1">
      <c r="A2032" s="9">
        <v>2059012.0</v>
      </c>
      <c r="B2032" s="9">
        <v>7152722.0</v>
      </c>
      <c r="C2032" s="9">
        <v>29558.0</v>
      </c>
      <c r="D2032" s="9" t="s">
        <v>52</v>
      </c>
      <c r="E2032" s="9" t="s">
        <v>53</v>
      </c>
      <c r="F2032" s="9">
        <v>73990.0</v>
      </c>
      <c r="G2032" s="9">
        <v>6731714.08</v>
      </c>
      <c r="H2032" s="9">
        <v>6731714.08</v>
      </c>
      <c r="I2032" s="9">
        <v>23999.9</v>
      </c>
      <c r="J2032" s="9">
        <v>0.0</v>
      </c>
      <c r="K2032" s="9">
        <v>0.0</v>
      </c>
      <c r="L2032" s="9" t="s">
        <v>69</v>
      </c>
      <c r="M2032" s="9" t="s">
        <v>65</v>
      </c>
      <c r="N2032" s="9">
        <v>34034.0</v>
      </c>
      <c r="O2032" s="9">
        <v>28600.0</v>
      </c>
      <c r="R2032" s="9" t="s">
        <v>92</v>
      </c>
      <c r="S2032" s="9" t="s">
        <v>57</v>
      </c>
      <c r="T2032" s="9" t="s">
        <v>93</v>
      </c>
    </row>
    <row r="2033" ht="15.75" customHeight="1">
      <c r="A2033" s="9">
        <v>2059966.0</v>
      </c>
      <c r="B2033" s="9">
        <v>2.7108208E7</v>
      </c>
      <c r="C2033" s="9">
        <v>31954.0</v>
      </c>
      <c r="D2033" s="9" t="s">
        <v>52</v>
      </c>
      <c r="E2033" s="9" t="s">
        <v>53</v>
      </c>
      <c r="F2033" s="9">
        <v>30294.0</v>
      </c>
      <c r="G2033" s="9">
        <v>3.73675398E7</v>
      </c>
      <c r="H2033" s="9">
        <v>3.73675398E7</v>
      </c>
      <c r="I2033" s="9">
        <v>3.67397504E7</v>
      </c>
      <c r="J2033" s="9">
        <v>0.0</v>
      </c>
      <c r="K2033" s="9">
        <v>37691.0</v>
      </c>
      <c r="L2033" s="9" t="s">
        <v>59</v>
      </c>
      <c r="M2033" s="9" t="s">
        <v>62</v>
      </c>
      <c r="N2033" s="9">
        <v>3459052.85</v>
      </c>
      <c r="O2033" s="9">
        <v>3459052.85</v>
      </c>
      <c r="P2033" s="9">
        <v>146556.0</v>
      </c>
      <c r="Q2033" s="9">
        <v>146556.0</v>
      </c>
      <c r="R2033" s="9" t="s">
        <v>56</v>
      </c>
      <c r="S2033" s="9" t="s">
        <v>57</v>
      </c>
      <c r="T2033" s="9" t="s">
        <v>58</v>
      </c>
      <c r="V2033" s="9">
        <v>4390091.84</v>
      </c>
      <c r="W2033" s="9">
        <v>0.0</v>
      </c>
      <c r="X2033" s="9">
        <v>0.0</v>
      </c>
    </row>
    <row r="2034" ht="15.75" customHeight="1">
      <c r="A2034" s="9">
        <v>2059991.0</v>
      </c>
      <c r="B2034" s="9">
        <v>1245061.0</v>
      </c>
      <c r="C2034" s="9">
        <v>30995.0</v>
      </c>
      <c r="D2034" s="9" t="s">
        <v>52</v>
      </c>
      <c r="E2034" s="9" t="s">
        <v>53</v>
      </c>
      <c r="F2034" s="9">
        <v>65674.0</v>
      </c>
      <c r="G2034" s="9">
        <v>1245061.0</v>
      </c>
      <c r="H2034" s="9">
        <v>1245061.0</v>
      </c>
      <c r="I2034" s="9">
        <v>984675.03</v>
      </c>
      <c r="J2034" s="9">
        <v>0.0</v>
      </c>
      <c r="K2034" s="9">
        <v>0.0</v>
      </c>
      <c r="L2034" s="9" t="s">
        <v>69</v>
      </c>
      <c r="M2034" s="9" t="s">
        <v>55</v>
      </c>
      <c r="R2034" s="9" t="s">
        <v>60</v>
      </c>
      <c r="S2034" s="9" t="s">
        <v>57</v>
      </c>
      <c r="T2034" s="9" t="s">
        <v>61</v>
      </c>
      <c r="V2034" s="9">
        <v>984675.03</v>
      </c>
      <c r="W2034" s="9">
        <v>0.0</v>
      </c>
      <c r="X2034" s="9">
        <v>0.0</v>
      </c>
    </row>
    <row r="2035" ht="15.75" customHeight="1">
      <c r="A2035" s="9">
        <v>2062127.0</v>
      </c>
      <c r="B2035" s="9">
        <v>943142.0</v>
      </c>
      <c r="C2035" s="9">
        <v>30521.0</v>
      </c>
      <c r="D2035" s="9" t="s">
        <v>52</v>
      </c>
      <c r="E2035" s="9" t="s">
        <v>53</v>
      </c>
      <c r="F2035" s="9">
        <v>38340.0</v>
      </c>
      <c r="G2035" s="9">
        <v>922196.09</v>
      </c>
      <c r="H2035" s="9">
        <v>922196.09</v>
      </c>
      <c r="I2035" s="9">
        <v>0.0</v>
      </c>
      <c r="J2035" s="9">
        <v>0.0</v>
      </c>
      <c r="K2035" s="9">
        <v>0.0</v>
      </c>
      <c r="L2035" s="9" t="s">
        <v>54</v>
      </c>
      <c r="M2035" s="9" t="s">
        <v>55</v>
      </c>
      <c r="N2035" s="9">
        <v>968574.0</v>
      </c>
      <c r="O2035" s="9">
        <v>1018824.07</v>
      </c>
      <c r="R2035" s="9" t="s">
        <v>60</v>
      </c>
      <c r="S2035" s="9" t="s">
        <v>57</v>
      </c>
      <c r="T2035" s="9" t="s">
        <v>61</v>
      </c>
      <c r="V2035" s="9">
        <v>1030055.56</v>
      </c>
      <c r="W2035" s="9">
        <v>0.0</v>
      </c>
      <c r="X2035" s="9">
        <v>0.0</v>
      </c>
    </row>
    <row r="2036" ht="15.75" customHeight="1">
      <c r="A2036" s="9">
        <v>2229795.0</v>
      </c>
      <c r="B2036" s="9">
        <v>1225303.0</v>
      </c>
      <c r="C2036" s="9">
        <v>30175.0</v>
      </c>
      <c r="D2036" s="9" t="s">
        <v>52</v>
      </c>
      <c r="E2036" s="9" t="s">
        <v>53</v>
      </c>
      <c r="F2036" s="9">
        <v>47317.0</v>
      </c>
      <c r="G2036" s="9">
        <v>1225303.0</v>
      </c>
      <c r="H2036" s="9">
        <v>1225303.0</v>
      </c>
      <c r="I2036" s="9">
        <v>0.0</v>
      </c>
      <c r="J2036" s="9">
        <v>0.0</v>
      </c>
      <c r="K2036" s="9">
        <v>0.0</v>
      </c>
      <c r="L2036" s="9" t="s">
        <v>69</v>
      </c>
      <c r="M2036" s="9" t="s">
        <v>55</v>
      </c>
      <c r="N2036" s="9">
        <v>1376798.73</v>
      </c>
      <c r="O2036" s="9">
        <v>1239118.86</v>
      </c>
      <c r="P2036" s="9">
        <v>45000.0</v>
      </c>
      <c r="Q2036" s="9">
        <v>45000.0</v>
      </c>
      <c r="R2036" s="9" t="s">
        <v>60</v>
      </c>
      <c r="S2036" s="9" t="s">
        <v>57</v>
      </c>
      <c r="T2036" s="9" t="s">
        <v>61</v>
      </c>
      <c r="V2036" s="9">
        <v>1285157.66</v>
      </c>
      <c r="W2036" s="9">
        <v>66000.0</v>
      </c>
      <c r="X2036" s="9">
        <v>0.0</v>
      </c>
    </row>
    <row r="2037" ht="15.75" customHeight="1">
      <c r="A2037" s="9">
        <v>2231903.0</v>
      </c>
      <c r="B2037" s="9">
        <v>1932882.0</v>
      </c>
      <c r="C2037" s="9">
        <v>30385.0</v>
      </c>
      <c r="D2037" s="9" t="s">
        <v>52</v>
      </c>
      <c r="E2037" s="9" t="s">
        <v>53</v>
      </c>
      <c r="F2037" s="9">
        <v>11149.0</v>
      </c>
      <c r="G2037" s="9">
        <v>1932882.0</v>
      </c>
      <c r="H2037" s="9">
        <v>1932882.0</v>
      </c>
      <c r="I2037" s="9">
        <v>0.0</v>
      </c>
      <c r="J2037" s="9">
        <v>0.0</v>
      </c>
      <c r="K2037" s="9">
        <v>0.0</v>
      </c>
      <c r="L2037" s="9" t="s">
        <v>54</v>
      </c>
      <c r="M2037" s="9" t="s">
        <v>55</v>
      </c>
      <c r="N2037" s="9">
        <v>491000.0</v>
      </c>
      <c r="O2037" s="9">
        <v>441900.0</v>
      </c>
      <c r="P2037" s="9">
        <v>9000.0</v>
      </c>
      <c r="Q2037" s="9">
        <v>8370.0</v>
      </c>
      <c r="R2037" s="9" t="s">
        <v>60</v>
      </c>
      <c r="S2037" s="9" t="s">
        <v>57</v>
      </c>
      <c r="T2037" s="9" t="s">
        <v>61</v>
      </c>
      <c r="V2037" s="9">
        <v>445342.43</v>
      </c>
      <c r="W2037" s="9">
        <v>0.0</v>
      </c>
      <c r="X2037" s="9">
        <v>0.0</v>
      </c>
    </row>
    <row r="2038" ht="15.75" customHeight="1">
      <c r="A2038" s="9">
        <v>2232276.0</v>
      </c>
      <c r="B2038" s="9">
        <v>836069.0</v>
      </c>
      <c r="C2038" s="9">
        <v>30168.0</v>
      </c>
      <c r="D2038" s="9" t="s">
        <v>52</v>
      </c>
      <c r="E2038" s="9" t="s">
        <v>53</v>
      </c>
      <c r="F2038" s="9">
        <v>18719.0</v>
      </c>
      <c r="G2038" s="9">
        <v>836069.0</v>
      </c>
      <c r="H2038" s="9">
        <v>836069.0</v>
      </c>
      <c r="I2038" s="9">
        <v>0.0</v>
      </c>
      <c r="J2038" s="9">
        <v>0.0</v>
      </c>
      <c r="K2038" s="9">
        <v>0.0</v>
      </c>
      <c r="L2038" s="9" t="s">
        <v>54</v>
      </c>
      <c r="M2038" s="9" t="s">
        <v>55</v>
      </c>
      <c r="N2038" s="9">
        <v>836069.0</v>
      </c>
      <c r="O2038" s="9">
        <v>836069.0</v>
      </c>
      <c r="R2038" s="9" t="s">
        <v>60</v>
      </c>
      <c r="S2038" s="9" t="s">
        <v>57</v>
      </c>
      <c r="T2038" s="9" t="s">
        <v>61</v>
      </c>
      <c r="V2038" s="9">
        <v>836069.0</v>
      </c>
      <c r="W2038" s="9">
        <v>40644.45</v>
      </c>
      <c r="X2038" s="9">
        <v>0.0</v>
      </c>
    </row>
    <row r="2039" ht="15.75" customHeight="1">
      <c r="A2039" s="9">
        <v>2235177.0</v>
      </c>
      <c r="B2039" s="9">
        <v>7988971.0</v>
      </c>
      <c r="C2039" s="9">
        <v>32038.0</v>
      </c>
      <c r="D2039" s="9" t="s">
        <v>52</v>
      </c>
      <c r="E2039" s="9" t="s">
        <v>53</v>
      </c>
      <c r="F2039" s="9">
        <v>268963.0</v>
      </c>
      <c r="G2039" s="9">
        <v>5535120.24</v>
      </c>
      <c r="H2039" s="9">
        <v>5973653.38</v>
      </c>
      <c r="I2039" s="9">
        <v>5906848.16</v>
      </c>
      <c r="J2039" s="9">
        <v>0.0</v>
      </c>
      <c r="K2039" s="9">
        <v>0.0</v>
      </c>
      <c r="L2039" s="9" t="s">
        <v>69</v>
      </c>
      <c r="M2039" s="9" t="s">
        <v>55</v>
      </c>
      <c r="R2039" s="9" t="s">
        <v>56</v>
      </c>
      <c r="S2039" s="9" t="s">
        <v>57</v>
      </c>
      <c r="T2039" s="9" t="s">
        <v>58</v>
      </c>
      <c r="V2039" s="9">
        <v>4327360.0</v>
      </c>
      <c r="W2039" s="9">
        <v>0.0</v>
      </c>
      <c r="X2039" s="9">
        <v>0.0</v>
      </c>
    </row>
    <row r="2040" ht="15.75" customHeight="1">
      <c r="A2040" s="9">
        <v>2235781.0</v>
      </c>
      <c r="B2040" s="9">
        <v>2245961.0</v>
      </c>
      <c r="C2040" s="9">
        <v>31454.0</v>
      </c>
      <c r="D2040" s="9" t="s">
        <v>52</v>
      </c>
      <c r="E2040" s="9" t="s">
        <v>53</v>
      </c>
      <c r="F2040" s="9">
        <v>279730.0</v>
      </c>
      <c r="G2040" s="9">
        <v>2245961.0</v>
      </c>
      <c r="H2040" s="9">
        <v>2245961.0</v>
      </c>
      <c r="I2040" s="9">
        <v>0.0</v>
      </c>
      <c r="J2040" s="9">
        <v>0.0</v>
      </c>
      <c r="K2040" s="9">
        <v>0.0</v>
      </c>
      <c r="L2040" s="9" t="s">
        <v>54</v>
      </c>
      <c r="M2040" s="9" t="s">
        <v>65</v>
      </c>
      <c r="N2040" s="9">
        <v>200000.0</v>
      </c>
      <c r="O2040" s="9">
        <v>200000.0</v>
      </c>
      <c r="P2040" s="9">
        <v>20000.0</v>
      </c>
      <c r="Q2040" s="9">
        <v>20000.0</v>
      </c>
      <c r="R2040" s="9" t="s">
        <v>60</v>
      </c>
      <c r="S2040" s="9" t="s">
        <v>57</v>
      </c>
      <c r="T2040" s="9" t="s">
        <v>61</v>
      </c>
      <c r="V2040" s="9">
        <v>200000.0</v>
      </c>
      <c r="W2040" s="9">
        <v>20000.0</v>
      </c>
    </row>
    <row r="2041" ht="15.75" customHeight="1">
      <c r="A2041" s="9">
        <v>2242540.0</v>
      </c>
      <c r="B2041" s="9">
        <v>1605148.0</v>
      </c>
      <c r="C2041" s="9">
        <v>40097.0</v>
      </c>
      <c r="D2041" s="9" t="s">
        <v>52</v>
      </c>
      <c r="E2041" s="9" t="s">
        <v>53</v>
      </c>
      <c r="F2041" s="9">
        <v>285975.0</v>
      </c>
      <c r="G2041" s="9">
        <v>2466276.47</v>
      </c>
      <c r="H2041" s="9">
        <v>2477215.91</v>
      </c>
      <c r="I2041" s="9">
        <v>2421692.62</v>
      </c>
      <c r="J2041" s="9">
        <v>0.0</v>
      </c>
      <c r="K2041" s="9">
        <v>0.0</v>
      </c>
      <c r="L2041" s="9" t="s">
        <v>69</v>
      </c>
      <c r="M2041" s="9" t="s">
        <v>55</v>
      </c>
      <c r="N2041" s="9">
        <v>2351776.0</v>
      </c>
      <c r="O2041" s="9">
        <v>2351776.0</v>
      </c>
      <c r="R2041" s="9" t="s">
        <v>63</v>
      </c>
      <c r="S2041" s="9" t="s">
        <v>63</v>
      </c>
    </row>
    <row r="2042" ht="15.75" customHeight="1">
      <c r="A2042" s="9">
        <v>2267208.0</v>
      </c>
      <c r="B2042" s="9">
        <v>5563455.0</v>
      </c>
      <c r="C2042" s="9">
        <v>46868.0</v>
      </c>
      <c r="D2042" s="9" t="s">
        <v>52</v>
      </c>
      <c r="E2042" s="9" t="s">
        <v>53</v>
      </c>
      <c r="F2042" s="9">
        <v>318277.0</v>
      </c>
      <c r="G2042" s="9">
        <v>5217209.33</v>
      </c>
      <c r="H2042" s="9">
        <v>5339233.0</v>
      </c>
      <c r="I2042" s="9">
        <v>2520694.06</v>
      </c>
      <c r="J2042" s="9">
        <v>2500.0</v>
      </c>
      <c r="K2042" s="9">
        <v>53750.0</v>
      </c>
      <c r="L2042" s="9" t="s">
        <v>59</v>
      </c>
      <c r="M2042" s="9" t="s">
        <v>62</v>
      </c>
      <c r="N2042" s="9">
        <v>4289703.91</v>
      </c>
      <c r="O2042" s="9">
        <v>4203909.83</v>
      </c>
      <c r="P2042" s="9">
        <v>129675.0</v>
      </c>
      <c r="Q2042" s="9">
        <v>129375.0</v>
      </c>
      <c r="R2042" s="9" t="s">
        <v>77</v>
      </c>
      <c r="S2042" s="9" t="s">
        <v>78</v>
      </c>
      <c r="T2042" s="9" t="s">
        <v>79</v>
      </c>
      <c r="U2042" s="9" t="s">
        <v>80</v>
      </c>
    </row>
    <row r="2043" ht="15.75" customHeight="1">
      <c r="A2043" s="9">
        <v>2278597.0</v>
      </c>
      <c r="B2043" s="9">
        <v>1.1097518E7</v>
      </c>
      <c r="C2043" s="9">
        <v>40610.0</v>
      </c>
      <c r="D2043" s="9" t="s">
        <v>52</v>
      </c>
      <c r="E2043" s="9" t="s">
        <v>53</v>
      </c>
      <c r="F2043" s="9">
        <v>323194.0</v>
      </c>
      <c r="G2043" s="9">
        <v>1.405961127E7</v>
      </c>
      <c r="H2043" s="9">
        <v>1.3348803E7</v>
      </c>
      <c r="I2043" s="9">
        <v>1.339589613E7</v>
      </c>
      <c r="J2043" s="9">
        <v>0.0</v>
      </c>
      <c r="K2043" s="9">
        <v>0.0</v>
      </c>
      <c r="L2043" s="9" t="s">
        <v>59</v>
      </c>
      <c r="M2043" s="9" t="s">
        <v>55</v>
      </c>
      <c r="N2043" s="9">
        <v>1.329774589E7</v>
      </c>
      <c r="O2043" s="9">
        <v>1.323767521E7</v>
      </c>
      <c r="P2043" s="9">
        <v>398932.38</v>
      </c>
      <c r="Q2043" s="9">
        <v>398930.0</v>
      </c>
      <c r="R2043" s="9" t="s">
        <v>56</v>
      </c>
      <c r="S2043" s="9" t="s">
        <v>57</v>
      </c>
      <c r="T2043" s="9" t="s">
        <v>58</v>
      </c>
      <c r="V2043" s="9">
        <v>1.305481211E7</v>
      </c>
      <c r="W2043" s="9">
        <v>0.0</v>
      </c>
      <c r="X2043" s="9">
        <v>0.0</v>
      </c>
    </row>
    <row r="2044" ht="15.75" customHeight="1">
      <c r="A2044" s="9">
        <v>2286058.0</v>
      </c>
      <c r="B2044" s="9">
        <v>6.4570676E7</v>
      </c>
      <c r="C2044" s="9">
        <v>46825.0</v>
      </c>
      <c r="D2044" s="9" t="s">
        <v>52</v>
      </c>
      <c r="E2044" s="9" t="s">
        <v>64</v>
      </c>
      <c r="F2044" s="9">
        <v>291425.0</v>
      </c>
      <c r="G2044" s="9">
        <v>7.550577883E7</v>
      </c>
      <c r="H2044" s="9">
        <v>1.0778831291E8</v>
      </c>
      <c r="I2044" s="9">
        <v>6.923286725E7</v>
      </c>
      <c r="J2044" s="9">
        <v>351095.4</v>
      </c>
      <c r="K2044" s="9">
        <v>483052.0</v>
      </c>
      <c r="L2044" s="9" t="s">
        <v>59</v>
      </c>
      <c r="M2044" s="9" t="s">
        <v>74</v>
      </c>
      <c r="N2044" s="9">
        <v>0.0</v>
      </c>
      <c r="O2044" s="9">
        <v>0.0</v>
      </c>
      <c r="R2044" s="9" t="s">
        <v>127</v>
      </c>
      <c r="S2044" s="9" t="s">
        <v>57</v>
      </c>
      <c r="T2044" s="9" t="s">
        <v>128</v>
      </c>
    </row>
    <row r="2045" ht="15.75" customHeight="1">
      <c r="A2045" s="9">
        <v>2286058.0</v>
      </c>
      <c r="B2045" s="9">
        <v>6.4570676E7</v>
      </c>
      <c r="C2045" s="9">
        <v>40108.0</v>
      </c>
      <c r="D2045" s="9" t="s">
        <v>52</v>
      </c>
      <c r="E2045" s="9" t="s">
        <v>52</v>
      </c>
      <c r="F2045" s="9">
        <v>291425.0</v>
      </c>
      <c r="G2045" s="9">
        <v>7.550577883E7</v>
      </c>
      <c r="H2045" s="9">
        <v>1.0778831291E8</v>
      </c>
      <c r="I2045" s="9">
        <v>6.923286725E7</v>
      </c>
      <c r="J2045" s="9">
        <v>351095.4</v>
      </c>
      <c r="K2045" s="9">
        <v>483052.0</v>
      </c>
      <c r="L2045" s="9" t="s">
        <v>59</v>
      </c>
      <c r="M2045" s="9" t="s">
        <v>55</v>
      </c>
      <c r="N2045" s="9">
        <v>2.581744901E7</v>
      </c>
      <c r="O2045" s="9">
        <v>2.550763964E7</v>
      </c>
      <c r="P2045" s="9">
        <v>1574865.94</v>
      </c>
      <c r="Q2045" s="9">
        <v>1558079.08</v>
      </c>
      <c r="R2045" s="9" t="s">
        <v>115</v>
      </c>
      <c r="S2045" s="9" t="s">
        <v>115</v>
      </c>
      <c r="V2045" s="9">
        <v>2.614793209E7</v>
      </c>
      <c r="W2045" s="9">
        <v>1731056.95</v>
      </c>
      <c r="X2045" s="9">
        <v>0.0</v>
      </c>
    </row>
    <row r="2046" ht="15.75" customHeight="1">
      <c r="A2046" s="9">
        <v>2286285.0</v>
      </c>
      <c r="B2046" s="9">
        <v>289515.0</v>
      </c>
      <c r="C2046" s="9">
        <v>39839.0</v>
      </c>
      <c r="D2046" s="9" t="s">
        <v>52</v>
      </c>
      <c r="E2046" s="9" t="s">
        <v>53</v>
      </c>
      <c r="F2046" s="9">
        <v>328264.0</v>
      </c>
      <c r="G2046" s="9">
        <v>387474.0</v>
      </c>
      <c r="H2046" s="9">
        <v>387474.0</v>
      </c>
      <c r="I2046" s="9">
        <v>387474.0</v>
      </c>
      <c r="J2046" s="9">
        <v>0.0</v>
      </c>
      <c r="K2046" s="9">
        <v>0.0</v>
      </c>
      <c r="L2046" s="9" t="s">
        <v>59</v>
      </c>
      <c r="M2046" s="9" t="s">
        <v>55</v>
      </c>
      <c r="N2046" s="9">
        <v>363974.0</v>
      </c>
      <c r="O2046" s="9">
        <v>363974.0</v>
      </c>
      <c r="P2046" s="9">
        <v>0.0</v>
      </c>
      <c r="Q2046" s="9">
        <v>12000.0</v>
      </c>
      <c r="R2046" s="9" t="s">
        <v>60</v>
      </c>
      <c r="S2046" s="9" t="s">
        <v>57</v>
      </c>
      <c r="T2046" s="9" t="s">
        <v>61</v>
      </c>
      <c r="V2046" s="9">
        <v>363974.0</v>
      </c>
      <c r="W2046" s="9">
        <v>12000.0</v>
      </c>
      <c r="X2046" s="9">
        <v>0.0</v>
      </c>
    </row>
    <row r="2047" ht="15.75" customHeight="1">
      <c r="A2047" s="9">
        <v>2296747.0</v>
      </c>
      <c r="B2047" s="9">
        <v>2825229.0</v>
      </c>
      <c r="C2047" s="9">
        <v>36970.0</v>
      </c>
      <c r="D2047" s="9" t="s">
        <v>52</v>
      </c>
      <c r="E2047" s="9" t="s">
        <v>53</v>
      </c>
      <c r="F2047" s="9">
        <v>331717.0</v>
      </c>
      <c r="G2047" s="9">
        <v>2161929.37</v>
      </c>
      <c r="H2047" s="9">
        <v>2161929.37</v>
      </c>
      <c r="I2047" s="9">
        <v>1904900.02</v>
      </c>
      <c r="J2047" s="9">
        <v>0.0</v>
      </c>
      <c r="K2047" s="9">
        <v>0.0</v>
      </c>
      <c r="L2047" s="9" t="s">
        <v>59</v>
      </c>
      <c r="M2047" s="9" t="s">
        <v>55</v>
      </c>
      <c r="N2047" s="9">
        <v>2098960.0</v>
      </c>
      <c r="O2047" s="9">
        <v>1778780.13</v>
      </c>
      <c r="P2047" s="9">
        <v>62969.0</v>
      </c>
      <c r="Q2047" s="9">
        <v>58699.91</v>
      </c>
      <c r="R2047" s="9" t="s">
        <v>72</v>
      </c>
      <c r="S2047" s="9" t="s">
        <v>57</v>
      </c>
      <c r="T2047" s="9" t="s">
        <v>73</v>
      </c>
      <c r="V2047" s="9">
        <v>1847556.02</v>
      </c>
      <c r="W2047" s="9">
        <v>0.0</v>
      </c>
      <c r="X2047" s="9">
        <v>0.0</v>
      </c>
    </row>
    <row r="2048" ht="15.75" customHeight="1">
      <c r="A2048" s="9">
        <v>2300357.0</v>
      </c>
      <c r="B2048" s="9">
        <v>1.9012365E7</v>
      </c>
      <c r="C2048" s="9">
        <v>38495.0</v>
      </c>
      <c r="D2048" s="9" t="s">
        <v>52</v>
      </c>
      <c r="E2048" s="9" t="s">
        <v>64</v>
      </c>
      <c r="F2048" s="9">
        <v>336091.0</v>
      </c>
      <c r="G2048" s="9">
        <v>2.028732758E7</v>
      </c>
      <c r="H2048" s="9">
        <v>2.329506431E7</v>
      </c>
      <c r="I2048" s="9">
        <v>2694922.95</v>
      </c>
      <c r="J2048" s="9">
        <v>7500.0</v>
      </c>
      <c r="K2048" s="9">
        <v>730000.0</v>
      </c>
      <c r="L2048" s="9" t="s">
        <v>59</v>
      </c>
      <c r="M2048" s="9" t="s">
        <v>65</v>
      </c>
      <c r="N2048" s="9">
        <v>2214010.63</v>
      </c>
      <c r="O2048" s="9">
        <v>1992609.57</v>
      </c>
      <c r="R2048" s="9" t="s">
        <v>85</v>
      </c>
      <c r="S2048" s="9" t="s">
        <v>67</v>
      </c>
      <c r="T2048" s="9" t="s">
        <v>86</v>
      </c>
    </row>
    <row r="2049" ht="15.75" customHeight="1">
      <c r="A2049" s="9">
        <v>2300430.0</v>
      </c>
      <c r="B2049" s="9">
        <v>4229341.0</v>
      </c>
      <c r="C2049" s="9">
        <v>44245.0</v>
      </c>
      <c r="D2049" s="9" t="s">
        <v>52</v>
      </c>
      <c r="E2049" s="9" t="s">
        <v>53</v>
      </c>
      <c r="F2049" s="9">
        <v>336643.0</v>
      </c>
      <c r="G2049" s="9">
        <v>3338826.17</v>
      </c>
      <c r="H2049" s="9">
        <v>3148009.71</v>
      </c>
      <c r="I2049" s="9">
        <v>3148009.71</v>
      </c>
      <c r="J2049" s="9">
        <v>0.0</v>
      </c>
      <c r="K2049" s="9">
        <v>0.0</v>
      </c>
      <c r="L2049" s="9" t="s">
        <v>59</v>
      </c>
      <c r="M2049" s="9" t="s">
        <v>55</v>
      </c>
      <c r="N2049" s="9">
        <v>3635676.3</v>
      </c>
      <c r="O2049" s="9">
        <v>2772973.45</v>
      </c>
      <c r="P2049" s="9">
        <v>94400.0</v>
      </c>
      <c r="Q2049" s="9">
        <v>72000.0</v>
      </c>
      <c r="R2049" s="9" t="s">
        <v>56</v>
      </c>
      <c r="S2049" s="9" t="s">
        <v>57</v>
      </c>
      <c r="T2049" s="9" t="s">
        <v>58</v>
      </c>
      <c r="V2049" s="9">
        <v>3051049.71</v>
      </c>
      <c r="W2049" s="9">
        <v>84960.0</v>
      </c>
      <c r="X2049" s="9">
        <v>0.0</v>
      </c>
    </row>
    <row r="2050" ht="15.75" customHeight="1">
      <c r="A2050" s="9">
        <v>2301970.0</v>
      </c>
      <c r="B2050" s="9">
        <v>4547741.0</v>
      </c>
      <c r="C2050" s="9">
        <v>45861.0</v>
      </c>
      <c r="D2050" s="9" t="s">
        <v>52</v>
      </c>
      <c r="E2050" s="9" t="s">
        <v>53</v>
      </c>
      <c r="F2050" s="9">
        <v>341369.0</v>
      </c>
      <c r="G2050" s="9">
        <v>1.05082282E7</v>
      </c>
      <c r="H2050" s="9">
        <v>1.142533884E7</v>
      </c>
      <c r="I2050" s="9">
        <v>1.12724898E7</v>
      </c>
      <c r="J2050" s="9">
        <v>0.0</v>
      </c>
      <c r="K2050" s="9">
        <v>0.0</v>
      </c>
      <c r="L2050" s="9" t="s">
        <v>59</v>
      </c>
      <c r="M2050" s="9" t="s">
        <v>62</v>
      </c>
      <c r="P2050" s="9">
        <v>367293.9</v>
      </c>
      <c r="Q2050" s="9">
        <v>330564.51</v>
      </c>
      <c r="R2050" s="9" t="s">
        <v>60</v>
      </c>
      <c r="S2050" s="9" t="s">
        <v>57</v>
      </c>
      <c r="T2050" s="9" t="s">
        <v>61</v>
      </c>
      <c r="V2050" s="9">
        <v>1.006033132E7</v>
      </c>
      <c r="W2050" s="9">
        <v>367184.34</v>
      </c>
      <c r="X2050" s="9">
        <v>0.0</v>
      </c>
    </row>
    <row r="2051" ht="15.75" customHeight="1">
      <c r="A2051" s="9">
        <v>2303165.0</v>
      </c>
      <c r="B2051" s="9">
        <v>4964786.0</v>
      </c>
      <c r="C2051" s="9">
        <v>44257.0</v>
      </c>
      <c r="D2051" s="9" t="s">
        <v>52</v>
      </c>
      <c r="E2051" s="9" t="s">
        <v>53</v>
      </c>
      <c r="F2051" s="9">
        <v>266545.0</v>
      </c>
      <c r="G2051" s="9">
        <v>1.879422615E7</v>
      </c>
      <c r="H2051" s="9">
        <v>2.084490384E7</v>
      </c>
      <c r="I2051" s="9">
        <v>1.92888512E7</v>
      </c>
      <c r="J2051" s="9">
        <v>0.0</v>
      </c>
      <c r="K2051" s="9">
        <v>0.0</v>
      </c>
      <c r="L2051" s="9" t="s">
        <v>59</v>
      </c>
      <c r="M2051" s="9" t="s">
        <v>55</v>
      </c>
      <c r="N2051" s="9">
        <v>1.841667958E7</v>
      </c>
      <c r="O2051" s="9">
        <v>1.838336536E7</v>
      </c>
      <c r="P2051" s="9">
        <v>736667.18</v>
      </c>
      <c r="Q2051" s="9">
        <v>736667.18</v>
      </c>
      <c r="R2051" s="9" t="s">
        <v>56</v>
      </c>
      <c r="S2051" s="9" t="s">
        <v>57</v>
      </c>
      <c r="T2051" s="9" t="s">
        <v>58</v>
      </c>
      <c r="V2051" s="9">
        <v>1.813498355E7</v>
      </c>
      <c r="W2051" s="9">
        <v>891016.41</v>
      </c>
      <c r="X2051" s="9">
        <v>0.0</v>
      </c>
    </row>
    <row r="2052" ht="15.75" customHeight="1">
      <c r="A2052" s="9">
        <v>2305680.0</v>
      </c>
      <c r="B2052" s="9">
        <v>6570786.0</v>
      </c>
      <c r="C2052" s="9">
        <v>42858.0</v>
      </c>
      <c r="D2052" s="9" t="s">
        <v>52</v>
      </c>
      <c r="E2052" s="9" t="s">
        <v>87</v>
      </c>
      <c r="F2052" s="9">
        <v>344425.0</v>
      </c>
      <c r="H2052" s="9">
        <v>9472014.4</v>
      </c>
      <c r="I2052" s="9">
        <v>185463.19</v>
      </c>
      <c r="J2052" s="9">
        <v>0.0</v>
      </c>
      <c r="K2052" s="9">
        <v>0.0</v>
      </c>
      <c r="L2052" s="9" t="s">
        <v>59</v>
      </c>
      <c r="M2052" s="9" t="s">
        <v>65</v>
      </c>
      <c r="R2052" s="9" t="s">
        <v>66</v>
      </c>
      <c r="S2052" s="9" t="s">
        <v>67</v>
      </c>
      <c r="T2052" s="9" t="s">
        <v>68</v>
      </c>
    </row>
    <row r="2053" ht="15.75" customHeight="1">
      <c r="A2053" s="9">
        <v>2306039.0</v>
      </c>
      <c r="B2053" s="9">
        <v>5773849.0</v>
      </c>
      <c r="C2053" s="9">
        <v>39594.0</v>
      </c>
      <c r="D2053" s="9" t="s">
        <v>52</v>
      </c>
      <c r="E2053" s="9" t="s">
        <v>53</v>
      </c>
      <c r="F2053" s="9">
        <v>344743.0</v>
      </c>
      <c r="G2053" s="9">
        <v>7500086.32</v>
      </c>
      <c r="H2053" s="9">
        <v>9395738.97</v>
      </c>
      <c r="I2053" s="9">
        <v>7395157.41</v>
      </c>
      <c r="J2053" s="9">
        <v>0.0</v>
      </c>
      <c r="K2053" s="9">
        <v>0.0</v>
      </c>
      <c r="L2053" s="9" t="s">
        <v>69</v>
      </c>
      <c r="M2053" s="9" t="s">
        <v>55</v>
      </c>
      <c r="N2053" s="9">
        <v>7150646.05</v>
      </c>
      <c r="O2053" s="9">
        <v>7079064.51</v>
      </c>
      <c r="P2053" s="9">
        <v>316400.27</v>
      </c>
      <c r="Q2053" s="9">
        <v>316400.27</v>
      </c>
      <c r="R2053" s="9" t="s">
        <v>60</v>
      </c>
      <c r="S2053" s="9" t="s">
        <v>57</v>
      </c>
      <c r="T2053" s="9" t="s">
        <v>61</v>
      </c>
      <c r="V2053" s="9">
        <v>7079338.7</v>
      </c>
      <c r="W2053" s="9">
        <v>316400.27</v>
      </c>
      <c r="X2053" s="9">
        <v>0.0</v>
      </c>
    </row>
    <row r="2054" ht="15.75" customHeight="1">
      <c r="A2054" s="9">
        <v>2307452.0</v>
      </c>
      <c r="B2054" s="9">
        <v>1746653.0</v>
      </c>
      <c r="C2054" s="9">
        <v>47194.0</v>
      </c>
      <c r="D2054" s="9" t="s">
        <v>52</v>
      </c>
      <c r="E2054" s="9" t="s">
        <v>53</v>
      </c>
      <c r="F2054" s="9">
        <v>346098.0</v>
      </c>
      <c r="G2054" s="9">
        <v>2204898.6</v>
      </c>
      <c r="H2054" s="9">
        <v>2580602.09</v>
      </c>
      <c r="I2054" s="9">
        <v>2565956.05</v>
      </c>
      <c r="J2054" s="9">
        <v>0.0</v>
      </c>
      <c r="K2054" s="9">
        <v>265631.0</v>
      </c>
      <c r="L2054" s="9" t="s">
        <v>59</v>
      </c>
      <c r="M2054" s="9" t="s">
        <v>55</v>
      </c>
      <c r="N2054" s="9">
        <v>2176127.46</v>
      </c>
      <c r="O2054" s="9">
        <v>2174947.46</v>
      </c>
      <c r="P2054" s="9">
        <v>108806.37</v>
      </c>
      <c r="Q2054" s="9">
        <v>92208.78</v>
      </c>
      <c r="R2054" s="9" t="s">
        <v>94</v>
      </c>
      <c r="S2054" s="9" t="s">
        <v>57</v>
      </c>
      <c r="T2054" s="9" t="s">
        <v>95</v>
      </c>
    </row>
    <row r="2055" ht="15.75" customHeight="1">
      <c r="A2055" s="9">
        <v>2307711.0</v>
      </c>
      <c r="B2055" s="9">
        <v>5.287512E7</v>
      </c>
      <c r="C2055" s="9">
        <v>46867.0</v>
      </c>
      <c r="D2055" s="9" t="s">
        <v>52</v>
      </c>
      <c r="E2055" s="9" t="s">
        <v>53</v>
      </c>
      <c r="F2055" s="9">
        <v>2307711.0</v>
      </c>
      <c r="G2055" s="9">
        <v>6.332346678E7</v>
      </c>
      <c r="H2055" s="9">
        <v>6.040425347E7</v>
      </c>
      <c r="I2055" s="9">
        <v>2.823235887E7</v>
      </c>
      <c r="J2055" s="9">
        <v>0.0</v>
      </c>
      <c r="K2055" s="9">
        <v>705663.0</v>
      </c>
      <c r="L2055" s="9" t="s">
        <v>59</v>
      </c>
      <c r="M2055" s="9" t="s">
        <v>62</v>
      </c>
      <c r="R2055" s="9" t="s">
        <v>77</v>
      </c>
      <c r="S2055" s="9" t="s">
        <v>78</v>
      </c>
      <c r="T2055" s="9" t="s">
        <v>79</v>
      </c>
      <c r="U2055" s="9" t="s">
        <v>80</v>
      </c>
    </row>
    <row r="2056" ht="15.75" customHeight="1">
      <c r="A2056" s="9">
        <v>2309022.0</v>
      </c>
      <c r="B2056" s="9">
        <v>5535986.0</v>
      </c>
      <c r="C2056" s="9">
        <v>40602.0</v>
      </c>
      <c r="D2056" s="9" t="s">
        <v>52</v>
      </c>
      <c r="E2056" s="9" t="s">
        <v>53</v>
      </c>
      <c r="F2056" s="9">
        <v>347439.0</v>
      </c>
      <c r="G2056" s="9">
        <v>9902516.12</v>
      </c>
      <c r="H2056" s="9">
        <v>8872013.58</v>
      </c>
      <c r="I2056" s="9">
        <v>8811248.62</v>
      </c>
      <c r="J2056" s="9">
        <v>0.0</v>
      </c>
      <c r="K2056" s="9">
        <v>0.0</v>
      </c>
      <c r="L2056" s="9" t="s">
        <v>59</v>
      </c>
      <c r="M2056" s="9" t="s">
        <v>55</v>
      </c>
      <c r="N2056" s="9">
        <v>4831474.39</v>
      </c>
      <c r="O2056" s="9">
        <v>4503916.8</v>
      </c>
      <c r="P2056" s="9">
        <v>144921.7</v>
      </c>
      <c r="Q2056" s="9">
        <v>122815.0</v>
      </c>
      <c r="R2056" s="9" t="s">
        <v>56</v>
      </c>
      <c r="S2056" s="9" t="s">
        <v>57</v>
      </c>
      <c r="T2056" s="9" t="s">
        <v>58</v>
      </c>
      <c r="V2056" s="9">
        <v>5324849.56</v>
      </c>
      <c r="W2056" s="9">
        <v>193556.44</v>
      </c>
      <c r="X2056" s="9">
        <v>0.0</v>
      </c>
    </row>
    <row r="2057" ht="15.75" customHeight="1">
      <c r="A2057" s="9">
        <v>2310090.0</v>
      </c>
      <c r="B2057" s="9">
        <v>3124241.0</v>
      </c>
      <c r="C2057" s="9">
        <v>37797.0</v>
      </c>
      <c r="D2057" s="9" t="s">
        <v>52</v>
      </c>
      <c r="E2057" s="9" t="s">
        <v>53</v>
      </c>
      <c r="F2057" s="9">
        <v>336763.0</v>
      </c>
      <c r="G2057" s="9">
        <v>3124241.0</v>
      </c>
      <c r="H2057" s="9">
        <v>3124241.0</v>
      </c>
      <c r="I2057" s="9">
        <v>2972327.27</v>
      </c>
      <c r="J2057" s="9">
        <v>0.0</v>
      </c>
      <c r="K2057" s="9">
        <v>0.0</v>
      </c>
      <c r="L2057" s="9" t="s">
        <v>59</v>
      </c>
      <c r="M2057" s="9" t="s">
        <v>55</v>
      </c>
      <c r="N2057" s="9">
        <v>2857833.0</v>
      </c>
      <c r="O2057" s="9">
        <v>2857833.0</v>
      </c>
      <c r="P2057" s="9">
        <v>145314.0</v>
      </c>
      <c r="Q2057" s="9">
        <v>145314.0</v>
      </c>
      <c r="R2057" s="9" t="s">
        <v>94</v>
      </c>
      <c r="S2057" s="9" t="s">
        <v>57</v>
      </c>
      <c r="T2057" s="9" t="s">
        <v>95</v>
      </c>
    </row>
    <row r="2058" ht="15.75" customHeight="1">
      <c r="A2058" s="9">
        <v>2592913.0</v>
      </c>
      <c r="B2058" s="9">
        <v>7311957.99</v>
      </c>
      <c r="C2058" s="9">
        <v>47918.0</v>
      </c>
      <c r="D2058" s="9" t="s">
        <v>52</v>
      </c>
      <c r="E2058" s="9" t="s">
        <v>53</v>
      </c>
      <c r="F2058" s="9">
        <v>2592913.0</v>
      </c>
      <c r="G2058" s="9">
        <v>8038284.42</v>
      </c>
      <c r="H2058" s="9">
        <v>7323429.59</v>
      </c>
      <c r="I2058" s="9">
        <v>5821015.15</v>
      </c>
      <c r="J2058" s="9">
        <v>5806015.15</v>
      </c>
      <c r="K2058" s="9">
        <v>6431220.0</v>
      </c>
      <c r="L2058" s="9" t="s">
        <v>59</v>
      </c>
      <c r="M2058" s="9" t="s">
        <v>55</v>
      </c>
      <c r="N2058" s="9">
        <v>7622175.64</v>
      </c>
      <c r="O2058" s="9">
        <v>6839898.98</v>
      </c>
      <c r="P2058" s="9">
        <v>381108.78</v>
      </c>
      <c r="Q2058" s="9">
        <v>355269.6</v>
      </c>
      <c r="R2058" s="9" t="s">
        <v>149</v>
      </c>
      <c r="S2058" s="9" t="s">
        <v>82</v>
      </c>
      <c r="T2058" s="9" t="s">
        <v>83</v>
      </c>
      <c r="U2058" s="9" t="s">
        <v>150</v>
      </c>
    </row>
    <row r="2059" ht="15.75" customHeight="1">
      <c r="A2059" s="9">
        <v>2594986.0</v>
      </c>
      <c r="B2059" s="9">
        <v>1095003.18</v>
      </c>
      <c r="C2059" s="9">
        <v>48246.0</v>
      </c>
      <c r="D2059" s="9" t="s">
        <v>52</v>
      </c>
      <c r="E2059" s="9" t="s">
        <v>103</v>
      </c>
      <c r="F2059" s="9">
        <v>2594986.0</v>
      </c>
      <c r="H2059" s="9">
        <v>1095003.18</v>
      </c>
      <c r="I2059" s="9">
        <v>1090000.0</v>
      </c>
      <c r="J2059" s="9">
        <v>0.0</v>
      </c>
      <c r="K2059" s="9">
        <v>0.0</v>
      </c>
      <c r="L2059" s="9" t="s">
        <v>59</v>
      </c>
      <c r="M2059" s="9" t="s">
        <v>55</v>
      </c>
      <c r="R2059" s="9" t="s">
        <v>94</v>
      </c>
      <c r="S2059" s="9" t="s">
        <v>57</v>
      </c>
      <c r="T2059" s="9" t="s">
        <v>95</v>
      </c>
    </row>
    <row r="2060" ht="15.75" customHeight="1">
      <c r="A2060" s="9">
        <v>2606264.0</v>
      </c>
      <c r="B2060" s="9">
        <v>2.698873124E7</v>
      </c>
      <c r="C2060" s="9">
        <v>48020.0</v>
      </c>
      <c r="D2060" s="9" t="s">
        <v>52</v>
      </c>
      <c r="E2060" s="9" t="s">
        <v>64</v>
      </c>
      <c r="F2060" s="9">
        <v>2606264.0</v>
      </c>
      <c r="H2060" s="9">
        <v>2.719273124E7</v>
      </c>
      <c r="I2060" s="9">
        <v>28313.72</v>
      </c>
      <c r="J2060" s="9">
        <v>15990.0</v>
      </c>
      <c r="K2060" s="9">
        <v>23191.0</v>
      </c>
      <c r="L2060" s="9" t="s">
        <v>59</v>
      </c>
      <c r="M2060" s="9" t="s">
        <v>65</v>
      </c>
      <c r="R2060" s="9" t="s">
        <v>63</v>
      </c>
      <c r="S2060" s="9" t="s">
        <v>63</v>
      </c>
    </row>
    <row r="2061" ht="15.75" customHeight="1">
      <c r="A2061" s="9">
        <v>2613901.0</v>
      </c>
      <c r="B2061" s="9">
        <v>8857026.63</v>
      </c>
      <c r="C2061" s="9">
        <v>48774.0</v>
      </c>
      <c r="D2061" s="9" t="s">
        <v>52</v>
      </c>
      <c r="E2061" s="9" t="s">
        <v>53</v>
      </c>
      <c r="F2061" s="9">
        <v>2613901.0</v>
      </c>
      <c r="G2061" s="9">
        <v>6493284.63</v>
      </c>
      <c r="H2061" s="9">
        <v>6505005.99</v>
      </c>
      <c r="I2061" s="9">
        <v>133650.0</v>
      </c>
      <c r="J2061" s="9">
        <v>0.0</v>
      </c>
      <c r="K2061" s="9">
        <v>943225.0</v>
      </c>
      <c r="L2061" s="9" t="s">
        <v>59</v>
      </c>
      <c r="M2061" s="9" t="s">
        <v>55</v>
      </c>
      <c r="P2061" s="9">
        <v>0.0</v>
      </c>
      <c r="Q2061" s="9">
        <v>0.0</v>
      </c>
      <c r="R2061" s="9" t="s">
        <v>122</v>
      </c>
      <c r="S2061" s="9" t="s">
        <v>101</v>
      </c>
      <c r="T2061" s="9" t="s">
        <v>123</v>
      </c>
    </row>
    <row r="2062" ht="15.75" customHeight="1">
      <c r="A2062" s="9">
        <v>2625219.0</v>
      </c>
      <c r="B2062" s="9">
        <v>1057265.66</v>
      </c>
      <c r="C2062" s="9">
        <v>48251.0</v>
      </c>
      <c r="D2062" s="9" t="s">
        <v>52</v>
      </c>
      <c r="E2062" s="9" t="s">
        <v>103</v>
      </c>
      <c r="F2062" s="9">
        <v>2625219.0</v>
      </c>
      <c r="H2062" s="9">
        <v>1057265.66</v>
      </c>
      <c r="I2062" s="9">
        <v>1034973.0</v>
      </c>
      <c r="J2062" s="9">
        <v>1034973.0</v>
      </c>
      <c r="K2062" s="9">
        <v>1057266.0</v>
      </c>
      <c r="L2062" s="9" t="s">
        <v>59</v>
      </c>
      <c r="M2062" s="9" t="s">
        <v>55</v>
      </c>
      <c r="N2062" s="9">
        <v>1005000.0</v>
      </c>
      <c r="O2062" s="9">
        <v>1000000.0</v>
      </c>
      <c r="R2062" s="9" t="s">
        <v>94</v>
      </c>
      <c r="S2062" s="9" t="s">
        <v>57</v>
      </c>
      <c r="T2062" s="9" t="s">
        <v>95</v>
      </c>
    </row>
    <row r="2063" ht="15.75" customHeight="1">
      <c r="A2063" s="9">
        <v>2629814.0</v>
      </c>
      <c r="B2063" s="9">
        <v>1.13071354146E9</v>
      </c>
      <c r="C2063" s="9">
        <v>48178.0</v>
      </c>
      <c r="D2063" s="9" t="s">
        <v>52</v>
      </c>
      <c r="E2063" s="9" t="s">
        <v>153</v>
      </c>
      <c r="F2063" s="9">
        <v>2629814.0</v>
      </c>
      <c r="H2063" s="9">
        <v>1.13071354146E9</v>
      </c>
      <c r="I2063" s="9">
        <v>14381.68</v>
      </c>
      <c r="J2063" s="9">
        <v>1381.68</v>
      </c>
      <c r="K2063" s="9">
        <v>11382.0</v>
      </c>
      <c r="L2063" s="9" t="s">
        <v>59</v>
      </c>
      <c r="M2063" s="9" t="s">
        <v>65</v>
      </c>
      <c r="R2063" s="9" t="s">
        <v>100</v>
      </c>
      <c r="S2063" s="9" t="s">
        <v>101</v>
      </c>
      <c r="T2063" s="9" t="s">
        <v>102</v>
      </c>
    </row>
    <row r="2064" ht="15.75" customHeight="1">
      <c r="A2064" s="9">
        <v>2656903.0</v>
      </c>
      <c r="B2064" s="9">
        <v>1.648511266E7</v>
      </c>
      <c r="C2064" s="9">
        <v>48658.0</v>
      </c>
      <c r="D2064" s="9" t="s">
        <v>52</v>
      </c>
      <c r="E2064" s="9" t="s">
        <v>87</v>
      </c>
      <c r="F2064" s="9">
        <v>2656903.0</v>
      </c>
      <c r="H2064" s="9">
        <v>1.640350319E7</v>
      </c>
      <c r="I2064" s="9">
        <v>0.0</v>
      </c>
      <c r="J2064" s="9">
        <v>0.0</v>
      </c>
      <c r="K2064" s="9">
        <v>0.0</v>
      </c>
      <c r="L2064" s="9" t="s">
        <v>59</v>
      </c>
      <c r="M2064" s="9" t="s">
        <v>65</v>
      </c>
      <c r="R2064" s="9" t="s">
        <v>100</v>
      </c>
      <c r="S2064" s="9" t="s">
        <v>101</v>
      </c>
      <c r="T2064" s="9" t="s">
        <v>102</v>
      </c>
    </row>
    <row r="2065" ht="15.75" customHeight="1">
      <c r="A2065" s="9">
        <v>2668668.0</v>
      </c>
      <c r="B2065" s="9">
        <v>6745765.53</v>
      </c>
      <c r="C2065" s="9">
        <v>48256.0</v>
      </c>
      <c r="D2065" s="9" t="s">
        <v>52</v>
      </c>
      <c r="E2065" s="9" t="s">
        <v>103</v>
      </c>
      <c r="F2065" s="9">
        <v>2668668.0</v>
      </c>
      <c r="H2065" s="9">
        <v>6745765.54</v>
      </c>
      <c r="I2065" s="9">
        <v>0.0</v>
      </c>
      <c r="J2065" s="9">
        <v>0.0</v>
      </c>
      <c r="K2065" s="9">
        <v>6745766.0</v>
      </c>
      <c r="L2065" s="9" t="s">
        <v>59</v>
      </c>
      <c r="M2065" s="9" t="s">
        <v>55</v>
      </c>
      <c r="N2065" s="9">
        <v>6497784.65</v>
      </c>
      <c r="O2065" s="9">
        <v>5959080.0</v>
      </c>
      <c r="R2065" s="9" t="s">
        <v>131</v>
      </c>
      <c r="S2065" s="9" t="s">
        <v>82</v>
      </c>
      <c r="T2065" s="9" t="s">
        <v>132</v>
      </c>
    </row>
    <row r="2066" ht="15.75" customHeight="1">
      <c r="A2066" s="9">
        <v>2328824.0</v>
      </c>
      <c r="B2066" s="9">
        <v>1.9399482E7</v>
      </c>
      <c r="C2066" s="9">
        <v>48222.0</v>
      </c>
      <c r="D2066" s="9" t="s">
        <v>52</v>
      </c>
      <c r="E2066" s="9" t="s">
        <v>53</v>
      </c>
      <c r="F2066" s="9">
        <v>365159.0</v>
      </c>
      <c r="G2066" s="9">
        <v>7.691077559E7</v>
      </c>
      <c r="H2066" s="9">
        <v>1.2090303944E8</v>
      </c>
      <c r="I2066" s="9">
        <v>6.271132488E7</v>
      </c>
      <c r="J2066" s="9">
        <v>0.0</v>
      </c>
      <c r="K2066" s="9">
        <v>10000.0</v>
      </c>
      <c r="L2066" s="9" t="s">
        <v>59</v>
      </c>
      <c r="M2066" s="9" t="s">
        <v>74</v>
      </c>
      <c r="N2066" s="9">
        <v>400000.0</v>
      </c>
      <c r="O2066" s="9">
        <v>400000.0</v>
      </c>
      <c r="R2066" s="9" t="s">
        <v>66</v>
      </c>
      <c r="S2066" s="9" t="s">
        <v>67</v>
      </c>
      <c r="T2066" s="9" t="s">
        <v>68</v>
      </c>
    </row>
    <row r="2067" ht="15.75" customHeight="1">
      <c r="A2067" s="9">
        <v>2333865.0</v>
      </c>
      <c r="B2067" s="9">
        <v>760114.13</v>
      </c>
      <c r="C2067" s="9">
        <v>40107.0</v>
      </c>
      <c r="D2067" s="9" t="s">
        <v>52</v>
      </c>
      <c r="E2067" s="9" t="s">
        <v>53</v>
      </c>
      <c r="F2067" s="9">
        <v>373070.0</v>
      </c>
      <c r="G2067" s="9">
        <v>863068.15</v>
      </c>
      <c r="H2067" s="9">
        <v>863068.15</v>
      </c>
      <c r="I2067" s="9">
        <v>854303.37</v>
      </c>
      <c r="J2067" s="9">
        <v>0.0</v>
      </c>
      <c r="K2067" s="9">
        <v>0.0</v>
      </c>
      <c r="L2067" s="9" t="s">
        <v>69</v>
      </c>
      <c r="M2067" s="9" t="s">
        <v>55</v>
      </c>
      <c r="R2067" s="9" t="s">
        <v>56</v>
      </c>
      <c r="S2067" s="9" t="s">
        <v>57</v>
      </c>
      <c r="T2067" s="9" t="s">
        <v>58</v>
      </c>
      <c r="V2067" s="9">
        <v>800242.82</v>
      </c>
      <c r="W2067" s="9">
        <v>31063.54</v>
      </c>
      <c r="X2067" s="9">
        <v>0.0</v>
      </c>
    </row>
    <row r="2068" ht="15.75" customHeight="1">
      <c r="A2068" s="9">
        <v>2341058.0</v>
      </c>
      <c r="B2068" s="9">
        <v>6898594.0</v>
      </c>
      <c r="C2068" s="9">
        <v>40114.0</v>
      </c>
      <c r="D2068" s="9" t="s">
        <v>52</v>
      </c>
      <c r="E2068" s="9" t="s">
        <v>87</v>
      </c>
      <c r="F2068" s="9">
        <v>379819.0</v>
      </c>
      <c r="G2068" s="9">
        <v>8859801.6</v>
      </c>
      <c r="H2068" s="9">
        <v>1.285496765E7</v>
      </c>
      <c r="I2068" s="9">
        <v>36064.0</v>
      </c>
      <c r="J2068" s="9">
        <v>0.0</v>
      </c>
      <c r="K2068" s="9">
        <v>0.0</v>
      </c>
      <c r="L2068" s="9" t="s">
        <v>59</v>
      </c>
      <c r="M2068" s="9" t="s">
        <v>65</v>
      </c>
      <c r="R2068" s="9" t="s">
        <v>100</v>
      </c>
      <c r="S2068" s="9" t="s">
        <v>101</v>
      </c>
      <c r="T2068" s="9" t="s">
        <v>102</v>
      </c>
    </row>
    <row r="2069" ht="15.75" customHeight="1">
      <c r="A2069" s="9">
        <v>2344763.0</v>
      </c>
      <c r="B2069" s="9">
        <v>4041628.0</v>
      </c>
      <c r="C2069" s="9">
        <v>47334.0</v>
      </c>
      <c r="D2069" s="9" t="s">
        <v>52</v>
      </c>
      <c r="E2069" s="9" t="s">
        <v>53</v>
      </c>
      <c r="F2069" s="9">
        <v>383280.0</v>
      </c>
      <c r="G2069" s="9">
        <v>8362444.15</v>
      </c>
      <c r="H2069" s="9">
        <v>8174997.68</v>
      </c>
      <c r="I2069" s="9">
        <v>5857976.71</v>
      </c>
      <c r="J2069" s="9">
        <v>399266.72</v>
      </c>
      <c r="K2069" s="9">
        <v>2774799.0</v>
      </c>
      <c r="L2069" s="9" t="s">
        <v>59</v>
      </c>
      <c r="M2069" s="9" t="s">
        <v>55</v>
      </c>
      <c r="N2069" s="9">
        <v>7742747.17</v>
      </c>
      <c r="O2069" s="9">
        <v>7742495.73</v>
      </c>
      <c r="P2069" s="9">
        <v>400250.51</v>
      </c>
      <c r="Q2069" s="9">
        <v>392245.5</v>
      </c>
      <c r="R2069" s="9" t="s">
        <v>106</v>
      </c>
      <c r="S2069" s="9" t="s">
        <v>82</v>
      </c>
      <c r="T2069" s="9" t="s">
        <v>107</v>
      </c>
      <c r="U2069" s="9" t="s">
        <v>108</v>
      </c>
    </row>
    <row r="2070" ht="15.75" customHeight="1">
      <c r="A2070" s="9">
        <v>2367898.0</v>
      </c>
      <c r="B2070" s="9">
        <v>1362670.66</v>
      </c>
      <c r="C2070" s="9">
        <v>42578.0</v>
      </c>
      <c r="D2070" s="9" t="s">
        <v>52</v>
      </c>
      <c r="E2070" s="9" t="s">
        <v>53</v>
      </c>
      <c r="F2070" s="9">
        <v>2367898.0</v>
      </c>
      <c r="G2070" s="9">
        <v>1591049.0</v>
      </c>
      <c r="H2070" s="9">
        <v>1876611.37</v>
      </c>
      <c r="I2070" s="9">
        <v>1801477.02</v>
      </c>
      <c r="J2070" s="9">
        <v>0.0</v>
      </c>
      <c r="K2070" s="9">
        <v>0.0</v>
      </c>
      <c r="L2070" s="9" t="s">
        <v>59</v>
      </c>
      <c r="M2070" s="9" t="s">
        <v>55</v>
      </c>
      <c r="N2070" s="9">
        <v>1482167.33</v>
      </c>
      <c r="O2070" s="9">
        <v>1333950.6</v>
      </c>
      <c r="P2070" s="9">
        <v>102517.0</v>
      </c>
      <c r="Q2070" s="9">
        <v>92265.3</v>
      </c>
      <c r="R2070" s="9" t="s">
        <v>72</v>
      </c>
      <c r="S2070" s="9" t="s">
        <v>57</v>
      </c>
      <c r="T2070" s="9" t="s">
        <v>73</v>
      </c>
      <c r="V2070" s="9">
        <v>1740086.42</v>
      </c>
      <c r="W2070" s="9">
        <v>114613.29</v>
      </c>
      <c r="X2070" s="9">
        <v>0.0</v>
      </c>
    </row>
    <row r="2071" ht="15.75" customHeight="1">
      <c r="A2071" s="9">
        <v>2387679.0</v>
      </c>
      <c r="B2071" s="9">
        <v>2.794459514E8</v>
      </c>
      <c r="C2071" s="9">
        <v>40252.0</v>
      </c>
      <c r="D2071" s="9" t="s">
        <v>52</v>
      </c>
      <c r="E2071" s="9" t="s">
        <v>64</v>
      </c>
      <c r="F2071" s="9">
        <v>2387679.0</v>
      </c>
      <c r="G2071" s="9">
        <v>2.7555999216E8</v>
      </c>
      <c r="H2071" s="9">
        <v>8.0701109139E8</v>
      </c>
      <c r="I2071" s="9">
        <v>1.494183153E7</v>
      </c>
      <c r="J2071" s="9">
        <v>687544.76</v>
      </c>
      <c r="K2071" s="9">
        <v>850000.0</v>
      </c>
      <c r="L2071" s="9" t="s">
        <v>59</v>
      </c>
      <c r="M2071" s="9" t="s">
        <v>65</v>
      </c>
      <c r="N2071" s="9">
        <v>6090396.45</v>
      </c>
      <c r="O2071" s="9">
        <v>6088000.0</v>
      </c>
      <c r="P2071" s="9">
        <v>1832082.16</v>
      </c>
      <c r="Q2071" s="9">
        <v>1400815.16</v>
      </c>
      <c r="R2071" s="9" t="s">
        <v>127</v>
      </c>
      <c r="S2071" s="9" t="s">
        <v>57</v>
      </c>
      <c r="T2071" s="9" t="s">
        <v>128</v>
      </c>
    </row>
    <row r="2072" ht="15.75" customHeight="1">
      <c r="A2072" s="9">
        <v>2410082.0</v>
      </c>
      <c r="B2072" s="9">
        <v>4032105.0</v>
      </c>
      <c r="C2072" s="9">
        <v>42880.0</v>
      </c>
      <c r="D2072" s="9" t="s">
        <v>52</v>
      </c>
      <c r="E2072" s="9" t="s">
        <v>111</v>
      </c>
      <c r="F2072" s="9">
        <v>2410082.0</v>
      </c>
      <c r="H2072" s="9">
        <v>4434525.38</v>
      </c>
      <c r="I2072" s="9">
        <v>4434525.38</v>
      </c>
      <c r="J2072" s="9">
        <v>0.0</v>
      </c>
      <c r="K2072" s="9">
        <v>0.0</v>
      </c>
      <c r="L2072" s="9" t="s">
        <v>69</v>
      </c>
      <c r="M2072" s="9" t="s">
        <v>55</v>
      </c>
      <c r="N2072" s="9">
        <v>3239034.34</v>
      </c>
      <c r="O2072" s="9">
        <v>4274200.67</v>
      </c>
      <c r="R2072" s="9" t="s">
        <v>72</v>
      </c>
      <c r="S2072" s="9" t="s">
        <v>57</v>
      </c>
      <c r="T2072" s="9" t="s">
        <v>73</v>
      </c>
    </row>
    <row r="2073" ht="15.75" customHeight="1">
      <c r="A2073" s="9">
        <v>2410184.0</v>
      </c>
      <c r="B2073" s="9">
        <v>3129710.0</v>
      </c>
      <c r="C2073" s="9">
        <v>42881.0</v>
      </c>
      <c r="D2073" s="9" t="s">
        <v>52</v>
      </c>
      <c r="E2073" s="9" t="s">
        <v>111</v>
      </c>
      <c r="F2073" s="9">
        <v>2410184.0</v>
      </c>
      <c r="H2073" s="9">
        <v>3129710.0</v>
      </c>
      <c r="I2073" s="9">
        <v>1986745.41</v>
      </c>
      <c r="J2073" s="9">
        <v>0.0</v>
      </c>
      <c r="K2073" s="9">
        <v>0.0</v>
      </c>
      <c r="L2073" s="9" t="s">
        <v>59</v>
      </c>
      <c r="M2073" s="9" t="s">
        <v>55</v>
      </c>
      <c r="N2073" s="9">
        <v>2543700.56</v>
      </c>
      <c r="O2073" s="9">
        <v>1413217.64</v>
      </c>
      <c r="R2073" s="9" t="s">
        <v>115</v>
      </c>
      <c r="S2073" s="9" t="s">
        <v>115</v>
      </c>
    </row>
    <row r="2074" ht="15.75" customHeight="1">
      <c r="A2074" s="9">
        <v>2410975.0</v>
      </c>
      <c r="B2074" s="9">
        <v>7183053.0</v>
      </c>
      <c r="C2074" s="9">
        <v>45910.0</v>
      </c>
      <c r="D2074" s="9" t="s">
        <v>52</v>
      </c>
      <c r="E2074" s="9" t="s">
        <v>111</v>
      </c>
      <c r="F2074" s="9">
        <v>2410975.0</v>
      </c>
      <c r="H2074" s="9">
        <v>7094735.36</v>
      </c>
      <c r="I2074" s="9">
        <v>7094735.36</v>
      </c>
      <c r="J2074" s="9">
        <v>0.0</v>
      </c>
      <c r="K2074" s="9">
        <v>0.0</v>
      </c>
      <c r="L2074" s="9" t="s">
        <v>69</v>
      </c>
      <c r="M2074" s="9" t="s">
        <v>55</v>
      </c>
      <c r="N2074" s="9">
        <v>0.0</v>
      </c>
      <c r="O2074" s="9">
        <v>7137000.0</v>
      </c>
      <c r="R2074" s="9" t="s">
        <v>94</v>
      </c>
      <c r="S2074" s="9" t="s">
        <v>57</v>
      </c>
      <c r="T2074" s="9" t="s">
        <v>95</v>
      </c>
    </row>
    <row r="2075" ht="15.75" customHeight="1">
      <c r="A2075" s="9">
        <v>2410977.0</v>
      </c>
      <c r="B2075" s="9">
        <v>1510341.0</v>
      </c>
      <c r="C2075" s="9">
        <v>46076.0</v>
      </c>
      <c r="D2075" s="9" t="s">
        <v>52</v>
      </c>
      <c r="E2075" s="9" t="s">
        <v>111</v>
      </c>
      <c r="F2075" s="9">
        <v>2410977.0</v>
      </c>
      <c r="H2075" s="9">
        <v>1436546.09</v>
      </c>
      <c r="I2075" s="9">
        <v>1436546.09</v>
      </c>
      <c r="J2075" s="9">
        <v>0.0</v>
      </c>
      <c r="K2075" s="9">
        <v>0.0</v>
      </c>
      <c r="L2075" s="9" t="s">
        <v>69</v>
      </c>
      <c r="M2075" s="9" t="s">
        <v>55</v>
      </c>
      <c r="N2075" s="9">
        <v>0.0</v>
      </c>
      <c r="O2075" s="9">
        <v>1481800.0</v>
      </c>
      <c r="R2075" s="9" t="s">
        <v>94</v>
      </c>
      <c r="S2075" s="9" t="s">
        <v>57</v>
      </c>
      <c r="T2075" s="9" t="s">
        <v>95</v>
      </c>
    </row>
    <row r="2076" ht="15.75" customHeight="1">
      <c r="A2076" s="9">
        <v>2421412.0</v>
      </c>
      <c r="B2076" s="9">
        <v>1.1074906E7</v>
      </c>
      <c r="C2076" s="9">
        <v>47917.0</v>
      </c>
      <c r="D2076" s="9" t="s">
        <v>52</v>
      </c>
      <c r="E2076" s="9" t="s">
        <v>53</v>
      </c>
      <c r="F2076" s="9">
        <v>2421412.0</v>
      </c>
      <c r="G2076" s="9">
        <v>1.342351567E7</v>
      </c>
      <c r="H2076" s="9">
        <v>1.14161535E7</v>
      </c>
      <c r="I2076" s="9">
        <v>2720438.92</v>
      </c>
      <c r="J2076" s="9">
        <v>1647750.49</v>
      </c>
      <c r="K2076" s="9">
        <v>2790030.0</v>
      </c>
      <c r="L2076" s="9" t="s">
        <v>59</v>
      </c>
      <c r="M2076" s="9" t="s">
        <v>55</v>
      </c>
      <c r="N2076" s="9">
        <v>1.26577234E7</v>
      </c>
      <c r="O2076" s="9">
        <v>1.072688424E7</v>
      </c>
      <c r="P2076" s="9">
        <v>632886.0</v>
      </c>
      <c r="Q2076" s="9">
        <v>482709.67</v>
      </c>
      <c r="R2076" s="9" t="s">
        <v>144</v>
      </c>
      <c r="S2076" s="9" t="s">
        <v>82</v>
      </c>
      <c r="T2076" s="9" t="s">
        <v>145</v>
      </c>
    </row>
    <row r="2077" ht="15.75" customHeight="1">
      <c r="A2077" s="9">
        <v>2436179.0</v>
      </c>
      <c r="B2077" s="9">
        <v>118266.33</v>
      </c>
      <c r="C2077" s="9">
        <v>43174.0</v>
      </c>
      <c r="D2077" s="9" t="s">
        <v>52</v>
      </c>
      <c r="E2077" s="9" t="s">
        <v>111</v>
      </c>
      <c r="F2077" s="9">
        <v>2436179.0</v>
      </c>
      <c r="G2077" s="9">
        <v>118266.33</v>
      </c>
      <c r="H2077" s="9">
        <v>122134.67</v>
      </c>
      <c r="I2077" s="9">
        <v>0.0</v>
      </c>
      <c r="J2077" s="9">
        <v>0.0</v>
      </c>
      <c r="K2077" s="9">
        <v>0.0</v>
      </c>
      <c r="L2077" s="9" t="s">
        <v>59</v>
      </c>
      <c r="M2077" s="9" t="s">
        <v>55</v>
      </c>
      <c r="R2077" s="9" t="s">
        <v>94</v>
      </c>
      <c r="S2077" s="9" t="s">
        <v>57</v>
      </c>
      <c r="T2077" s="9" t="s">
        <v>95</v>
      </c>
    </row>
    <row r="2078" ht="15.75" customHeight="1">
      <c r="A2078" s="9">
        <v>2436186.0</v>
      </c>
      <c r="B2078" s="9">
        <v>83115.55</v>
      </c>
      <c r="C2078" s="9">
        <v>43195.0</v>
      </c>
      <c r="D2078" s="9" t="s">
        <v>52</v>
      </c>
      <c r="E2078" s="9" t="s">
        <v>111</v>
      </c>
      <c r="F2078" s="9">
        <v>2436186.0</v>
      </c>
      <c r="G2078" s="9">
        <v>83115.55</v>
      </c>
      <c r="H2078" s="9">
        <v>87082.29</v>
      </c>
      <c r="I2078" s="9">
        <v>2580.02</v>
      </c>
      <c r="J2078" s="9">
        <v>0.0</v>
      </c>
      <c r="K2078" s="9">
        <v>0.0</v>
      </c>
      <c r="L2078" s="9" t="s">
        <v>59</v>
      </c>
      <c r="M2078" s="9" t="s">
        <v>55</v>
      </c>
      <c r="R2078" s="9" t="s">
        <v>94</v>
      </c>
      <c r="S2078" s="9" t="s">
        <v>57</v>
      </c>
      <c r="T2078" s="9" t="s">
        <v>95</v>
      </c>
    </row>
    <row r="2079" ht="15.75" customHeight="1">
      <c r="A2079" s="9">
        <v>2436222.0</v>
      </c>
      <c r="B2079" s="9">
        <v>70090.86</v>
      </c>
      <c r="C2079" s="9">
        <v>43175.0</v>
      </c>
      <c r="D2079" s="9" t="s">
        <v>52</v>
      </c>
      <c r="E2079" s="9" t="s">
        <v>111</v>
      </c>
      <c r="F2079" s="9">
        <v>2436222.0</v>
      </c>
      <c r="G2079" s="9">
        <v>70090.86</v>
      </c>
      <c r="H2079" s="9">
        <v>73182.03</v>
      </c>
      <c r="I2079" s="9">
        <v>0.0</v>
      </c>
      <c r="J2079" s="9">
        <v>0.0</v>
      </c>
      <c r="K2079" s="9">
        <v>0.0</v>
      </c>
      <c r="L2079" s="9" t="s">
        <v>59</v>
      </c>
      <c r="M2079" s="9" t="s">
        <v>55</v>
      </c>
      <c r="R2079" s="9" t="s">
        <v>75</v>
      </c>
      <c r="S2079" s="9" t="s">
        <v>57</v>
      </c>
      <c r="T2079" s="9" t="s">
        <v>76</v>
      </c>
    </row>
    <row r="2080" ht="15.75" customHeight="1">
      <c r="A2080" s="9">
        <v>2436411.0</v>
      </c>
      <c r="B2080" s="9">
        <v>126999.03</v>
      </c>
      <c r="C2080" s="9">
        <v>43374.0</v>
      </c>
      <c r="D2080" s="9" t="s">
        <v>52</v>
      </c>
      <c r="E2080" s="9" t="s">
        <v>111</v>
      </c>
      <c r="F2080" s="9">
        <v>2436411.0</v>
      </c>
      <c r="G2080" s="9">
        <v>126999.03</v>
      </c>
      <c r="H2080" s="9">
        <v>129307.83</v>
      </c>
      <c r="I2080" s="9">
        <v>7714.99</v>
      </c>
      <c r="J2080" s="9">
        <v>0.0</v>
      </c>
      <c r="K2080" s="9">
        <v>0.0</v>
      </c>
      <c r="L2080" s="9" t="s">
        <v>59</v>
      </c>
      <c r="M2080" s="9" t="s">
        <v>55</v>
      </c>
      <c r="R2080" s="9" t="s">
        <v>72</v>
      </c>
      <c r="S2080" s="9" t="s">
        <v>57</v>
      </c>
      <c r="T2080" s="9" t="s">
        <v>73</v>
      </c>
      <c r="V2080" s="9">
        <v>111804.96</v>
      </c>
    </row>
    <row r="2081" ht="15.75" customHeight="1">
      <c r="A2081" s="9">
        <v>2436413.0</v>
      </c>
      <c r="B2081" s="9">
        <v>159635.82</v>
      </c>
      <c r="C2081" s="9">
        <v>43400.0</v>
      </c>
      <c r="D2081" s="9" t="s">
        <v>52</v>
      </c>
      <c r="E2081" s="9" t="s">
        <v>111</v>
      </c>
      <c r="F2081" s="9">
        <v>2436413.0</v>
      </c>
      <c r="G2081" s="9">
        <v>159635.82</v>
      </c>
      <c r="H2081" s="9">
        <v>162018.02</v>
      </c>
      <c r="I2081" s="9">
        <v>6413.78</v>
      </c>
      <c r="J2081" s="9">
        <v>0.0</v>
      </c>
      <c r="K2081" s="9">
        <v>0.0</v>
      </c>
      <c r="L2081" s="9" t="s">
        <v>59</v>
      </c>
      <c r="M2081" s="9" t="s">
        <v>55</v>
      </c>
      <c r="R2081" s="9" t="s">
        <v>70</v>
      </c>
      <c r="S2081" s="9" t="s">
        <v>57</v>
      </c>
      <c r="T2081" s="9" t="s">
        <v>71</v>
      </c>
    </row>
    <row r="2082" ht="15.75" customHeight="1">
      <c r="A2082" s="9">
        <v>2436420.0</v>
      </c>
      <c r="B2082" s="9">
        <v>161397.67</v>
      </c>
      <c r="C2082" s="9">
        <v>43363.0</v>
      </c>
      <c r="D2082" s="9" t="s">
        <v>52</v>
      </c>
      <c r="E2082" s="9" t="s">
        <v>111</v>
      </c>
      <c r="F2082" s="9">
        <v>2436420.0</v>
      </c>
      <c r="G2082" s="9">
        <v>161397.67</v>
      </c>
      <c r="H2082" s="9">
        <v>163696.67</v>
      </c>
      <c r="I2082" s="9">
        <v>7671.4</v>
      </c>
      <c r="J2082" s="9">
        <v>0.0</v>
      </c>
      <c r="K2082" s="9">
        <v>0.0</v>
      </c>
      <c r="L2082" s="9" t="s">
        <v>59</v>
      </c>
      <c r="M2082" s="9" t="s">
        <v>55</v>
      </c>
      <c r="R2082" s="9" t="s">
        <v>56</v>
      </c>
      <c r="S2082" s="9" t="s">
        <v>57</v>
      </c>
      <c r="T2082" s="9" t="s">
        <v>58</v>
      </c>
    </row>
    <row r="2083" ht="15.75" customHeight="1">
      <c r="A2083" s="9">
        <v>2436422.0</v>
      </c>
      <c r="B2083" s="9">
        <v>242090.43</v>
      </c>
      <c r="C2083" s="9">
        <v>43434.0</v>
      </c>
      <c r="D2083" s="9" t="s">
        <v>52</v>
      </c>
      <c r="E2083" s="9" t="s">
        <v>111</v>
      </c>
      <c r="F2083" s="9">
        <v>2436422.0</v>
      </c>
      <c r="G2083" s="9">
        <v>242090.43</v>
      </c>
      <c r="H2083" s="9">
        <v>244933.93</v>
      </c>
      <c r="I2083" s="9">
        <v>12663.0</v>
      </c>
      <c r="J2083" s="9">
        <v>0.0</v>
      </c>
      <c r="K2083" s="9">
        <v>0.0</v>
      </c>
      <c r="L2083" s="9" t="s">
        <v>59</v>
      </c>
      <c r="M2083" s="9" t="s">
        <v>55</v>
      </c>
      <c r="R2083" s="9" t="s">
        <v>94</v>
      </c>
      <c r="S2083" s="9" t="s">
        <v>57</v>
      </c>
      <c r="T2083" s="9" t="s">
        <v>95</v>
      </c>
    </row>
    <row r="2084" ht="15.75" customHeight="1">
      <c r="A2084" s="9">
        <v>2436479.0</v>
      </c>
      <c r="B2084" s="9">
        <v>172350.69</v>
      </c>
      <c r="C2084" s="9">
        <v>43065.0</v>
      </c>
      <c r="D2084" s="9" t="s">
        <v>52</v>
      </c>
      <c r="E2084" s="9" t="s">
        <v>111</v>
      </c>
      <c r="F2084" s="9">
        <v>2436479.0</v>
      </c>
      <c r="G2084" s="9">
        <v>172350.69</v>
      </c>
      <c r="H2084" s="9">
        <v>176623.09</v>
      </c>
      <c r="I2084" s="9">
        <v>5910.23</v>
      </c>
      <c r="J2084" s="9">
        <v>0.0</v>
      </c>
      <c r="K2084" s="9">
        <v>0.0</v>
      </c>
      <c r="L2084" s="9" t="s">
        <v>59</v>
      </c>
      <c r="M2084" s="9" t="s">
        <v>55</v>
      </c>
      <c r="R2084" s="9" t="s">
        <v>94</v>
      </c>
      <c r="S2084" s="9" t="s">
        <v>57</v>
      </c>
      <c r="T2084" s="9" t="s">
        <v>95</v>
      </c>
    </row>
    <row r="2085" ht="15.75" customHeight="1">
      <c r="A2085" s="9">
        <v>2436481.0</v>
      </c>
      <c r="B2085" s="9">
        <v>151468.08</v>
      </c>
      <c r="C2085" s="9">
        <v>43381.0</v>
      </c>
      <c r="D2085" s="9" t="s">
        <v>52</v>
      </c>
      <c r="E2085" s="9" t="s">
        <v>111</v>
      </c>
      <c r="F2085" s="9">
        <v>2436481.0</v>
      </c>
      <c r="G2085" s="9">
        <v>151468.08</v>
      </c>
      <c r="H2085" s="9">
        <v>155274.18</v>
      </c>
      <c r="I2085" s="9">
        <v>0.0</v>
      </c>
      <c r="J2085" s="9">
        <v>0.0</v>
      </c>
      <c r="K2085" s="9">
        <v>0.0</v>
      </c>
      <c r="L2085" s="9" t="s">
        <v>59</v>
      </c>
      <c r="M2085" s="9" t="s">
        <v>55</v>
      </c>
      <c r="R2085" s="9" t="s">
        <v>94</v>
      </c>
      <c r="S2085" s="9" t="s">
        <v>57</v>
      </c>
      <c r="T2085" s="9" t="s">
        <v>95</v>
      </c>
    </row>
    <row r="2086" ht="15.75" customHeight="1">
      <c r="A2086" s="9">
        <v>2436588.0</v>
      </c>
      <c r="B2086" s="9">
        <v>1088127.0</v>
      </c>
      <c r="C2086" s="9">
        <v>45902.0</v>
      </c>
      <c r="D2086" s="9" t="s">
        <v>52</v>
      </c>
      <c r="E2086" s="9" t="s">
        <v>53</v>
      </c>
      <c r="F2086" s="9">
        <v>2436588.0</v>
      </c>
      <c r="G2086" s="9">
        <v>1148474.54</v>
      </c>
      <c r="H2086" s="9">
        <v>1258809.58</v>
      </c>
      <c r="I2086" s="9">
        <v>1258809.58</v>
      </c>
      <c r="J2086" s="9">
        <v>0.0</v>
      </c>
      <c r="K2086" s="9">
        <v>0.0</v>
      </c>
      <c r="L2086" s="9" t="s">
        <v>59</v>
      </c>
      <c r="M2086" s="9" t="s">
        <v>55</v>
      </c>
      <c r="N2086" s="9">
        <v>1132844.37</v>
      </c>
      <c r="O2086" s="9">
        <v>1080295.07</v>
      </c>
      <c r="P2086" s="9">
        <v>71000.0</v>
      </c>
      <c r="Q2086" s="9">
        <v>71000.0</v>
      </c>
      <c r="R2086" s="9" t="s">
        <v>72</v>
      </c>
      <c r="S2086" s="9" t="s">
        <v>57</v>
      </c>
      <c r="T2086" s="9" t="s">
        <v>73</v>
      </c>
      <c r="V2086" s="9">
        <v>1155809.58</v>
      </c>
      <c r="W2086" s="9">
        <v>71000.0</v>
      </c>
      <c r="X2086" s="9">
        <v>0.0</v>
      </c>
    </row>
    <row r="2087" ht="15.75" customHeight="1">
      <c r="A2087" s="9">
        <v>2436847.0</v>
      </c>
      <c r="B2087" s="9">
        <v>232806.0</v>
      </c>
      <c r="C2087" s="9">
        <v>43102.0</v>
      </c>
      <c r="D2087" s="9" t="s">
        <v>52</v>
      </c>
      <c r="E2087" s="9" t="s">
        <v>111</v>
      </c>
      <c r="F2087" s="9">
        <v>2436847.0</v>
      </c>
      <c r="G2087" s="9">
        <v>232806.0</v>
      </c>
      <c r="H2087" s="9">
        <v>237515.0</v>
      </c>
      <c r="I2087" s="9">
        <v>9589.25</v>
      </c>
      <c r="J2087" s="9">
        <v>0.0</v>
      </c>
      <c r="K2087" s="9">
        <v>0.0</v>
      </c>
      <c r="L2087" s="9" t="s">
        <v>59</v>
      </c>
      <c r="M2087" s="9" t="s">
        <v>55</v>
      </c>
      <c r="R2087" s="9" t="s">
        <v>56</v>
      </c>
      <c r="S2087" s="9" t="s">
        <v>57</v>
      </c>
      <c r="T2087" s="9" t="s">
        <v>58</v>
      </c>
    </row>
    <row r="2088" ht="15.75" customHeight="1">
      <c r="A2088" s="9">
        <v>2440002.0</v>
      </c>
      <c r="B2088" s="9">
        <v>159850.25</v>
      </c>
      <c r="C2088" s="9">
        <v>43426.0</v>
      </c>
      <c r="D2088" s="9" t="s">
        <v>52</v>
      </c>
      <c r="E2088" s="9" t="s">
        <v>111</v>
      </c>
      <c r="F2088" s="9">
        <v>2440002.0</v>
      </c>
      <c r="G2088" s="9">
        <v>159850.25</v>
      </c>
      <c r="H2088" s="9">
        <v>163154.81</v>
      </c>
      <c r="I2088" s="9">
        <v>4362.01</v>
      </c>
      <c r="J2088" s="9">
        <v>0.0</v>
      </c>
      <c r="K2088" s="9">
        <v>0.0</v>
      </c>
      <c r="L2088" s="9" t="s">
        <v>59</v>
      </c>
      <c r="M2088" s="9" t="s">
        <v>55</v>
      </c>
      <c r="R2088" s="9" t="s">
        <v>94</v>
      </c>
      <c r="S2088" s="9" t="s">
        <v>57</v>
      </c>
      <c r="T2088" s="9" t="s">
        <v>95</v>
      </c>
    </row>
    <row r="2089" ht="15.75" customHeight="1">
      <c r="A2089" s="9">
        <v>2440034.0</v>
      </c>
      <c r="B2089" s="9">
        <v>115988.39</v>
      </c>
      <c r="C2089" s="9">
        <v>43225.0</v>
      </c>
      <c r="D2089" s="9" t="s">
        <v>52</v>
      </c>
      <c r="E2089" s="9" t="s">
        <v>111</v>
      </c>
      <c r="F2089" s="9">
        <v>2440034.0</v>
      </c>
      <c r="G2089" s="9">
        <v>115988.39</v>
      </c>
      <c r="H2089" s="9">
        <v>118367.39</v>
      </c>
      <c r="I2089" s="9">
        <v>3701.45</v>
      </c>
      <c r="J2089" s="9">
        <v>0.0</v>
      </c>
      <c r="K2089" s="9">
        <v>0.0</v>
      </c>
      <c r="L2089" s="9" t="s">
        <v>59</v>
      </c>
      <c r="M2089" s="9" t="s">
        <v>55</v>
      </c>
      <c r="R2089" s="9" t="s">
        <v>56</v>
      </c>
      <c r="S2089" s="9" t="s">
        <v>57</v>
      </c>
      <c r="T2089" s="9" t="s">
        <v>58</v>
      </c>
    </row>
    <row r="2090" ht="15.75" customHeight="1">
      <c r="A2090" s="9">
        <v>2440036.0</v>
      </c>
      <c r="B2090" s="9">
        <v>134074.21</v>
      </c>
      <c r="C2090" s="9">
        <v>43252.0</v>
      </c>
      <c r="D2090" s="9" t="s">
        <v>52</v>
      </c>
      <c r="E2090" s="9" t="s">
        <v>111</v>
      </c>
      <c r="F2090" s="9">
        <v>2440036.0</v>
      </c>
      <c r="G2090" s="9">
        <v>134074.21</v>
      </c>
      <c r="H2090" s="9">
        <v>139275.91</v>
      </c>
      <c r="I2090" s="9">
        <v>2978.83</v>
      </c>
      <c r="J2090" s="9">
        <v>0.0</v>
      </c>
      <c r="K2090" s="9">
        <v>0.0</v>
      </c>
      <c r="L2090" s="9" t="s">
        <v>59</v>
      </c>
      <c r="M2090" s="9" t="s">
        <v>55</v>
      </c>
      <c r="R2090" s="9" t="s">
        <v>94</v>
      </c>
      <c r="S2090" s="9" t="s">
        <v>57</v>
      </c>
      <c r="T2090" s="9" t="s">
        <v>95</v>
      </c>
    </row>
    <row r="2091" ht="15.75" customHeight="1">
      <c r="A2091" s="9">
        <v>2440421.0</v>
      </c>
      <c r="B2091" s="9">
        <v>387258.47</v>
      </c>
      <c r="C2091" s="9">
        <v>43138.0</v>
      </c>
      <c r="D2091" s="9" t="s">
        <v>52</v>
      </c>
      <c r="E2091" s="9" t="s">
        <v>111</v>
      </c>
      <c r="F2091" s="9">
        <v>2440421.0</v>
      </c>
      <c r="G2091" s="9">
        <v>387258.47</v>
      </c>
      <c r="H2091" s="9">
        <v>391552.47</v>
      </c>
      <c r="I2091" s="9">
        <v>18768.5</v>
      </c>
      <c r="J2091" s="9">
        <v>0.0</v>
      </c>
      <c r="K2091" s="9">
        <v>0.0</v>
      </c>
      <c r="L2091" s="9" t="s">
        <v>59</v>
      </c>
      <c r="M2091" s="9" t="s">
        <v>55</v>
      </c>
      <c r="R2091" s="9" t="s">
        <v>72</v>
      </c>
      <c r="S2091" s="9" t="s">
        <v>57</v>
      </c>
      <c r="T2091" s="9" t="s">
        <v>73</v>
      </c>
      <c r="V2091" s="9">
        <v>366806.61</v>
      </c>
    </row>
    <row r="2092" ht="15.75" customHeight="1">
      <c r="A2092" s="9">
        <v>2440485.0</v>
      </c>
      <c r="B2092" s="9">
        <v>867181.45</v>
      </c>
      <c r="C2092" s="9">
        <v>43107.0</v>
      </c>
      <c r="D2092" s="9" t="s">
        <v>52</v>
      </c>
      <c r="E2092" s="9" t="s">
        <v>111</v>
      </c>
      <c r="F2092" s="9">
        <v>2440485.0</v>
      </c>
      <c r="G2092" s="9">
        <v>867181.45</v>
      </c>
      <c r="H2092" s="9">
        <v>872461.95</v>
      </c>
      <c r="I2092" s="9">
        <v>16902.9</v>
      </c>
      <c r="J2092" s="9">
        <v>0.0</v>
      </c>
      <c r="K2092" s="9">
        <v>0.0</v>
      </c>
      <c r="L2092" s="9" t="s">
        <v>59</v>
      </c>
      <c r="M2092" s="9" t="s">
        <v>55</v>
      </c>
      <c r="R2092" s="9" t="s">
        <v>70</v>
      </c>
      <c r="S2092" s="9" t="s">
        <v>57</v>
      </c>
      <c r="T2092" s="9" t="s">
        <v>71</v>
      </c>
    </row>
    <row r="2093" ht="15.75" customHeight="1">
      <c r="A2093" s="9">
        <v>2440487.0</v>
      </c>
      <c r="B2093" s="9">
        <v>145486.5</v>
      </c>
      <c r="C2093" s="9">
        <v>43226.0</v>
      </c>
      <c r="D2093" s="9" t="s">
        <v>52</v>
      </c>
      <c r="E2093" s="9" t="s">
        <v>111</v>
      </c>
      <c r="F2093" s="9">
        <v>2440487.0</v>
      </c>
      <c r="G2093" s="9">
        <v>145486.5</v>
      </c>
      <c r="H2093" s="9">
        <v>149970.0</v>
      </c>
      <c r="I2093" s="9">
        <v>7471.4</v>
      </c>
      <c r="J2093" s="9">
        <v>0.0</v>
      </c>
      <c r="K2093" s="9">
        <v>0.0</v>
      </c>
      <c r="L2093" s="9" t="s">
        <v>59</v>
      </c>
      <c r="M2093" s="9" t="s">
        <v>55</v>
      </c>
      <c r="R2093" s="9" t="s">
        <v>94</v>
      </c>
      <c r="S2093" s="9" t="s">
        <v>57</v>
      </c>
      <c r="T2093" s="9" t="s">
        <v>95</v>
      </c>
    </row>
    <row r="2094" ht="15.75" customHeight="1">
      <c r="A2094" s="9">
        <v>2440504.0</v>
      </c>
      <c r="B2094" s="9">
        <v>216968.04</v>
      </c>
      <c r="C2094" s="9">
        <v>43262.0</v>
      </c>
      <c r="D2094" s="9" t="s">
        <v>52</v>
      </c>
      <c r="E2094" s="9" t="s">
        <v>111</v>
      </c>
      <c r="F2094" s="9">
        <v>2440504.0</v>
      </c>
      <c r="G2094" s="9">
        <v>216968.04</v>
      </c>
      <c r="H2094" s="9">
        <v>220783.74</v>
      </c>
      <c r="I2094" s="9">
        <v>0.0</v>
      </c>
      <c r="J2094" s="9">
        <v>0.0</v>
      </c>
      <c r="K2094" s="9">
        <v>0.0</v>
      </c>
      <c r="L2094" s="9" t="s">
        <v>59</v>
      </c>
      <c r="M2094" s="9" t="s">
        <v>55</v>
      </c>
      <c r="R2094" s="9" t="s">
        <v>106</v>
      </c>
      <c r="S2094" s="9" t="s">
        <v>82</v>
      </c>
      <c r="T2094" s="9" t="s">
        <v>107</v>
      </c>
      <c r="U2094" s="9" t="s">
        <v>108</v>
      </c>
    </row>
    <row r="2095" ht="15.75" customHeight="1">
      <c r="A2095" s="9">
        <v>2450211.0</v>
      </c>
      <c r="B2095" s="9">
        <v>654809.0</v>
      </c>
      <c r="C2095" s="9">
        <v>42886.0</v>
      </c>
      <c r="D2095" s="9" t="s">
        <v>52</v>
      </c>
      <c r="E2095" s="9" t="s">
        <v>103</v>
      </c>
      <c r="F2095" s="9">
        <v>2450211.0</v>
      </c>
      <c r="H2095" s="9">
        <v>976448.26</v>
      </c>
      <c r="I2095" s="9">
        <v>976448.26</v>
      </c>
      <c r="J2095" s="9">
        <v>0.0</v>
      </c>
      <c r="K2095" s="9">
        <v>0.0</v>
      </c>
      <c r="L2095" s="9" t="s">
        <v>69</v>
      </c>
      <c r="M2095" s="9" t="s">
        <v>55</v>
      </c>
      <c r="N2095" s="9">
        <v>878782.67</v>
      </c>
      <c r="O2095" s="9">
        <v>878782.67</v>
      </c>
      <c r="P2095" s="9">
        <v>61412.51</v>
      </c>
      <c r="Q2095" s="9">
        <v>61412.51</v>
      </c>
      <c r="R2095" s="9" t="s">
        <v>119</v>
      </c>
      <c r="S2095" s="9" t="s">
        <v>120</v>
      </c>
      <c r="T2095" s="9" t="s">
        <v>121</v>
      </c>
      <c r="V2095" s="9">
        <v>878064.3</v>
      </c>
      <c r="W2095" s="9">
        <v>61412.51</v>
      </c>
    </row>
    <row r="2096" ht="15.75" customHeight="1">
      <c r="A2096" s="9">
        <v>2461979.0</v>
      </c>
      <c r="B2096" s="9">
        <v>2066786.5</v>
      </c>
      <c r="C2096" s="9">
        <v>47215.0</v>
      </c>
      <c r="D2096" s="9" t="s">
        <v>52</v>
      </c>
      <c r="E2096" s="9" t="s">
        <v>53</v>
      </c>
      <c r="F2096" s="9">
        <v>2461979.0</v>
      </c>
      <c r="G2096" s="9">
        <v>2137995.08</v>
      </c>
      <c r="H2096" s="9">
        <v>2267995.07</v>
      </c>
      <c r="I2096" s="9">
        <v>2039829.16</v>
      </c>
      <c r="J2096" s="9">
        <v>0.0</v>
      </c>
      <c r="K2096" s="9">
        <v>0.0</v>
      </c>
      <c r="L2096" s="9" t="s">
        <v>59</v>
      </c>
      <c r="M2096" s="9" t="s">
        <v>55</v>
      </c>
      <c r="N2096" s="9">
        <v>1809994.0</v>
      </c>
      <c r="O2096" s="9">
        <v>1787617.89</v>
      </c>
      <c r="P2096" s="9">
        <v>149657.0</v>
      </c>
      <c r="Q2096" s="9">
        <v>149526.0</v>
      </c>
      <c r="R2096" s="9" t="s">
        <v>94</v>
      </c>
      <c r="S2096" s="9" t="s">
        <v>57</v>
      </c>
      <c r="T2096" s="9" t="s">
        <v>95</v>
      </c>
    </row>
    <row r="2097" ht="15.75" customHeight="1">
      <c r="A2097" s="9">
        <v>2482052.0</v>
      </c>
      <c r="B2097" s="9">
        <v>1.127847833E7</v>
      </c>
      <c r="C2097" s="9">
        <v>47218.0</v>
      </c>
      <c r="D2097" s="9" t="s">
        <v>52</v>
      </c>
      <c r="E2097" s="9" t="s">
        <v>53</v>
      </c>
      <c r="F2097" s="9">
        <v>2482052.0</v>
      </c>
      <c r="G2097" s="9">
        <v>1.611387341E7</v>
      </c>
      <c r="H2097" s="9">
        <v>1.501673766E7</v>
      </c>
      <c r="I2097" s="9">
        <v>1.470072588E7</v>
      </c>
      <c r="J2097" s="9">
        <v>0.0</v>
      </c>
      <c r="K2097" s="9">
        <v>0.0</v>
      </c>
      <c r="L2097" s="9" t="s">
        <v>59</v>
      </c>
      <c r="M2097" s="9" t="s">
        <v>55</v>
      </c>
      <c r="N2097" s="9">
        <v>1.520435362E7</v>
      </c>
      <c r="O2097" s="9">
        <v>1.368E7</v>
      </c>
      <c r="P2097" s="9">
        <v>760217.68</v>
      </c>
      <c r="Q2097" s="9">
        <v>708676.0</v>
      </c>
      <c r="R2097" s="9" t="s">
        <v>56</v>
      </c>
      <c r="S2097" s="9" t="s">
        <v>57</v>
      </c>
      <c r="T2097" s="9" t="s">
        <v>58</v>
      </c>
    </row>
    <row r="2098" ht="15.75" customHeight="1">
      <c r="A2098" s="9">
        <v>2489889.0</v>
      </c>
      <c r="B2098" s="9">
        <v>8391486.9</v>
      </c>
      <c r="C2098" s="9">
        <v>47220.0</v>
      </c>
      <c r="D2098" s="9" t="s">
        <v>52</v>
      </c>
      <c r="E2098" s="9" t="s">
        <v>53</v>
      </c>
      <c r="F2098" s="9">
        <v>2489889.0</v>
      </c>
      <c r="G2098" s="9">
        <v>8837232.4</v>
      </c>
      <c r="H2098" s="9">
        <v>1.065880854E7</v>
      </c>
      <c r="I2098" s="9">
        <v>1.03559E7</v>
      </c>
      <c r="J2098" s="9">
        <v>0.0</v>
      </c>
      <c r="K2098" s="9">
        <v>0.0</v>
      </c>
      <c r="L2098" s="9" t="s">
        <v>59</v>
      </c>
      <c r="M2098" s="9" t="s">
        <v>55</v>
      </c>
      <c r="N2098" s="9">
        <v>1.057899669E7</v>
      </c>
      <c r="O2098" s="9">
        <v>9861776.57</v>
      </c>
      <c r="P2098" s="9">
        <v>528949.83</v>
      </c>
      <c r="Q2098" s="9">
        <v>484123.57</v>
      </c>
      <c r="R2098" s="9" t="s">
        <v>94</v>
      </c>
      <c r="S2098" s="9" t="s">
        <v>57</v>
      </c>
      <c r="T2098" s="9" t="s">
        <v>95</v>
      </c>
    </row>
    <row r="2099" ht="15.75" customHeight="1">
      <c r="A2099" s="9">
        <v>2500953.0</v>
      </c>
      <c r="B2099" s="9">
        <v>2538040.21</v>
      </c>
      <c r="C2099" s="9">
        <v>47221.0</v>
      </c>
      <c r="D2099" s="9" t="s">
        <v>52</v>
      </c>
      <c r="E2099" s="9" t="s">
        <v>53</v>
      </c>
      <c r="F2099" s="9">
        <v>2500953.0</v>
      </c>
      <c r="G2099" s="9">
        <v>4596513.21</v>
      </c>
      <c r="H2099" s="9">
        <v>4891161.47</v>
      </c>
      <c r="I2099" s="9">
        <v>4469671.55</v>
      </c>
      <c r="J2099" s="9">
        <v>0.0</v>
      </c>
      <c r="K2099" s="9">
        <v>409490.0</v>
      </c>
      <c r="L2099" s="9" t="s">
        <v>59</v>
      </c>
      <c r="M2099" s="9" t="s">
        <v>55</v>
      </c>
      <c r="N2099" s="9">
        <v>4643873.53</v>
      </c>
      <c r="O2099" s="9">
        <v>4329034.64</v>
      </c>
      <c r="P2099" s="9">
        <v>231264.9</v>
      </c>
      <c r="Q2099" s="9">
        <v>195980.0</v>
      </c>
      <c r="R2099" s="9" t="s">
        <v>56</v>
      </c>
      <c r="S2099" s="9" t="s">
        <v>57</v>
      </c>
      <c r="T2099" s="9" t="s">
        <v>58</v>
      </c>
    </row>
    <row r="2100" ht="15.75" customHeight="1">
      <c r="A2100" s="9">
        <v>2501887.0</v>
      </c>
      <c r="B2100" s="9">
        <v>7253138.5</v>
      </c>
      <c r="C2100" s="9">
        <v>47222.0</v>
      </c>
      <c r="D2100" s="9" t="s">
        <v>52</v>
      </c>
      <c r="E2100" s="9" t="s">
        <v>53</v>
      </c>
      <c r="F2100" s="9">
        <v>2501887.0</v>
      </c>
      <c r="G2100" s="9">
        <v>1.290746506E7</v>
      </c>
      <c r="H2100" s="9">
        <v>1.448038815E7</v>
      </c>
      <c r="I2100" s="9">
        <v>1.448038748E7</v>
      </c>
      <c r="J2100" s="9">
        <v>111874.02</v>
      </c>
      <c r="K2100" s="9">
        <v>113397.0</v>
      </c>
      <c r="L2100" s="9" t="s">
        <v>59</v>
      </c>
      <c r="M2100" s="9" t="s">
        <v>55</v>
      </c>
      <c r="N2100" s="9">
        <v>1.276039319E7</v>
      </c>
      <c r="O2100" s="9">
        <v>1.276039319E7</v>
      </c>
      <c r="P2100" s="9">
        <v>673364.49</v>
      </c>
      <c r="Q2100" s="9">
        <v>570647.87</v>
      </c>
      <c r="R2100" s="9" t="s">
        <v>56</v>
      </c>
      <c r="S2100" s="9" t="s">
        <v>57</v>
      </c>
      <c r="T2100" s="9" t="s">
        <v>58</v>
      </c>
    </row>
    <row r="2101" ht="15.75" customHeight="1">
      <c r="A2101" s="9">
        <v>2508188.0</v>
      </c>
      <c r="B2101" s="9">
        <v>2396682.0</v>
      </c>
      <c r="C2101" s="9">
        <v>46500.0</v>
      </c>
      <c r="D2101" s="9" t="s">
        <v>52</v>
      </c>
      <c r="E2101" s="9" t="s">
        <v>111</v>
      </c>
      <c r="F2101" s="9">
        <v>2508188.0</v>
      </c>
      <c r="H2101" s="9">
        <v>2396682.0</v>
      </c>
      <c r="I2101" s="9">
        <v>1703886.3</v>
      </c>
      <c r="J2101" s="9">
        <v>0.0</v>
      </c>
      <c r="K2101" s="9">
        <v>0.0</v>
      </c>
      <c r="L2101" s="9" t="s">
        <v>59</v>
      </c>
      <c r="M2101" s="9" t="s">
        <v>55</v>
      </c>
      <c r="N2101" s="9">
        <v>2046739.06</v>
      </c>
      <c r="O2101" s="9">
        <v>1842065.16</v>
      </c>
      <c r="P2101" s="9">
        <v>196289.2</v>
      </c>
      <c r="Q2101" s="9">
        <v>176660.28</v>
      </c>
      <c r="R2101" s="9" t="s">
        <v>72</v>
      </c>
      <c r="S2101" s="9" t="s">
        <v>57</v>
      </c>
      <c r="T2101" s="9" t="s">
        <v>73</v>
      </c>
    </row>
    <row r="2102" ht="15.75" customHeight="1">
      <c r="A2102" s="9">
        <v>2513304.0</v>
      </c>
      <c r="B2102" s="9">
        <v>1.302014365E7</v>
      </c>
      <c r="C2102" s="9">
        <v>47249.0</v>
      </c>
      <c r="D2102" s="9" t="s">
        <v>52</v>
      </c>
      <c r="E2102" s="9" t="s">
        <v>103</v>
      </c>
      <c r="F2102" s="9">
        <v>2513304.0</v>
      </c>
      <c r="H2102" s="9">
        <v>3.085639883E7</v>
      </c>
      <c r="I2102" s="9">
        <v>1.298078412E7</v>
      </c>
      <c r="J2102" s="9">
        <v>3281176.57</v>
      </c>
      <c r="K2102" s="9">
        <v>4710893.0</v>
      </c>
      <c r="L2102" s="9" t="s">
        <v>59</v>
      </c>
      <c r="M2102" s="9" t="s">
        <v>55</v>
      </c>
      <c r="N2102" s="9">
        <v>3.365353241E7</v>
      </c>
      <c r="O2102" s="9">
        <v>2.84659409E7</v>
      </c>
      <c r="R2102" s="9" t="s">
        <v>98</v>
      </c>
      <c r="S2102" s="9" t="s">
        <v>82</v>
      </c>
      <c r="T2102" s="9" t="s">
        <v>99</v>
      </c>
    </row>
    <row r="2103" ht="15.75" customHeight="1">
      <c r="A2103" s="9">
        <v>2527340.0</v>
      </c>
      <c r="B2103" s="9">
        <v>2.7317298E7</v>
      </c>
      <c r="C2103" s="9">
        <v>47517.0</v>
      </c>
      <c r="D2103" s="9" t="s">
        <v>52</v>
      </c>
      <c r="E2103" s="9" t="s">
        <v>53</v>
      </c>
      <c r="F2103" s="9">
        <v>2527340.0</v>
      </c>
      <c r="G2103" s="9">
        <v>3.155997134E7</v>
      </c>
      <c r="H2103" s="9">
        <v>3.196151377E7</v>
      </c>
      <c r="I2103" s="9">
        <v>1.397085928E7</v>
      </c>
      <c r="J2103" s="9">
        <v>9725384.48</v>
      </c>
      <c r="K2103" s="9">
        <v>2.6680876E7</v>
      </c>
      <c r="L2103" s="9" t="s">
        <v>59</v>
      </c>
      <c r="M2103" s="9" t="s">
        <v>55</v>
      </c>
      <c r="N2103" s="9">
        <v>2.946770052E7</v>
      </c>
      <c r="O2103" s="9">
        <v>2.946770052E7</v>
      </c>
      <c r="P2103" s="9">
        <v>1458651.18</v>
      </c>
      <c r="Q2103" s="9">
        <v>1312786.07</v>
      </c>
      <c r="R2103" s="9" t="s">
        <v>106</v>
      </c>
      <c r="S2103" s="9" t="s">
        <v>82</v>
      </c>
      <c r="T2103" s="9" t="s">
        <v>107</v>
      </c>
      <c r="U2103" s="9" t="s">
        <v>108</v>
      </c>
    </row>
    <row r="2104" ht="15.75" customHeight="1">
      <c r="A2104" s="9">
        <v>2529963.0</v>
      </c>
      <c r="B2104" s="9">
        <v>1079121.56</v>
      </c>
      <c r="C2104" s="9">
        <v>45911.0</v>
      </c>
      <c r="D2104" s="9" t="s">
        <v>52</v>
      </c>
      <c r="E2104" s="9" t="s">
        <v>103</v>
      </c>
      <c r="F2104" s="9">
        <v>2529963.0</v>
      </c>
      <c r="H2104" s="9">
        <v>1113266.27</v>
      </c>
      <c r="I2104" s="9">
        <v>696575.94</v>
      </c>
      <c r="J2104" s="9">
        <v>0.0</v>
      </c>
      <c r="K2104" s="9">
        <v>0.0</v>
      </c>
      <c r="L2104" s="9" t="s">
        <v>59</v>
      </c>
      <c r="M2104" s="9" t="s">
        <v>55</v>
      </c>
      <c r="N2104" s="9">
        <v>1113266.67</v>
      </c>
      <c r="O2104" s="9">
        <v>966313.71</v>
      </c>
      <c r="R2104" s="9" t="s">
        <v>56</v>
      </c>
      <c r="S2104" s="9" t="s">
        <v>57</v>
      </c>
      <c r="T2104" s="9" t="s">
        <v>58</v>
      </c>
    </row>
    <row r="2105" ht="15.75" customHeight="1">
      <c r="A2105" s="9">
        <v>2561234.0</v>
      </c>
      <c r="B2105" s="9">
        <v>3.0028178536E8</v>
      </c>
      <c r="C2105" s="9">
        <v>47792.0</v>
      </c>
      <c r="D2105" s="9" t="s">
        <v>52</v>
      </c>
      <c r="E2105" s="9" t="s">
        <v>154</v>
      </c>
      <c r="F2105" s="9">
        <v>2561234.0</v>
      </c>
      <c r="H2105" s="9">
        <v>3.0745764301E8</v>
      </c>
      <c r="I2105" s="9">
        <v>3.21520724E7</v>
      </c>
      <c r="J2105" s="9">
        <v>9259396.48</v>
      </c>
      <c r="K2105" s="9">
        <v>1.372224E7</v>
      </c>
      <c r="L2105" s="9" t="s">
        <v>59</v>
      </c>
      <c r="M2105" s="9" t="s">
        <v>55</v>
      </c>
      <c r="N2105" s="9">
        <v>7885941.3</v>
      </c>
      <c r="O2105" s="9">
        <v>7458779.78</v>
      </c>
      <c r="P2105" s="9">
        <v>741304.0</v>
      </c>
      <c r="Q2105" s="9">
        <v>666476.69</v>
      </c>
      <c r="R2105" s="9" t="s">
        <v>75</v>
      </c>
      <c r="S2105" s="9" t="s">
        <v>57</v>
      </c>
      <c r="T2105" s="9" t="s">
        <v>76</v>
      </c>
    </row>
    <row r="2106" ht="15.75" customHeight="1">
      <c r="A2106" s="9">
        <v>2592152.0</v>
      </c>
      <c r="B2106" s="9">
        <v>4.493118448E7</v>
      </c>
      <c r="C2106" s="9">
        <v>48253.0</v>
      </c>
      <c r="D2106" s="9" t="s">
        <v>52</v>
      </c>
      <c r="E2106" s="9" t="s">
        <v>103</v>
      </c>
      <c r="F2106" s="9">
        <v>2592152.0</v>
      </c>
      <c r="H2106" s="9">
        <v>4.493118448E7</v>
      </c>
      <c r="I2106" s="9">
        <v>1.692749804E7</v>
      </c>
      <c r="J2106" s="9">
        <v>1.692749804E7</v>
      </c>
      <c r="K2106" s="9">
        <v>4.4931184E7</v>
      </c>
      <c r="L2106" s="9" t="s">
        <v>59</v>
      </c>
      <c r="M2106" s="9" t="s">
        <v>55</v>
      </c>
      <c r="N2106" s="9">
        <v>7944292.86</v>
      </c>
      <c r="O2106" s="9">
        <v>7149863.58</v>
      </c>
      <c r="R2106" s="9" t="s">
        <v>104</v>
      </c>
      <c r="S2106" s="9" t="s">
        <v>82</v>
      </c>
      <c r="T2106" s="9" t="s">
        <v>83</v>
      </c>
      <c r="U2106" s="9" t="s">
        <v>105</v>
      </c>
    </row>
    <row r="2107" ht="15.75" customHeight="1">
      <c r="A2107" s="9">
        <v>2594941.0</v>
      </c>
      <c r="B2107" s="9">
        <v>3549045.91</v>
      </c>
      <c r="C2107" s="9">
        <v>48252.0</v>
      </c>
      <c r="D2107" s="9" t="s">
        <v>52</v>
      </c>
      <c r="E2107" s="9" t="s">
        <v>103</v>
      </c>
      <c r="F2107" s="9">
        <v>2594941.0</v>
      </c>
      <c r="H2107" s="9">
        <v>3549045.91</v>
      </c>
      <c r="I2107" s="9">
        <v>2309611.1</v>
      </c>
      <c r="J2107" s="9">
        <v>2309611.1</v>
      </c>
      <c r="K2107" s="9">
        <v>1884816.0</v>
      </c>
      <c r="L2107" s="9" t="s">
        <v>59</v>
      </c>
      <c r="M2107" s="9" t="s">
        <v>55</v>
      </c>
      <c r="N2107" s="9">
        <v>3399801.9</v>
      </c>
      <c r="O2107" s="9">
        <v>3059821.72</v>
      </c>
      <c r="R2107" s="9" t="s">
        <v>77</v>
      </c>
      <c r="S2107" s="9" t="s">
        <v>78</v>
      </c>
      <c r="T2107" s="9" t="s">
        <v>79</v>
      </c>
      <c r="U2107" s="9" t="s">
        <v>80</v>
      </c>
    </row>
    <row r="2108" ht="15.75" customHeight="1">
      <c r="A2108" s="9">
        <v>2602482.0</v>
      </c>
      <c r="B2108" s="9">
        <v>3032844.75</v>
      </c>
      <c r="C2108" s="9">
        <v>48308.0</v>
      </c>
      <c r="D2108" s="9" t="s">
        <v>52</v>
      </c>
      <c r="E2108" s="9" t="s">
        <v>53</v>
      </c>
      <c r="F2108" s="9">
        <v>2602482.0</v>
      </c>
      <c r="G2108" s="9">
        <v>3067125.37</v>
      </c>
      <c r="H2108" s="9">
        <v>3262971.66</v>
      </c>
      <c r="I2108" s="9">
        <v>46000.0</v>
      </c>
      <c r="J2108" s="9">
        <v>0.0</v>
      </c>
      <c r="K2108" s="9">
        <v>1057394.0</v>
      </c>
      <c r="L2108" s="9" t="s">
        <v>59</v>
      </c>
      <c r="M2108" s="9" t="s">
        <v>55</v>
      </c>
      <c r="N2108" s="9">
        <v>3079629.8</v>
      </c>
      <c r="O2108" s="9">
        <v>3079262.42</v>
      </c>
      <c r="P2108" s="9">
        <v>137341.86</v>
      </c>
      <c r="Q2108" s="9">
        <v>137341.86</v>
      </c>
      <c r="R2108" s="9" t="s">
        <v>141</v>
      </c>
      <c r="S2108" s="9" t="s">
        <v>101</v>
      </c>
      <c r="T2108" s="9" t="s">
        <v>142</v>
      </c>
    </row>
    <row r="2109" ht="15.75" customHeight="1">
      <c r="A2109" s="9">
        <v>2609132.0</v>
      </c>
      <c r="B2109" s="9">
        <v>3862230.75</v>
      </c>
      <c r="C2109" s="9">
        <v>48165.0</v>
      </c>
      <c r="D2109" s="9" t="s">
        <v>52</v>
      </c>
      <c r="E2109" s="9" t="s">
        <v>53</v>
      </c>
      <c r="F2109" s="9">
        <v>2609132.0</v>
      </c>
      <c r="G2109" s="9">
        <v>4050742.16</v>
      </c>
      <c r="H2109" s="9">
        <v>4050742.16</v>
      </c>
      <c r="I2109" s="9">
        <v>2141799.52</v>
      </c>
      <c r="J2109" s="9">
        <v>1284184.21</v>
      </c>
      <c r="K2109" s="9">
        <v>1300404.0</v>
      </c>
      <c r="L2109" s="9" t="s">
        <v>59</v>
      </c>
      <c r="M2109" s="9" t="s">
        <v>55</v>
      </c>
      <c r="N2109" s="9">
        <v>3823838.27</v>
      </c>
      <c r="O2109" s="9">
        <v>3823838.27</v>
      </c>
      <c r="P2109" s="9">
        <v>186103.89</v>
      </c>
      <c r="Q2109" s="9">
        <v>167493.51</v>
      </c>
      <c r="R2109" s="9" t="s">
        <v>94</v>
      </c>
      <c r="S2109" s="9" t="s">
        <v>57</v>
      </c>
      <c r="T2109" s="9" t="s">
        <v>95</v>
      </c>
    </row>
    <row r="2110" ht="15.75" customHeight="1">
      <c r="A2110" s="9">
        <v>2163809.0</v>
      </c>
      <c r="B2110" s="9">
        <v>1.5794613E7</v>
      </c>
      <c r="C2110" s="9">
        <v>31575.0</v>
      </c>
      <c r="D2110" s="9" t="s">
        <v>52</v>
      </c>
      <c r="E2110" s="9" t="s">
        <v>53</v>
      </c>
      <c r="F2110" s="9">
        <v>215601.0</v>
      </c>
      <c r="G2110" s="9">
        <v>1.587850643E7</v>
      </c>
      <c r="H2110" s="9">
        <v>1.587850643E7</v>
      </c>
      <c r="I2110" s="9">
        <v>1.540313939E7</v>
      </c>
      <c r="J2110" s="9">
        <v>0.0</v>
      </c>
      <c r="K2110" s="9">
        <v>0.0</v>
      </c>
      <c r="L2110" s="9" t="s">
        <v>59</v>
      </c>
      <c r="M2110" s="9" t="s">
        <v>55</v>
      </c>
      <c r="N2110" s="9">
        <v>1.509830114E7</v>
      </c>
      <c r="O2110" s="9">
        <v>1.509830114E7</v>
      </c>
      <c r="P2110" s="9">
        <v>556311.76</v>
      </c>
      <c r="Q2110" s="9">
        <v>556311.76</v>
      </c>
      <c r="R2110" s="9" t="s">
        <v>77</v>
      </c>
      <c r="S2110" s="9" t="s">
        <v>78</v>
      </c>
      <c r="T2110" s="9" t="s">
        <v>79</v>
      </c>
      <c r="U2110" s="9" t="s">
        <v>80</v>
      </c>
    </row>
    <row r="2111" ht="15.75" customHeight="1">
      <c r="A2111" s="9">
        <v>2165095.0</v>
      </c>
      <c r="B2111" s="9">
        <v>1617565.0</v>
      </c>
      <c r="C2111" s="9">
        <v>26704.0</v>
      </c>
      <c r="D2111" s="9" t="s">
        <v>52</v>
      </c>
      <c r="E2111" s="9" t="s">
        <v>53</v>
      </c>
      <c r="F2111" s="9">
        <v>190842.0</v>
      </c>
      <c r="G2111" s="9">
        <v>60000.0</v>
      </c>
      <c r="H2111" s="9">
        <v>60000.0</v>
      </c>
      <c r="I2111" s="9">
        <v>2135816.41</v>
      </c>
      <c r="J2111" s="9">
        <v>0.0</v>
      </c>
      <c r="K2111" s="9">
        <v>0.0</v>
      </c>
      <c r="L2111" s="9" t="s">
        <v>59</v>
      </c>
      <c r="M2111" s="9" t="s">
        <v>55</v>
      </c>
      <c r="N2111" s="9">
        <v>1944045.53</v>
      </c>
      <c r="O2111" s="9">
        <v>1944045.53</v>
      </c>
      <c r="P2111" s="9">
        <v>71000.0</v>
      </c>
      <c r="Q2111" s="9">
        <v>71000.0</v>
      </c>
      <c r="R2111" s="9" t="s">
        <v>60</v>
      </c>
      <c r="S2111" s="9" t="s">
        <v>57</v>
      </c>
      <c r="T2111" s="9" t="s">
        <v>61</v>
      </c>
      <c r="V2111" s="9">
        <v>2059566.4</v>
      </c>
      <c r="W2111" s="9">
        <v>71000.0</v>
      </c>
      <c r="X2111" s="9">
        <v>0.0</v>
      </c>
    </row>
    <row r="2112" ht="15.75" customHeight="1">
      <c r="A2112" s="9">
        <v>2165259.0</v>
      </c>
      <c r="B2112" s="9">
        <v>703070.72</v>
      </c>
      <c r="C2112" s="9">
        <v>33257.0</v>
      </c>
      <c r="D2112" s="9" t="s">
        <v>52</v>
      </c>
      <c r="E2112" s="9" t="s">
        <v>53</v>
      </c>
      <c r="F2112" s="9">
        <v>228745.0</v>
      </c>
      <c r="G2112" s="9">
        <v>1263129.0</v>
      </c>
      <c r="H2112" s="9">
        <v>1302929.22</v>
      </c>
      <c r="I2112" s="9">
        <v>1287930.78</v>
      </c>
      <c r="J2112" s="9">
        <v>0.0</v>
      </c>
      <c r="K2112" s="9">
        <v>0.0</v>
      </c>
      <c r="L2112" s="9" t="s">
        <v>69</v>
      </c>
      <c r="M2112" s="9" t="s">
        <v>55</v>
      </c>
      <c r="N2112" s="9">
        <v>1223539.78</v>
      </c>
      <c r="O2112" s="9">
        <v>1223539.78</v>
      </c>
      <c r="P2112" s="9">
        <v>24590.0</v>
      </c>
      <c r="Q2112" s="9">
        <v>24590.0</v>
      </c>
      <c r="R2112" s="9" t="s">
        <v>60</v>
      </c>
      <c r="S2112" s="9" t="s">
        <v>57</v>
      </c>
      <c r="T2112" s="9" t="s">
        <v>61</v>
      </c>
      <c r="V2112" s="9">
        <v>1263340.0</v>
      </c>
      <c r="W2112" s="9">
        <v>0.0</v>
      </c>
      <c r="X2112" s="9">
        <v>0.0</v>
      </c>
    </row>
    <row r="2113" ht="15.75" customHeight="1">
      <c r="A2113" s="9">
        <v>2167367.0</v>
      </c>
      <c r="B2113" s="9">
        <v>8062944.0</v>
      </c>
      <c r="C2113" s="9">
        <v>29841.0</v>
      </c>
      <c r="D2113" s="9" t="s">
        <v>52</v>
      </c>
      <c r="E2113" s="9" t="s">
        <v>53</v>
      </c>
      <c r="F2113" s="9">
        <v>234100.0</v>
      </c>
      <c r="G2113" s="9">
        <v>8062944.0</v>
      </c>
      <c r="H2113" s="9">
        <v>8062944.0</v>
      </c>
      <c r="I2113" s="9">
        <v>0.0</v>
      </c>
      <c r="J2113" s="9">
        <v>0.0</v>
      </c>
      <c r="K2113" s="9">
        <v>0.0</v>
      </c>
      <c r="L2113" s="9" t="s">
        <v>54</v>
      </c>
      <c r="M2113" s="9" t="s">
        <v>65</v>
      </c>
      <c r="N2113" s="9">
        <v>228196.0</v>
      </c>
      <c r="O2113" s="9">
        <v>228196.0</v>
      </c>
      <c r="R2113" s="9" t="s">
        <v>60</v>
      </c>
      <c r="S2113" s="9" t="s">
        <v>57</v>
      </c>
      <c r="T2113" s="9" t="s">
        <v>61</v>
      </c>
      <c r="V2113" s="9">
        <v>228196.0</v>
      </c>
      <c r="W2113" s="9">
        <v>0.0</v>
      </c>
    </row>
    <row r="2114" ht="15.75" customHeight="1">
      <c r="A2114" s="9">
        <v>2167692.0</v>
      </c>
      <c r="B2114" s="9">
        <v>4.7836356E7</v>
      </c>
      <c r="C2114" s="9">
        <v>45860.0</v>
      </c>
      <c r="D2114" s="9" t="s">
        <v>52</v>
      </c>
      <c r="E2114" s="9" t="s">
        <v>88</v>
      </c>
      <c r="F2114" s="9">
        <v>139200.0</v>
      </c>
      <c r="H2114" s="9">
        <v>1.5628323056E8</v>
      </c>
      <c r="I2114" s="9">
        <v>1.5391571281E8</v>
      </c>
      <c r="J2114" s="9">
        <v>1.034229581E7</v>
      </c>
      <c r="K2114" s="9">
        <v>1.0490994E7</v>
      </c>
      <c r="L2114" s="9" t="s">
        <v>59</v>
      </c>
      <c r="M2114" s="9" t="s">
        <v>55</v>
      </c>
      <c r="N2114" s="9">
        <v>6.839808411E7</v>
      </c>
      <c r="O2114" s="9">
        <v>4.956374012E7</v>
      </c>
      <c r="P2114" s="9">
        <v>4241872.86</v>
      </c>
      <c r="Q2114" s="9">
        <v>4241872.86</v>
      </c>
      <c r="R2114" s="9" t="s">
        <v>56</v>
      </c>
      <c r="S2114" s="9" t="s">
        <v>57</v>
      </c>
      <c r="T2114" s="9" t="s">
        <v>58</v>
      </c>
    </row>
    <row r="2115" ht="15.75" customHeight="1">
      <c r="A2115" s="9">
        <v>2173290.0</v>
      </c>
      <c r="B2115" s="9">
        <v>5.2702559E7</v>
      </c>
      <c r="C2115" s="9">
        <v>26753.0</v>
      </c>
      <c r="D2115" s="9" t="s">
        <v>52</v>
      </c>
      <c r="E2115" s="9" t="s">
        <v>53</v>
      </c>
      <c r="F2115" s="9">
        <v>78058.0</v>
      </c>
      <c r="G2115" s="9">
        <v>7.9000723E7</v>
      </c>
      <c r="H2115" s="9">
        <v>9.218767599E7</v>
      </c>
      <c r="I2115" s="9">
        <v>8.365335361E7</v>
      </c>
      <c r="J2115" s="9">
        <v>0.0</v>
      </c>
      <c r="K2115" s="9">
        <v>0.0</v>
      </c>
      <c r="L2115" s="9" t="s">
        <v>59</v>
      </c>
      <c r="M2115" s="9" t="s">
        <v>55</v>
      </c>
      <c r="N2115" s="9">
        <v>5.989717618E7</v>
      </c>
      <c r="O2115" s="9">
        <v>5.989717618E7</v>
      </c>
      <c r="P2115" s="9">
        <v>1538425.0</v>
      </c>
      <c r="Q2115" s="9">
        <v>1384582.5</v>
      </c>
      <c r="R2115" s="9" t="s">
        <v>70</v>
      </c>
      <c r="S2115" s="9" t="s">
        <v>57</v>
      </c>
      <c r="T2115" s="9" t="s">
        <v>71</v>
      </c>
    </row>
    <row r="2116" ht="15.75" customHeight="1">
      <c r="A2116" s="9">
        <v>2176259.0</v>
      </c>
      <c r="B2116" s="9">
        <v>2.8172673E7</v>
      </c>
      <c r="C2116" s="9">
        <v>31549.0</v>
      </c>
      <c r="D2116" s="9" t="s">
        <v>52</v>
      </c>
      <c r="E2116" s="9" t="s">
        <v>53</v>
      </c>
      <c r="F2116" s="9">
        <v>113901.0</v>
      </c>
      <c r="G2116" s="9">
        <v>2.094384951E7</v>
      </c>
      <c r="H2116" s="9">
        <v>2.094384951E7</v>
      </c>
      <c r="I2116" s="9">
        <v>1.908547545E7</v>
      </c>
      <c r="J2116" s="9">
        <v>0.0</v>
      </c>
      <c r="K2116" s="9">
        <v>0.0</v>
      </c>
      <c r="L2116" s="9" t="s">
        <v>69</v>
      </c>
      <c r="M2116" s="9" t="s">
        <v>55</v>
      </c>
      <c r="N2116" s="9">
        <v>1.951186251E7</v>
      </c>
      <c r="O2116" s="9">
        <v>1.951186251E7</v>
      </c>
      <c r="P2116" s="9">
        <v>801987.0</v>
      </c>
      <c r="Q2116" s="9">
        <v>801987.0</v>
      </c>
      <c r="R2116" s="9" t="s">
        <v>72</v>
      </c>
      <c r="S2116" s="9" t="s">
        <v>57</v>
      </c>
      <c r="T2116" s="9" t="s">
        <v>73</v>
      </c>
      <c r="V2116" s="9">
        <v>1.948510794E7</v>
      </c>
      <c r="W2116" s="9">
        <v>637134.12</v>
      </c>
      <c r="X2116" s="9">
        <v>0.0</v>
      </c>
    </row>
    <row r="2117" ht="15.75" customHeight="1">
      <c r="A2117" s="9">
        <v>2177145.0</v>
      </c>
      <c r="B2117" s="9">
        <v>1.202649E7</v>
      </c>
      <c r="C2117" s="9">
        <v>26601.0</v>
      </c>
      <c r="D2117" s="9" t="s">
        <v>52</v>
      </c>
      <c r="E2117" s="9" t="s">
        <v>53</v>
      </c>
      <c r="F2117" s="9">
        <v>230441.0</v>
      </c>
      <c r="G2117" s="9">
        <v>1.018892997E7</v>
      </c>
      <c r="H2117" s="9">
        <v>1.018892997E7</v>
      </c>
      <c r="I2117" s="9">
        <v>1.008699673E7</v>
      </c>
      <c r="J2117" s="9">
        <v>0.0</v>
      </c>
      <c r="K2117" s="9">
        <v>0.0</v>
      </c>
      <c r="L2117" s="9" t="s">
        <v>59</v>
      </c>
      <c r="M2117" s="9" t="s">
        <v>55</v>
      </c>
      <c r="N2117" s="9">
        <v>9115296.71</v>
      </c>
      <c r="O2117" s="9">
        <v>9115296.71</v>
      </c>
      <c r="P2117" s="9">
        <v>453088.28</v>
      </c>
      <c r="Q2117" s="9">
        <v>453088.28</v>
      </c>
      <c r="R2117" s="9" t="s">
        <v>60</v>
      </c>
      <c r="S2117" s="9" t="s">
        <v>57</v>
      </c>
      <c r="T2117" s="9" t="s">
        <v>61</v>
      </c>
      <c r="V2117" s="9">
        <v>9399423.56</v>
      </c>
      <c r="W2117" s="9">
        <v>546726.52</v>
      </c>
      <c r="X2117" s="9">
        <v>0.0</v>
      </c>
    </row>
    <row r="2118" ht="15.75" customHeight="1">
      <c r="A2118" s="9">
        <v>2178481.0</v>
      </c>
      <c r="B2118" s="9">
        <v>6918845.0</v>
      </c>
      <c r="C2118" s="9">
        <v>46864.0</v>
      </c>
      <c r="D2118" s="9" t="s">
        <v>52</v>
      </c>
      <c r="E2118" s="9" t="s">
        <v>126</v>
      </c>
      <c r="F2118" s="9">
        <v>141469.0</v>
      </c>
      <c r="H2118" s="9">
        <v>2.452691014E7</v>
      </c>
      <c r="I2118" s="9">
        <v>3867670.0</v>
      </c>
      <c r="J2118" s="9">
        <v>565951.94</v>
      </c>
      <c r="K2118" s="9">
        <v>1350629.0</v>
      </c>
      <c r="L2118" s="9" t="s">
        <v>59</v>
      </c>
      <c r="M2118" s="9" t="s">
        <v>65</v>
      </c>
      <c r="R2118" s="9" t="s">
        <v>66</v>
      </c>
      <c r="S2118" s="9" t="s">
        <v>67</v>
      </c>
      <c r="T2118" s="9" t="s">
        <v>68</v>
      </c>
    </row>
    <row r="2119" ht="15.75" customHeight="1">
      <c r="A2119" s="9">
        <v>2178813.0</v>
      </c>
      <c r="B2119" s="9">
        <v>1.7239395E7</v>
      </c>
      <c r="C2119" s="9">
        <v>26643.0</v>
      </c>
      <c r="D2119" s="9" t="s">
        <v>52</v>
      </c>
      <c r="E2119" s="9" t="s">
        <v>53</v>
      </c>
      <c r="F2119" s="9">
        <v>186442.0</v>
      </c>
      <c r="G2119" s="9">
        <v>1.809366407E7</v>
      </c>
      <c r="H2119" s="9">
        <v>1.963749725E7</v>
      </c>
      <c r="I2119" s="9">
        <v>1.901904328E7</v>
      </c>
      <c r="J2119" s="9">
        <v>0.0</v>
      </c>
      <c r="K2119" s="9">
        <v>0.0</v>
      </c>
      <c r="L2119" s="9" t="s">
        <v>59</v>
      </c>
      <c r="M2119" s="9" t="s">
        <v>55</v>
      </c>
      <c r="N2119" s="9">
        <v>1.739775391E7</v>
      </c>
      <c r="O2119" s="9">
        <v>1.739775391E7</v>
      </c>
      <c r="P2119" s="9">
        <v>609386.16</v>
      </c>
      <c r="Q2119" s="9">
        <v>609386.16</v>
      </c>
      <c r="R2119" s="9" t="s">
        <v>60</v>
      </c>
      <c r="S2119" s="9" t="s">
        <v>57</v>
      </c>
      <c r="T2119" s="9" t="s">
        <v>61</v>
      </c>
      <c r="V2119" s="9">
        <v>1.8409647E7</v>
      </c>
      <c r="W2119" s="9">
        <v>609386.16</v>
      </c>
      <c r="X2119" s="9">
        <v>0.0</v>
      </c>
    </row>
    <row r="2120" ht="15.75" customHeight="1">
      <c r="A2120" s="9">
        <v>2183836.0</v>
      </c>
      <c r="B2120" s="9">
        <v>1209014.0</v>
      </c>
      <c r="C2120" s="9">
        <v>38497.0</v>
      </c>
      <c r="D2120" s="9" t="s">
        <v>52</v>
      </c>
      <c r="E2120" s="9" t="s">
        <v>64</v>
      </c>
      <c r="F2120" s="9">
        <v>242808.0</v>
      </c>
      <c r="G2120" s="9">
        <v>1209014.0</v>
      </c>
      <c r="H2120" s="9">
        <v>1209014.0</v>
      </c>
      <c r="I2120" s="9">
        <v>51580.96</v>
      </c>
      <c r="J2120" s="9">
        <v>0.0</v>
      </c>
      <c r="K2120" s="9">
        <v>0.0</v>
      </c>
      <c r="L2120" s="9" t="s">
        <v>59</v>
      </c>
      <c r="M2120" s="9" t="s">
        <v>65</v>
      </c>
      <c r="N2120" s="9">
        <v>0.0</v>
      </c>
      <c r="O2120" s="9">
        <v>0.0</v>
      </c>
      <c r="R2120" s="9" t="s">
        <v>85</v>
      </c>
      <c r="S2120" s="9" t="s">
        <v>67</v>
      </c>
      <c r="T2120" s="9" t="s">
        <v>86</v>
      </c>
    </row>
    <row r="2121" ht="15.75" customHeight="1">
      <c r="A2121" s="9">
        <v>2186612.0</v>
      </c>
      <c r="B2121" s="9">
        <v>800029.55</v>
      </c>
      <c r="C2121" s="9">
        <v>31634.0</v>
      </c>
      <c r="D2121" s="9" t="s">
        <v>52</v>
      </c>
      <c r="E2121" s="9" t="s">
        <v>53</v>
      </c>
      <c r="F2121" s="9">
        <v>272658.0</v>
      </c>
      <c r="G2121" s="9">
        <v>798666.54</v>
      </c>
      <c r="H2121" s="9">
        <v>798666.54</v>
      </c>
      <c r="I2121" s="9">
        <v>782387.81</v>
      </c>
      <c r="J2121" s="9">
        <v>0.0</v>
      </c>
      <c r="K2121" s="9">
        <v>0.0</v>
      </c>
      <c r="L2121" s="9" t="s">
        <v>59</v>
      </c>
      <c r="M2121" s="9" t="s">
        <v>55</v>
      </c>
      <c r="N2121" s="9">
        <v>732286.23</v>
      </c>
      <c r="O2121" s="9">
        <v>732286.23</v>
      </c>
      <c r="P2121" s="9">
        <v>36600.0</v>
      </c>
      <c r="Q2121" s="9">
        <v>36600.0</v>
      </c>
      <c r="R2121" s="9" t="s">
        <v>56</v>
      </c>
      <c r="S2121" s="9" t="s">
        <v>57</v>
      </c>
      <c r="T2121" s="9" t="s">
        <v>58</v>
      </c>
      <c r="V2121" s="9">
        <v>731055.14</v>
      </c>
      <c r="W2121" s="9">
        <v>0.0</v>
      </c>
      <c r="X2121" s="9">
        <v>0.0</v>
      </c>
    </row>
    <row r="2122" ht="15.75" customHeight="1">
      <c r="A2122" s="9">
        <v>2187005.0</v>
      </c>
      <c r="B2122" s="9">
        <v>4093489.0</v>
      </c>
      <c r="C2122" s="9">
        <v>33453.0</v>
      </c>
      <c r="D2122" s="9" t="s">
        <v>52</v>
      </c>
      <c r="E2122" s="9" t="s">
        <v>53</v>
      </c>
      <c r="F2122" s="9">
        <v>271489.0</v>
      </c>
      <c r="G2122" s="9">
        <v>3932186.27</v>
      </c>
      <c r="H2122" s="9">
        <v>3932186.27</v>
      </c>
      <c r="I2122" s="9">
        <v>3815686.25</v>
      </c>
      <c r="J2122" s="9">
        <v>0.0</v>
      </c>
      <c r="K2122" s="9">
        <v>0.0</v>
      </c>
      <c r="L2122" s="9" t="s">
        <v>59</v>
      </c>
      <c r="M2122" s="9" t="s">
        <v>55</v>
      </c>
      <c r="N2122" s="9">
        <v>3617186.27</v>
      </c>
      <c r="O2122" s="9">
        <v>3617186.27</v>
      </c>
      <c r="P2122" s="9">
        <v>198500.0</v>
      </c>
      <c r="Q2122" s="9">
        <v>198500.0</v>
      </c>
      <c r="R2122" s="9" t="s">
        <v>56</v>
      </c>
      <c r="S2122" s="9" t="s">
        <v>57</v>
      </c>
      <c r="T2122" s="9" t="s">
        <v>58</v>
      </c>
      <c r="V2122" s="9">
        <v>3617186.27</v>
      </c>
      <c r="W2122" s="9">
        <v>0.0</v>
      </c>
      <c r="X2122" s="9">
        <v>0.0</v>
      </c>
    </row>
    <row r="2123" ht="15.75" customHeight="1">
      <c r="A2123" s="9">
        <v>2196622.0</v>
      </c>
      <c r="B2123" s="9">
        <v>5330754.0</v>
      </c>
      <c r="C2123" s="9">
        <v>46165.0</v>
      </c>
      <c r="D2123" s="9" t="s">
        <v>52</v>
      </c>
      <c r="E2123" s="9" t="s">
        <v>53</v>
      </c>
      <c r="F2123" s="9">
        <v>282147.0</v>
      </c>
      <c r="G2123" s="9">
        <v>5237680.79</v>
      </c>
      <c r="H2123" s="9">
        <v>7828282.88</v>
      </c>
      <c r="I2123" s="9">
        <v>2347371.89</v>
      </c>
      <c r="J2123" s="9">
        <v>0.0</v>
      </c>
      <c r="K2123" s="9">
        <v>0.0</v>
      </c>
      <c r="L2123" s="9" t="s">
        <v>59</v>
      </c>
      <c r="M2123" s="9" t="s">
        <v>62</v>
      </c>
      <c r="R2123" s="9" t="s">
        <v>77</v>
      </c>
      <c r="S2123" s="9" t="s">
        <v>78</v>
      </c>
      <c r="T2123" s="9" t="s">
        <v>79</v>
      </c>
      <c r="U2123" s="9" t="s">
        <v>80</v>
      </c>
    </row>
    <row r="2124" ht="15.75" customHeight="1">
      <c r="A2124" s="9">
        <v>2196940.0</v>
      </c>
      <c r="B2124" s="9">
        <v>8224737.0</v>
      </c>
      <c r="C2124" s="9">
        <v>31596.0</v>
      </c>
      <c r="D2124" s="9" t="s">
        <v>52</v>
      </c>
      <c r="E2124" s="9" t="s">
        <v>53</v>
      </c>
      <c r="F2124" s="9">
        <v>264381.0</v>
      </c>
      <c r="G2124" s="9">
        <v>9549413.01</v>
      </c>
      <c r="H2124" s="9">
        <v>9549413.01</v>
      </c>
      <c r="I2124" s="9">
        <v>9724759.01</v>
      </c>
      <c r="J2124" s="9">
        <v>0.0</v>
      </c>
      <c r="K2124" s="9">
        <v>0.0</v>
      </c>
      <c r="L2124" s="9" t="s">
        <v>59</v>
      </c>
      <c r="M2124" s="9" t="s">
        <v>55</v>
      </c>
      <c r="N2124" s="9">
        <v>9199450.22</v>
      </c>
      <c r="O2124" s="9">
        <v>9199450.22</v>
      </c>
      <c r="P2124" s="9">
        <v>338962.79</v>
      </c>
      <c r="Q2124" s="9">
        <v>338962.79</v>
      </c>
      <c r="R2124" s="9" t="s">
        <v>72</v>
      </c>
      <c r="S2124" s="9" t="s">
        <v>57</v>
      </c>
      <c r="T2124" s="9" t="s">
        <v>73</v>
      </c>
      <c r="V2124" s="9">
        <v>9198988.32</v>
      </c>
      <c r="W2124" s="9">
        <v>247295.37</v>
      </c>
      <c r="X2124" s="9">
        <v>0.0</v>
      </c>
    </row>
    <row r="2125" ht="15.75" customHeight="1">
      <c r="A2125" s="9">
        <v>2197197.0</v>
      </c>
      <c r="B2125" s="9">
        <v>4.0790847E7</v>
      </c>
      <c r="C2125" s="9">
        <v>32176.0</v>
      </c>
      <c r="D2125" s="9" t="s">
        <v>52</v>
      </c>
      <c r="E2125" s="9" t="s">
        <v>53</v>
      </c>
      <c r="F2125" s="9">
        <v>296878.0</v>
      </c>
      <c r="G2125" s="9">
        <v>5.586809655E7</v>
      </c>
      <c r="H2125" s="9">
        <v>6.395822501E7</v>
      </c>
      <c r="I2125" s="9">
        <v>5.986073584E7</v>
      </c>
      <c r="J2125" s="9">
        <v>0.0</v>
      </c>
      <c r="K2125" s="9">
        <v>42300.0</v>
      </c>
      <c r="L2125" s="9" t="s">
        <v>59</v>
      </c>
      <c r="M2125" s="9" t="s">
        <v>55</v>
      </c>
      <c r="N2125" s="9">
        <v>4.737334126E7</v>
      </c>
      <c r="O2125" s="9">
        <v>4.737334126E7</v>
      </c>
      <c r="P2125" s="9">
        <v>1195900.0</v>
      </c>
      <c r="Q2125" s="9">
        <v>1195900.0</v>
      </c>
      <c r="R2125" s="9" t="s">
        <v>56</v>
      </c>
      <c r="S2125" s="9" t="s">
        <v>57</v>
      </c>
      <c r="T2125" s="9" t="s">
        <v>58</v>
      </c>
      <c r="V2125" s="9">
        <v>4.930279052E7</v>
      </c>
      <c r="W2125" s="9">
        <v>0.0</v>
      </c>
      <c r="X2125" s="9">
        <v>0.0</v>
      </c>
    </row>
    <row r="2126" ht="15.75" customHeight="1">
      <c r="A2126" s="9">
        <v>2198719.0</v>
      </c>
      <c r="B2126" s="9">
        <v>1.783123E7</v>
      </c>
      <c r="C2126" s="9">
        <v>37596.0</v>
      </c>
      <c r="D2126" s="9" t="s">
        <v>52</v>
      </c>
      <c r="E2126" s="9" t="s">
        <v>53</v>
      </c>
      <c r="F2126" s="9">
        <v>269481.0</v>
      </c>
      <c r="G2126" s="9">
        <v>1.899199917E7</v>
      </c>
      <c r="H2126" s="9">
        <v>2.253414021E7</v>
      </c>
      <c r="I2126" s="9">
        <v>2.235650749E7</v>
      </c>
      <c r="J2126" s="9">
        <v>0.0</v>
      </c>
      <c r="K2126" s="9">
        <v>0.0</v>
      </c>
      <c r="L2126" s="9" t="s">
        <v>59</v>
      </c>
      <c r="M2126" s="9" t="s">
        <v>55</v>
      </c>
      <c r="N2126" s="9">
        <v>1.87701011E7</v>
      </c>
      <c r="O2126" s="9">
        <v>1.689309099E7</v>
      </c>
      <c r="P2126" s="9">
        <v>415033.09</v>
      </c>
      <c r="Q2126" s="9">
        <v>415033.09</v>
      </c>
      <c r="R2126" s="9" t="s">
        <v>56</v>
      </c>
      <c r="S2126" s="9" t="s">
        <v>57</v>
      </c>
      <c r="T2126" s="9" t="s">
        <v>58</v>
      </c>
    </row>
    <row r="2127" ht="15.75" customHeight="1">
      <c r="A2127" s="9">
        <v>2209133.0</v>
      </c>
      <c r="B2127" s="9">
        <v>1.9991622E7</v>
      </c>
      <c r="C2127" s="9">
        <v>40288.0</v>
      </c>
      <c r="D2127" s="9" t="s">
        <v>52</v>
      </c>
      <c r="E2127" s="9" t="s">
        <v>53</v>
      </c>
      <c r="F2127" s="9">
        <v>203374.0</v>
      </c>
      <c r="G2127" s="9">
        <v>2.358757483E7</v>
      </c>
      <c r="H2127" s="9">
        <v>2.54532398E7</v>
      </c>
      <c r="I2127" s="9">
        <v>2.475343236E7</v>
      </c>
      <c r="J2127" s="9">
        <v>0.0</v>
      </c>
      <c r="K2127" s="9">
        <v>0.0</v>
      </c>
      <c r="L2127" s="9" t="s">
        <v>69</v>
      </c>
      <c r="M2127" s="9" t="s">
        <v>55</v>
      </c>
      <c r="N2127" s="9">
        <v>2.278992737E7</v>
      </c>
      <c r="O2127" s="9">
        <v>2.278992734E7</v>
      </c>
      <c r="P2127" s="9">
        <v>797647.46</v>
      </c>
      <c r="Q2127" s="9">
        <v>797647.46</v>
      </c>
      <c r="R2127" s="9" t="s">
        <v>56</v>
      </c>
      <c r="S2127" s="9" t="s">
        <v>57</v>
      </c>
      <c r="T2127" s="9" t="s">
        <v>58</v>
      </c>
      <c r="V2127" s="9">
        <v>2.455803508E7</v>
      </c>
      <c r="W2127" s="9">
        <v>895204.72</v>
      </c>
      <c r="X2127" s="9">
        <v>0.0</v>
      </c>
    </row>
    <row r="2128" ht="15.75" customHeight="1">
      <c r="A2128" s="9">
        <v>2209390.0</v>
      </c>
      <c r="B2128" s="9">
        <v>372608.09</v>
      </c>
      <c r="C2128" s="9">
        <v>26604.0</v>
      </c>
      <c r="D2128" s="9" t="s">
        <v>52</v>
      </c>
      <c r="E2128" s="9" t="s">
        <v>53</v>
      </c>
      <c r="F2128" s="9">
        <v>212810.0</v>
      </c>
      <c r="G2128" s="9">
        <v>483883.36</v>
      </c>
      <c r="H2128" s="9">
        <v>483883.36</v>
      </c>
      <c r="I2128" s="9">
        <v>436882.11</v>
      </c>
      <c r="J2128" s="9">
        <v>0.0</v>
      </c>
      <c r="K2128" s="9">
        <v>0.0</v>
      </c>
      <c r="L2128" s="9" t="s">
        <v>59</v>
      </c>
      <c r="M2128" s="9" t="s">
        <v>55</v>
      </c>
      <c r="N2128" s="9">
        <v>439383.36</v>
      </c>
      <c r="O2128" s="9">
        <v>439383.36</v>
      </c>
      <c r="R2128" s="9" t="s">
        <v>56</v>
      </c>
      <c r="S2128" s="9" t="s">
        <v>57</v>
      </c>
      <c r="T2128" s="9" t="s">
        <v>58</v>
      </c>
      <c r="V2128" s="9">
        <v>439383.36</v>
      </c>
      <c r="W2128" s="9">
        <v>0.0</v>
      </c>
      <c r="X2128" s="9">
        <v>0.0</v>
      </c>
    </row>
    <row r="2129" ht="15.75" customHeight="1">
      <c r="A2129" s="9">
        <v>2215892.0</v>
      </c>
      <c r="B2129" s="9">
        <v>9894994.0</v>
      </c>
      <c r="C2129" s="9">
        <v>30379.0</v>
      </c>
      <c r="D2129" s="9" t="s">
        <v>52</v>
      </c>
      <c r="E2129" s="9" t="s">
        <v>53</v>
      </c>
      <c r="F2129" s="9">
        <v>187558.0</v>
      </c>
      <c r="G2129" s="9">
        <v>9982010.83</v>
      </c>
      <c r="H2129" s="9">
        <v>9982010.83</v>
      </c>
      <c r="I2129" s="9">
        <v>9871485.43</v>
      </c>
      <c r="J2129" s="9">
        <v>0.0</v>
      </c>
      <c r="K2129" s="9">
        <v>0.0</v>
      </c>
      <c r="L2129" s="9" t="s">
        <v>69</v>
      </c>
      <c r="M2129" s="9" t="s">
        <v>55</v>
      </c>
      <c r="N2129" s="9">
        <v>9738547.15</v>
      </c>
      <c r="O2129" s="9">
        <v>9738547.15</v>
      </c>
      <c r="P2129" s="9">
        <v>146078.0</v>
      </c>
      <c r="Q2129" s="9">
        <v>146078.0</v>
      </c>
      <c r="R2129" s="9" t="s">
        <v>60</v>
      </c>
      <c r="S2129" s="9" t="s">
        <v>57</v>
      </c>
      <c r="T2129" s="9" t="s">
        <v>61</v>
      </c>
      <c r="V2129" s="9">
        <v>9738547.15</v>
      </c>
      <c r="W2129" s="9">
        <v>132938.28</v>
      </c>
      <c r="X2129" s="9">
        <v>0.0</v>
      </c>
    </row>
    <row r="2130" ht="15.75" customHeight="1">
      <c r="A2130" s="9">
        <v>2215935.0</v>
      </c>
      <c r="B2130" s="9">
        <v>2558276.0</v>
      </c>
      <c r="C2130" s="9">
        <v>46853.0</v>
      </c>
      <c r="D2130" s="9" t="s">
        <v>52</v>
      </c>
      <c r="E2130" s="9" t="s">
        <v>53</v>
      </c>
      <c r="F2130" s="9">
        <v>185629.0</v>
      </c>
      <c r="G2130" s="9">
        <v>3495351.16</v>
      </c>
      <c r="H2130" s="9">
        <v>1.238849744E7</v>
      </c>
      <c r="I2130" s="9">
        <v>1.230499484E7</v>
      </c>
      <c r="J2130" s="9">
        <v>94313.41</v>
      </c>
      <c r="K2130" s="9">
        <v>166468.0</v>
      </c>
      <c r="L2130" s="9" t="s">
        <v>59</v>
      </c>
      <c r="M2130" s="9" t="s">
        <v>55</v>
      </c>
      <c r="R2130" s="9" t="s">
        <v>56</v>
      </c>
      <c r="S2130" s="9" t="s">
        <v>57</v>
      </c>
      <c r="T2130" s="9" t="s">
        <v>58</v>
      </c>
    </row>
    <row r="2131" ht="15.75" customHeight="1">
      <c r="A2131" s="9">
        <v>2216535.0</v>
      </c>
      <c r="B2131" s="9">
        <v>5720547.0</v>
      </c>
      <c r="C2131" s="9">
        <v>31580.0</v>
      </c>
      <c r="D2131" s="9" t="s">
        <v>52</v>
      </c>
      <c r="E2131" s="9" t="s">
        <v>53</v>
      </c>
      <c r="F2131" s="9">
        <v>220671.0</v>
      </c>
      <c r="G2131" s="9">
        <v>7535239.42</v>
      </c>
      <c r="H2131" s="9">
        <v>7535239.42</v>
      </c>
      <c r="I2131" s="9">
        <v>7389591.52</v>
      </c>
      <c r="J2131" s="9">
        <v>0.0</v>
      </c>
      <c r="K2131" s="9">
        <v>0.0</v>
      </c>
      <c r="L2131" s="9" t="s">
        <v>59</v>
      </c>
      <c r="M2131" s="9" t="s">
        <v>55</v>
      </c>
      <c r="N2131" s="9">
        <v>6533180.94</v>
      </c>
      <c r="O2131" s="9">
        <v>6533180.94</v>
      </c>
      <c r="P2131" s="9">
        <v>0.0</v>
      </c>
      <c r="Q2131" s="9">
        <v>0.0</v>
      </c>
      <c r="R2131" s="9" t="s">
        <v>60</v>
      </c>
      <c r="S2131" s="9" t="s">
        <v>57</v>
      </c>
      <c r="T2131" s="9" t="s">
        <v>61</v>
      </c>
      <c r="V2131" s="9">
        <v>7213916.51</v>
      </c>
      <c r="W2131" s="9">
        <v>0.0</v>
      </c>
      <c r="X2131" s="9">
        <v>0.0</v>
      </c>
    </row>
    <row r="2132" ht="15.75" customHeight="1">
      <c r="A2132" s="9">
        <v>2436856.0</v>
      </c>
      <c r="B2132" s="9">
        <v>230431.56</v>
      </c>
      <c r="C2132" s="9">
        <v>43155.0</v>
      </c>
      <c r="D2132" s="9" t="s">
        <v>52</v>
      </c>
      <c r="E2132" s="9" t="s">
        <v>111</v>
      </c>
      <c r="F2132" s="9">
        <v>2436856.0</v>
      </c>
      <c r="G2132" s="9">
        <v>230431.56</v>
      </c>
      <c r="H2132" s="9">
        <v>234030.06</v>
      </c>
      <c r="I2132" s="9">
        <v>10007.2</v>
      </c>
      <c r="J2132" s="9">
        <v>0.0</v>
      </c>
      <c r="K2132" s="9">
        <v>0.0</v>
      </c>
      <c r="L2132" s="9" t="s">
        <v>59</v>
      </c>
      <c r="M2132" s="9" t="s">
        <v>55</v>
      </c>
      <c r="R2132" s="9" t="s">
        <v>94</v>
      </c>
      <c r="S2132" s="9" t="s">
        <v>57</v>
      </c>
      <c r="T2132" s="9" t="s">
        <v>95</v>
      </c>
    </row>
    <row r="2133" ht="15.75" customHeight="1">
      <c r="A2133" s="9">
        <v>2436879.0</v>
      </c>
      <c r="B2133" s="9">
        <v>626958.77</v>
      </c>
      <c r="C2133" s="9">
        <v>43246.0</v>
      </c>
      <c r="D2133" s="9" t="s">
        <v>52</v>
      </c>
      <c r="E2133" s="9" t="s">
        <v>111</v>
      </c>
      <c r="F2133" s="9">
        <v>2436879.0</v>
      </c>
      <c r="G2133" s="9">
        <v>626958.77</v>
      </c>
      <c r="H2133" s="9">
        <v>628890.27</v>
      </c>
      <c r="I2133" s="9">
        <v>12100.0</v>
      </c>
      <c r="J2133" s="9">
        <v>0.0</v>
      </c>
      <c r="K2133" s="9">
        <v>0.0</v>
      </c>
      <c r="L2133" s="9" t="s">
        <v>59</v>
      </c>
      <c r="M2133" s="9" t="s">
        <v>55</v>
      </c>
      <c r="R2133" s="9" t="s">
        <v>94</v>
      </c>
      <c r="S2133" s="9" t="s">
        <v>57</v>
      </c>
      <c r="T2133" s="9" t="s">
        <v>95</v>
      </c>
    </row>
    <row r="2134" ht="15.75" customHeight="1">
      <c r="A2134" s="9">
        <v>2437415.0</v>
      </c>
      <c r="B2134" s="9">
        <v>187526.85</v>
      </c>
      <c r="C2134" s="9">
        <v>43197.0</v>
      </c>
      <c r="D2134" s="9" t="s">
        <v>52</v>
      </c>
      <c r="E2134" s="9" t="s">
        <v>111</v>
      </c>
      <c r="F2134" s="9">
        <v>2437415.0</v>
      </c>
      <c r="G2134" s="9">
        <v>187526.85</v>
      </c>
      <c r="H2134" s="9">
        <v>192596.09</v>
      </c>
      <c r="I2134" s="9">
        <v>6855.6</v>
      </c>
      <c r="J2134" s="9">
        <v>0.0</v>
      </c>
      <c r="K2134" s="9">
        <v>0.0</v>
      </c>
      <c r="L2134" s="9" t="s">
        <v>59</v>
      </c>
      <c r="M2134" s="9" t="s">
        <v>55</v>
      </c>
      <c r="R2134" s="9" t="s">
        <v>56</v>
      </c>
      <c r="S2134" s="9" t="s">
        <v>57</v>
      </c>
      <c r="T2134" s="9" t="s">
        <v>58</v>
      </c>
    </row>
    <row r="2135" ht="15.75" customHeight="1">
      <c r="A2135" s="9">
        <v>2437617.0</v>
      </c>
      <c r="B2135" s="9">
        <v>2840374.16</v>
      </c>
      <c r="C2135" s="9">
        <v>43261.0</v>
      </c>
      <c r="D2135" s="9" t="s">
        <v>52</v>
      </c>
      <c r="E2135" s="9" t="s">
        <v>111</v>
      </c>
      <c r="F2135" s="9">
        <v>2437617.0</v>
      </c>
      <c r="G2135" s="9">
        <v>2840374.16</v>
      </c>
      <c r="H2135" s="9">
        <v>2861336.36</v>
      </c>
      <c r="I2135" s="9">
        <v>38910.53</v>
      </c>
      <c r="J2135" s="9">
        <v>0.0</v>
      </c>
      <c r="K2135" s="9">
        <v>0.0</v>
      </c>
      <c r="L2135" s="9" t="s">
        <v>59</v>
      </c>
      <c r="M2135" s="9" t="s">
        <v>55</v>
      </c>
      <c r="R2135" s="9" t="s">
        <v>106</v>
      </c>
      <c r="S2135" s="9" t="s">
        <v>82</v>
      </c>
      <c r="T2135" s="9" t="s">
        <v>107</v>
      </c>
      <c r="U2135" s="9" t="s">
        <v>108</v>
      </c>
    </row>
    <row r="2136" ht="15.75" customHeight="1">
      <c r="A2136" s="9">
        <v>2437690.0</v>
      </c>
      <c r="B2136" s="9">
        <v>291457.61</v>
      </c>
      <c r="C2136" s="9">
        <v>43390.0</v>
      </c>
      <c r="D2136" s="9" t="s">
        <v>52</v>
      </c>
      <c r="E2136" s="9" t="s">
        <v>111</v>
      </c>
      <c r="F2136" s="9">
        <v>2437690.0</v>
      </c>
      <c r="G2136" s="9">
        <v>291457.61</v>
      </c>
      <c r="H2136" s="9">
        <v>299099.01</v>
      </c>
      <c r="I2136" s="9">
        <v>12240.52</v>
      </c>
      <c r="J2136" s="9">
        <v>0.0</v>
      </c>
      <c r="K2136" s="9">
        <v>0.0</v>
      </c>
      <c r="L2136" s="9" t="s">
        <v>59</v>
      </c>
      <c r="M2136" s="9" t="s">
        <v>55</v>
      </c>
      <c r="R2136" s="9" t="s">
        <v>94</v>
      </c>
      <c r="S2136" s="9" t="s">
        <v>57</v>
      </c>
      <c r="T2136" s="9" t="s">
        <v>95</v>
      </c>
    </row>
    <row r="2137" ht="15.75" customHeight="1">
      <c r="A2137" s="9">
        <v>2437692.0</v>
      </c>
      <c r="B2137" s="9">
        <v>154884.4</v>
      </c>
      <c r="C2137" s="9">
        <v>43151.0</v>
      </c>
      <c r="D2137" s="9" t="s">
        <v>52</v>
      </c>
      <c r="E2137" s="9" t="s">
        <v>111</v>
      </c>
      <c r="F2137" s="9">
        <v>2437692.0</v>
      </c>
      <c r="G2137" s="9">
        <v>154884.4</v>
      </c>
      <c r="H2137" s="9">
        <v>158724.4</v>
      </c>
      <c r="I2137" s="9">
        <v>9747.01</v>
      </c>
      <c r="J2137" s="9">
        <v>0.0</v>
      </c>
      <c r="K2137" s="9">
        <v>0.0</v>
      </c>
      <c r="L2137" s="9" t="s">
        <v>59</v>
      </c>
      <c r="M2137" s="9" t="s">
        <v>55</v>
      </c>
      <c r="R2137" s="9" t="s">
        <v>94</v>
      </c>
      <c r="S2137" s="9" t="s">
        <v>57</v>
      </c>
      <c r="T2137" s="9" t="s">
        <v>95</v>
      </c>
    </row>
    <row r="2138" ht="15.75" customHeight="1">
      <c r="A2138" s="9">
        <v>2438653.0</v>
      </c>
      <c r="B2138" s="9">
        <v>39452.29</v>
      </c>
      <c r="C2138" s="9">
        <v>43323.0</v>
      </c>
      <c r="D2138" s="9" t="s">
        <v>52</v>
      </c>
      <c r="E2138" s="9" t="s">
        <v>111</v>
      </c>
      <c r="F2138" s="9">
        <v>2438653.0</v>
      </c>
      <c r="G2138" s="9">
        <v>39452.29</v>
      </c>
      <c r="H2138" s="9">
        <v>40787.09</v>
      </c>
      <c r="I2138" s="9">
        <v>0.0</v>
      </c>
      <c r="J2138" s="9">
        <v>0.0</v>
      </c>
      <c r="K2138" s="9">
        <v>0.0</v>
      </c>
      <c r="L2138" s="9" t="s">
        <v>59</v>
      </c>
      <c r="M2138" s="9" t="s">
        <v>55</v>
      </c>
      <c r="R2138" s="9" t="s">
        <v>56</v>
      </c>
      <c r="S2138" s="9" t="s">
        <v>57</v>
      </c>
      <c r="T2138" s="9" t="s">
        <v>58</v>
      </c>
    </row>
    <row r="2139" ht="15.75" customHeight="1">
      <c r="A2139" s="9">
        <v>2438662.0</v>
      </c>
      <c r="B2139" s="9">
        <v>424846.45</v>
      </c>
      <c r="C2139" s="9">
        <v>43377.0</v>
      </c>
      <c r="D2139" s="9" t="s">
        <v>52</v>
      </c>
      <c r="E2139" s="9" t="s">
        <v>111</v>
      </c>
      <c r="F2139" s="9">
        <v>2438662.0</v>
      </c>
      <c r="G2139" s="9">
        <v>424846.45</v>
      </c>
      <c r="H2139" s="9">
        <v>423521.53</v>
      </c>
      <c r="I2139" s="9">
        <v>18298.5</v>
      </c>
      <c r="J2139" s="9">
        <v>0.0</v>
      </c>
      <c r="K2139" s="9">
        <v>0.0</v>
      </c>
      <c r="L2139" s="9" t="s">
        <v>59</v>
      </c>
      <c r="M2139" s="9" t="s">
        <v>55</v>
      </c>
      <c r="R2139" s="9" t="s">
        <v>72</v>
      </c>
      <c r="S2139" s="9" t="s">
        <v>57</v>
      </c>
      <c r="T2139" s="9" t="s">
        <v>73</v>
      </c>
      <c r="V2139" s="9">
        <v>405223.03</v>
      </c>
    </row>
    <row r="2140" ht="15.75" customHeight="1">
      <c r="A2140" s="9">
        <v>2438694.0</v>
      </c>
      <c r="B2140" s="9">
        <v>58654.17</v>
      </c>
      <c r="C2140" s="9">
        <v>43388.0</v>
      </c>
      <c r="D2140" s="9" t="s">
        <v>52</v>
      </c>
      <c r="E2140" s="9" t="s">
        <v>111</v>
      </c>
      <c r="F2140" s="9">
        <v>2438694.0</v>
      </c>
      <c r="G2140" s="9">
        <v>58654.17</v>
      </c>
      <c r="H2140" s="9">
        <v>60826.77</v>
      </c>
      <c r="I2140" s="9">
        <v>0.0</v>
      </c>
      <c r="J2140" s="9">
        <v>0.0</v>
      </c>
      <c r="K2140" s="9">
        <v>0.0</v>
      </c>
      <c r="L2140" s="9" t="s">
        <v>59</v>
      </c>
      <c r="M2140" s="9" t="s">
        <v>55</v>
      </c>
      <c r="R2140" s="9" t="s">
        <v>70</v>
      </c>
      <c r="S2140" s="9" t="s">
        <v>57</v>
      </c>
      <c r="T2140" s="9" t="s">
        <v>71</v>
      </c>
    </row>
    <row r="2141" ht="15.75" customHeight="1">
      <c r="A2141" s="9">
        <v>2438717.0</v>
      </c>
      <c r="B2141" s="9">
        <v>67015.21</v>
      </c>
      <c r="C2141" s="9">
        <v>43198.0</v>
      </c>
      <c r="D2141" s="9" t="s">
        <v>52</v>
      </c>
      <c r="E2141" s="9" t="s">
        <v>111</v>
      </c>
      <c r="F2141" s="9">
        <v>2438717.0</v>
      </c>
      <c r="G2141" s="9">
        <v>67015.21</v>
      </c>
      <c r="H2141" s="9">
        <v>71636.25</v>
      </c>
      <c r="I2141" s="9">
        <v>0.0</v>
      </c>
      <c r="J2141" s="9">
        <v>0.0</v>
      </c>
      <c r="K2141" s="9">
        <v>0.0</v>
      </c>
      <c r="L2141" s="9" t="s">
        <v>59</v>
      </c>
      <c r="M2141" s="9" t="s">
        <v>55</v>
      </c>
      <c r="R2141" s="9" t="s">
        <v>75</v>
      </c>
      <c r="S2141" s="9" t="s">
        <v>57</v>
      </c>
      <c r="T2141" s="9" t="s">
        <v>76</v>
      </c>
    </row>
    <row r="2142" ht="15.75" customHeight="1">
      <c r="A2142" s="9">
        <v>2439230.0</v>
      </c>
      <c r="B2142" s="9">
        <v>149479.06</v>
      </c>
      <c r="C2142" s="9">
        <v>43420.0</v>
      </c>
      <c r="D2142" s="9" t="s">
        <v>52</v>
      </c>
      <c r="E2142" s="9" t="s">
        <v>111</v>
      </c>
      <c r="F2142" s="9">
        <v>2439230.0</v>
      </c>
      <c r="G2142" s="9">
        <v>149479.06</v>
      </c>
      <c r="H2142" s="9">
        <v>151512.56</v>
      </c>
      <c r="I2142" s="9">
        <v>0.0</v>
      </c>
      <c r="J2142" s="9">
        <v>0.0</v>
      </c>
      <c r="K2142" s="9">
        <v>0.0</v>
      </c>
      <c r="L2142" s="9" t="s">
        <v>59</v>
      </c>
      <c r="M2142" s="9" t="s">
        <v>55</v>
      </c>
      <c r="R2142" s="9" t="s">
        <v>75</v>
      </c>
      <c r="S2142" s="9" t="s">
        <v>57</v>
      </c>
      <c r="T2142" s="9" t="s">
        <v>76</v>
      </c>
    </row>
    <row r="2143" ht="15.75" customHeight="1">
      <c r="A2143" s="9">
        <v>2439260.0</v>
      </c>
      <c r="B2143" s="9">
        <v>107156.76</v>
      </c>
      <c r="C2143" s="9">
        <v>43416.0</v>
      </c>
      <c r="D2143" s="9" t="s">
        <v>52</v>
      </c>
      <c r="E2143" s="9" t="s">
        <v>111</v>
      </c>
      <c r="F2143" s="9">
        <v>2439260.0</v>
      </c>
      <c r="G2143" s="9">
        <v>107156.76</v>
      </c>
      <c r="H2143" s="9">
        <v>110461.02</v>
      </c>
      <c r="I2143" s="9">
        <v>4285.6</v>
      </c>
      <c r="J2143" s="9">
        <v>0.0</v>
      </c>
      <c r="K2143" s="9">
        <v>0.0</v>
      </c>
      <c r="L2143" s="9" t="s">
        <v>59</v>
      </c>
      <c r="M2143" s="9" t="s">
        <v>55</v>
      </c>
      <c r="R2143" s="9" t="s">
        <v>56</v>
      </c>
      <c r="S2143" s="9" t="s">
        <v>57</v>
      </c>
      <c r="T2143" s="9" t="s">
        <v>58</v>
      </c>
    </row>
    <row r="2144" ht="15.75" customHeight="1">
      <c r="A2144" s="9">
        <v>2439262.0</v>
      </c>
      <c r="B2144" s="9">
        <v>287767.69</v>
      </c>
      <c r="C2144" s="9">
        <v>43168.0</v>
      </c>
      <c r="D2144" s="9" t="s">
        <v>52</v>
      </c>
      <c r="E2144" s="9" t="s">
        <v>111</v>
      </c>
      <c r="F2144" s="9">
        <v>2439262.0</v>
      </c>
      <c r="G2144" s="9">
        <v>287767.69</v>
      </c>
      <c r="H2144" s="9">
        <v>294768.69</v>
      </c>
      <c r="I2144" s="9">
        <v>0.0</v>
      </c>
      <c r="J2144" s="9">
        <v>0.0</v>
      </c>
      <c r="K2144" s="9">
        <v>0.0</v>
      </c>
      <c r="L2144" s="9" t="s">
        <v>59</v>
      </c>
      <c r="M2144" s="9" t="s">
        <v>55</v>
      </c>
      <c r="R2144" s="9" t="s">
        <v>70</v>
      </c>
      <c r="S2144" s="9" t="s">
        <v>57</v>
      </c>
      <c r="T2144" s="9" t="s">
        <v>71</v>
      </c>
    </row>
    <row r="2145" ht="15.75" customHeight="1">
      <c r="A2145" s="9">
        <v>2439287.0</v>
      </c>
      <c r="B2145" s="9">
        <v>64077.78</v>
      </c>
      <c r="C2145" s="9">
        <v>43234.0</v>
      </c>
      <c r="D2145" s="9" t="s">
        <v>52</v>
      </c>
      <c r="E2145" s="9" t="s">
        <v>111</v>
      </c>
      <c r="F2145" s="9">
        <v>2439287.0</v>
      </c>
      <c r="G2145" s="9">
        <v>64077.78</v>
      </c>
      <c r="H2145" s="9">
        <v>66557.28</v>
      </c>
      <c r="I2145" s="9">
        <v>1398.22</v>
      </c>
      <c r="J2145" s="9">
        <v>0.0</v>
      </c>
      <c r="K2145" s="9">
        <v>0.0</v>
      </c>
      <c r="L2145" s="9" t="s">
        <v>59</v>
      </c>
      <c r="M2145" s="9" t="s">
        <v>55</v>
      </c>
      <c r="R2145" s="9" t="s">
        <v>94</v>
      </c>
      <c r="S2145" s="9" t="s">
        <v>57</v>
      </c>
      <c r="T2145" s="9" t="s">
        <v>95</v>
      </c>
    </row>
    <row r="2146" ht="15.75" customHeight="1">
      <c r="A2146" s="9">
        <v>2439319.0</v>
      </c>
      <c r="B2146" s="9">
        <v>69377.06</v>
      </c>
      <c r="C2146" s="9">
        <v>43280.0</v>
      </c>
      <c r="D2146" s="9" t="s">
        <v>52</v>
      </c>
      <c r="E2146" s="9" t="s">
        <v>111</v>
      </c>
      <c r="F2146" s="9">
        <v>2439319.0</v>
      </c>
      <c r="G2146" s="9">
        <v>69377.06</v>
      </c>
      <c r="H2146" s="9">
        <v>71293.4</v>
      </c>
      <c r="I2146" s="9">
        <v>0.0</v>
      </c>
      <c r="J2146" s="9">
        <v>0.0</v>
      </c>
      <c r="K2146" s="9">
        <v>0.0</v>
      </c>
      <c r="L2146" s="9" t="s">
        <v>59</v>
      </c>
      <c r="M2146" s="9" t="s">
        <v>55</v>
      </c>
      <c r="R2146" s="9" t="s">
        <v>94</v>
      </c>
      <c r="S2146" s="9" t="s">
        <v>57</v>
      </c>
      <c r="T2146" s="9" t="s">
        <v>95</v>
      </c>
    </row>
    <row r="2147" ht="15.75" customHeight="1">
      <c r="A2147" s="9">
        <v>2439321.0</v>
      </c>
      <c r="B2147" s="9">
        <v>340431.99</v>
      </c>
      <c r="C2147" s="9">
        <v>43255.0</v>
      </c>
      <c r="D2147" s="9" t="s">
        <v>52</v>
      </c>
      <c r="E2147" s="9" t="s">
        <v>111</v>
      </c>
      <c r="F2147" s="9">
        <v>2439321.0</v>
      </c>
      <c r="G2147" s="9">
        <v>340431.99</v>
      </c>
      <c r="H2147" s="9">
        <v>347197.73</v>
      </c>
      <c r="I2147" s="9">
        <v>5753.14</v>
      </c>
      <c r="J2147" s="9">
        <v>0.0</v>
      </c>
      <c r="K2147" s="9">
        <v>0.0</v>
      </c>
      <c r="L2147" s="9" t="s">
        <v>59</v>
      </c>
      <c r="M2147" s="9" t="s">
        <v>55</v>
      </c>
      <c r="R2147" s="9" t="s">
        <v>106</v>
      </c>
      <c r="S2147" s="9" t="s">
        <v>82</v>
      </c>
      <c r="T2147" s="9" t="s">
        <v>107</v>
      </c>
      <c r="U2147" s="9" t="s">
        <v>108</v>
      </c>
    </row>
    <row r="2148" ht="15.75" customHeight="1">
      <c r="A2148" s="9">
        <v>2439328.0</v>
      </c>
      <c r="B2148" s="9">
        <v>173185.1</v>
      </c>
      <c r="C2148" s="9">
        <v>43068.0</v>
      </c>
      <c r="D2148" s="9" t="s">
        <v>52</v>
      </c>
      <c r="E2148" s="9" t="s">
        <v>111</v>
      </c>
      <c r="F2148" s="9">
        <v>2439328.0</v>
      </c>
      <c r="G2148" s="9">
        <v>173185.1</v>
      </c>
      <c r="H2148" s="9">
        <v>177572.9</v>
      </c>
      <c r="I2148" s="9">
        <v>10389.0</v>
      </c>
      <c r="J2148" s="9">
        <v>0.0</v>
      </c>
      <c r="K2148" s="9">
        <v>0.0</v>
      </c>
      <c r="L2148" s="9" t="s">
        <v>59</v>
      </c>
      <c r="M2148" s="9" t="s">
        <v>55</v>
      </c>
      <c r="R2148" s="9" t="s">
        <v>56</v>
      </c>
      <c r="S2148" s="9" t="s">
        <v>57</v>
      </c>
      <c r="T2148" s="9" t="s">
        <v>58</v>
      </c>
    </row>
    <row r="2149" ht="15.75" customHeight="1">
      <c r="A2149" s="9">
        <v>2439353.0</v>
      </c>
      <c r="B2149" s="9">
        <v>57432.34</v>
      </c>
      <c r="C2149" s="9">
        <v>43237.0</v>
      </c>
      <c r="D2149" s="9" t="s">
        <v>52</v>
      </c>
      <c r="E2149" s="9" t="s">
        <v>111</v>
      </c>
      <c r="F2149" s="9">
        <v>2439353.0</v>
      </c>
      <c r="G2149" s="9">
        <v>57432.34</v>
      </c>
      <c r="H2149" s="9">
        <v>59911.84</v>
      </c>
      <c r="I2149" s="9">
        <v>0.0</v>
      </c>
      <c r="J2149" s="9">
        <v>0.0</v>
      </c>
      <c r="K2149" s="9">
        <v>0.0</v>
      </c>
      <c r="L2149" s="9" t="s">
        <v>59</v>
      </c>
      <c r="M2149" s="9" t="s">
        <v>55</v>
      </c>
      <c r="R2149" s="9" t="s">
        <v>70</v>
      </c>
      <c r="S2149" s="9" t="s">
        <v>57</v>
      </c>
      <c r="T2149" s="9" t="s">
        <v>71</v>
      </c>
    </row>
    <row r="2150" ht="15.75" customHeight="1">
      <c r="A2150" s="9">
        <v>2439355.0</v>
      </c>
      <c r="B2150" s="9">
        <v>82034.6</v>
      </c>
      <c r="C2150" s="9">
        <v>43094.0</v>
      </c>
      <c r="D2150" s="9" t="s">
        <v>52</v>
      </c>
      <c r="E2150" s="9" t="s">
        <v>111</v>
      </c>
      <c r="F2150" s="9">
        <v>2439355.0</v>
      </c>
      <c r="G2150" s="9">
        <v>82034.6</v>
      </c>
      <c r="H2150" s="9">
        <v>84153.6</v>
      </c>
      <c r="I2150" s="9">
        <v>3896.0</v>
      </c>
      <c r="J2150" s="9">
        <v>0.0</v>
      </c>
      <c r="K2150" s="9">
        <v>0.0</v>
      </c>
      <c r="L2150" s="9" t="s">
        <v>59</v>
      </c>
      <c r="M2150" s="9" t="s">
        <v>55</v>
      </c>
      <c r="R2150" s="9" t="s">
        <v>94</v>
      </c>
      <c r="S2150" s="9" t="s">
        <v>57</v>
      </c>
      <c r="T2150" s="9" t="s">
        <v>95</v>
      </c>
    </row>
    <row r="2151" ht="15.75" customHeight="1">
      <c r="A2151" s="9">
        <v>2439387.0</v>
      </c>
      <c r="B2151" s="9">
        <v>244432.12</v>
      </c>
      <c r="C2151" s="9">
        <v>43099.0</v>
      </c>
      <c r="D2151" s="9" t="s">
        <v>52</v>
      </c>
      <c r="E2151" s="9" t="s">
        <v>111</v>
      </c>
      <c r="F2151" s="9">
        <v>2439387.0</v>
      </c>
      <c r="G2151" s="9">
        <v>244432.12</v>
      </c>
      <c r="H2151" s="9">
        <v>248886.12</v>
      </c>
      <c r="I2151" s="9">
        <v>5184.43</v>
      </c>
      <c r="J2151" s="9">
        <v>0.0</v>
      </c>
      <c r="K2151" s="9">
        <v>0.0</v>
      </c>
      <c r="L2151" s="9" t="s">
        <v>59</v>
      </c>
      <c r="M2151" s="9" t="s">
        <v>55</v>
      </c>
      <c r="R2151" s="9" t="s">
        <v>94</v>
      </c>
      <c r="S2151" s="9" t="s">
        <v>57</v>
      </c>
      <c r="T2151" s="9" t="s">
        <v>95</v>
      </c>
    </row>
    <row r="2152" ht="15.75" customHeight="1">
      <c r="A2152" s="9">
        <v>2439389.0</v>
      </c>
      <c r="B2152" s="9">
        <v>126075.74</v>
      </c>
      <c r="C2152" s="9">
        <v>43305.0</v>
      </c>
      <c r="D2152" s="9" t="s">
        <v>52</v>
      </c>
      <c r="E2152" s="9" t="s">
        <v>111</v>
      </c>
      <c r="F2152" s="9">
        <v>2439389.0</v>
      </c>
      <c r="G2152" s="9">
        <v>126075.74</v>
      </c>
      <c r="H2152" s="9">
        <v>130287.74</v>
      </c>
      <c r="I2152" s="9">
        <v>0.0</v>
      </c>
      <c r="J2152" s="9">
        <v>0.0</v>
      </c>
      <c r="K2152" s="9">
        <v>0.0</v>
      </c>
      <c r="L2152" s="9" t="s">
        <v>59</v>
      </c>
      <c r="M2152" s="9" t="s">
        <v>55</v>
      </c>
      <c r="R2152" s="9" t="s">
        <v>137</v>
      </c>
      <c r="S2152" s="9" t="s">
        <v>82</v>
      </c>
      <c r="T2152" s="9" t="s">
        <v>107</v>
      </c>
      <c r="U2152" s="9" t="s">
        <v>138</v>
      </c>
    </row>
    <row r="2153" ht="15.75" customHeight="1">
      <c r="A2153" s="9">
        <v>2311662.0</v>
      </c>
      <c r="B2153" s="9">
        <v>1.3447530059E8</v>
      </c>
      <c r="C2153" s="9">
        <v>46471.0</v>
      </c>
      <c r="D2153" s="9" t="s">
        <v>52</v>
      </c>
      <c r="E2153" s="9" t="s">
        <v>87</v>
      </c>
      <c r="F2153" s="9">
        <v>348862.0</v>
      </c>
      <c r="H2153" s="9">
        <v>1.4839731247E8</v>
      </c>
      <c r="I2153" s="9">
        <v>4.403243978E7</v>
      </c>
      <c r="J2153" s="9">
        <v>5793871.99</v>
      </c>
      <c r="K2153" s="9">
        <v>8650920.0</v>
      </c>
      <c r="L2153" s="9" t="s">
        <v>59</v>
      </c>
      <c r="M2153" s="9" t="s">
        <v>55</v>
      </c>
      <c r="N2153" s="9">
        <v>1.1396211913E8</v>
      </c>
      <c r="O2153" s="9">
        <v>1.1024142839E8</v>
      </c>
      <c r="P2153" s="9">
        <v>974480.0</v>
      </c>
      <c r="Q2153" s="9">
        <v>959862.8</v>
      </c>
      <c r="R2153" s="9" t="s">
        <v>104</v>
      </c>
      <c r="S2153" s="9" t="s">
        <v>82</v>
      </c>
      <c r="T2153" s="9" t="s">
        <v>83</v>
      </c>
      <c r="U2153" s="9" t="s">
        <v>105</v>
      </c>
    </row>
    <row r="2154" ht="15.75" customHeight="1">
      <c r="A2154" s="9">
        <v>2317546.0</v>
      </c>
      <c r="B2154" s="9">
        <v>9704344.0</v>
      </c>
      <c r="C2154" s="9">
        <v>40587.0</v>
      </c>
      <c r="D2154" s="9" t="s">
        <v>52</v>
      </c>
      <c r="E2154" s="9" t="s">
        <v>53</v>
      </c>
      <c r="F2154" s="9">
        <v>354697.0</v>
      </c>
      <c r="G2154" s="9">
        <v>1.021240168E7</v>
      </c>
      <c r="H2154" s="9">
        <v>1.014193581E7</v>
      </c>
      <c r="I2154" s="9">
        <v>1.009576458E7</v>
      </c>
      <c r="J2154" s="9">
        <v>0.0</v>
      </c>
      <c r="K2154" s="9">
        <v>0.0</v>
      </c>
      <c r="L2154" s="9" t="s">
        <v>69</v>
      </c>
      <c r="M2154" s="9" t="s">
        <v>55</v>
      </c>
      <c r="N2154" s="9">
        <v>9611484.16</v>
      </c>
      <c r="O2154" s="9">
        <v>9485431.49</v>
      </c>
      <c r="P2154" s="9">
        <v>288345.0</v>
      </c>
      <c r="Q2154" s="9">
        <v>288300.0</v>
      </c>
      <c r="R2154" s="9" t="s">
        <v>56</v>
      </c>
      <c r="S2154" s="9" t="s">
        <v>57</v>
      </c>
      <c r="T2154" s="9" t="s">
        <v>58</v>
      </c>
      <c r="V2154" s="9">
        <v>9842741.03</v>
      </c>
      <c r="W2154" s="9">
        <v>0.0</v>
      </c>
      <c r="X2154" s="9">
        <v>0.0</v>
      </c>
    </row>
    <row r="2155" ht="15.75" customHeight="1">
      <c r="A2155" s="9">
        <v>2321256.0</v>
      </c>
      <c r="B2155" s="9">
        <v>1385201.0</v>
      </c>
      <c r="C2155" s="9">
        <v>40101.0</v>
      </c>
      <c r="D2155" s="9" t="s">
        <v>52</v>
      </c>
      <c r="E2155" s="9" t="s">
        <v>53</v>
      </c>
      <c r="F2155" s="9">
        <v>358264.0</v>
      </c>
      <c r="G2155" s="9">
        <v>1382561.23</v>
      </c>
      <c r="H2155" s="9">
        <v>1405508.63</v>
      </c>
      <c r="I2155" s="9">
        <v>1405508.63</v>
      </c>
      <c r="J2155" s="9">
        <v>0.0</v>
      </c>
      <c r="K2155" s="9">
        <v>0.0</v>
      </c>
      <c r="L2155" s="9" t="s">
        <v>69</v>
      </c>
      <c r="M2155" s="9" t="s">
        <v>55</v>
      </c>
      <c r="N2155" s="9">
        <v>1316725.23</v>
      </c>
      <c r="O2155" s="9">
        <v>1315000.0</v>
      </c>
      <c r="P2155" s="9">
        <v>65836.0</v>
      </c>
      <c r="Q2155" s="9">
        <v>65836.0</v>
      </c>
      <c r="R2155" s="9" t="s">
        <v>60</v>
      </c>
      <c r="S2155" s="9" t="s">
        <v>57</v>
      </c>
      <c r="T2155" s="9" t="s">
        <v>61</v>
      </c>
      <c r="V2155" s="9">
        <v>1338686.15</v>
      </c>
      <c r="W2155" s="9">
        <v>65322.48</v>
      </c>
      <c r="X2155" s="9">
        <v>0.0</v>
      </c>
    </row>
    <row r="2156" ht="15.75" customHeight="1">
      <c r="A2156" s="9">
        <v>2323828.0</v>
      </c>
      <c r="B2156" s="9">
        <v>3072751.0</v>
      </c>
      <c r="C2156" s="9">
        <v>39330.0</v>
      </c>
      <c r="D2156" s="9" t="s">
        <v>52</v>
      </c>
      <c r="E2156" s="9" t="s">
        <v>53</v>
      </c>
      <c r="F2156" s="9">
        <v>152922.0</v>
      </c>
      <c r="G2156" s="9">
        <v>3049671.11</v>
      </c>
      <c r="H2156" s="9">
        <v>3049671.11</v>
      </c>
      <c r="I2156" s="9">
        <v>2991571.1</v>
      </c>
      <c r="J2156" s="9">
        <v>0.0</v>
      </c>
      <c r="K2156" s="9">
        <v>0.0</v>
      </c>
      <c r="L2156" s="9" t="s">
        <v>59</v>
      </c>
      <c r="M2156" s="9" t="s">
        <v>55</v>
      </c>
      <c r="N2156" s="9">
        <v>2877048.22</v>
      </c>
      <c r="O2156" s="9">
        <v>2877048.22</v>
      </c>
      <c r="P2156" s="9">
        <v>143852.0</v>
      </c>
      <c r="Q2156" s="9">
        <v>143852.0</v>
      </c>
      <c r="R2156" s="9" t="s">
        <v>56</v>
      </c>
      <c r="S2156" s="9" t="s">
        <v>57</v>
      </c>
      <c r="T2156" s="9" t="s">
        <v>58</v>
      </c>
      <c r="V2156" s="9">
        <v>2846300.58</v>
      </c>
      <c r="W2156" s="9">
        <v>145525.85</v>
      </c>
      <c r="X2156" s="9">
        <v>0.0</v>
      </c>
    </row>
    <row r="2157" ht="15.75" customHeight="1">
      <c r="A2157" s="9">
        <v>2326561.0</v>
      </c>
      <c r="B2157" s="9">
        <v>2977786.75</v>
      </c>
      <c r="C2157" s="9">
        <v>45572.0</v>
      </c>
      <c r="D2157" s="9" t="s">
        <v>52</v>
      </c>
      <c r="E2157" s="9" t="s">
        <v>53</v>
      </c>
      <c r="F2157" s="9">
        <v>363084.0</v>
      </c>
      <c r="G2157" s="9">
        <v>2839851.0</v>
      </c>
      <c r="H2157" s="9">
        <v>3074160.85</v>
      </c>
      <c r="I2157" s="9">
        <v>3049168.33</v>
      </c>
      <c r="J2157" s="9">
        <v>0.0</v>
      </c>
      <c r="K2157" s="9">
        <v>24994.0</v>
      </c>
      <c r="L2157" s="9" t="s">
        <v>59</v>
      </c>
      <c r="M2157" s="9" t="s">
        <v>55</v>
      </c>
      <c r="N2157" s="9">
        <v>2650090.48</v>
      </c>
      <c r="O2157" s="9">
        <v>2650090.48</v>
      </c>
      <c r="P2157" s="9">
        <v>138784.52</v>
      </c>
      <c r="Q2157" s="9">
        <v>124906.07</v>
      </c>
      <c r="R2157" s="9" t="s">
        <v>56</v>
      </c>
      <c r="S2157" s="9" t="s">
        <v>57</v>
      </c>
      <c r="T2157" s="9" t="s">
        <v>58</v>
      </c>
      <c r="V2157" s="9">
        <v>0.0</v>
      </c>
      <c r="W2157" s="9">
        <v>113156.36</v>
      </c>
      <c r="X2157" s="9">
        <v>0.0</v>
      </c>
    </row>
    <row r="2158" ht="15.75" customHeight="1">
      <c r="A2158" s="9">
        <v>2335453.0</v>
      </c>
      <c r="B2158" s="9">
        <v>1.9863885E7</v>
      </c>
      <c r="C2158" s="9">
        <v>45901.0</v>
      </c>
      <c r="D2158" s="9" t="s">
        <v>52</v>
      </c>
      <c r="E2158" s="9" t="s">
        <v>53</v>
      </c>
      <c r="F2158" s="9">
        <v>374541.0</v>
      </c>
      <c r="G2158" s="9">
        <v>2.244841799E7</v>
      </c>
      <c r="H2158" s="9">
        <v>2.704809916E7</v>
      </c>
      <c r="I2158" s="9">
        <v>2.6099385E7</v>
      </c>
      <c r="J2158" s="9">
        <v>0.0</v>
      </c>
      <c r="K2158" s="9">
        <v>0.0</v>
      </c>
      <c r="L2158" s="9" t="s">
        <v>59</v>
      </c>
      <c r="M2158" s="9" t="s">
        <v>55</v>
      </c>
      <c r="N2158" s="9">
        <v>2.151594846E7</v>
      </c>
      <c r="O2158" s="9">
        <v>2.151594846E7</v>
      </c>
      <c r="P2158" s="9">
        <v>1015813.23</v>
      </c>
      <c r="Q2158" s="9">
        <v>914231.91</v>
      </c>
      <c r="R2158" s="9" t="s">
        <v>72</v>
      </c>
      <c r="S2158" s="9" t="s">
        <v>57</v>
      </c>
      <c r="T2158" s="9" t="s">
        <v>73</v>
      </c>
      <c r="V2158" s="9">
        <v>2.580403764E7</v>
      </c>
      <c r="W2158" s="9">
        <v>914231.91</v>
      </c>
      <c r="X2158" s="9">
        <v>0.0</v>
      </c>
    </row>
    <row r="2159" ht="15.75" customHeight="1">
      <c r="A2159" s="9">
        <v>2379809.0</v>
      </c>
      <c r="B2159" s="9">
        <v>7529607.0</v>
      </c>
      <c r="C2159" s="9">
        <v>40204.0</v>
      </c>
      <c r="D2159" s="9" t="s">
        <v>52</v>
      </c>
      <c r="E2159" s="9" t="s">
        <v>111</v>
      </c>
      <c r="F2159" s="9">
        <v>2379809.0</v>
      </c>
      <c r="G2159" s="9">
        <v>1.533438411E7</v>
      </c>
      <c r="H2159" s="9">
        <v>1.190095876E7</v>
      </c>
      <c r="I2159" s="9">
        <v>8850894.6</v>
      </c>
      <c r="J2159" s="9">
        <v>6479681.32</v>
      </c>
      <c r="K2159" s="9">
        <v>9529744.0</v>
      </c>
      <c r="L2159" s="9" t="s">
        <v>59</v>
      </c>
      <c r="M2159" s="9" t="s">
        <v>65</v>
      </c>
      <c r="R2159" s="9" t="s">
        <v>63</v>
      </c>
      <c r="S2159" s="9" t="s">
        <v>63</v>
      </c>
    </row>
    <row r="2160" ht="15.75" customHeight="1">
      <c r="A2160" s="9">
        <v>2410523.0</v>
      </c>
      <c r="B2160" s="9">
        <v>1760662.14</v>
      </c>
      <c r="C2160" s="9">
        <v>47368.0</v>
      </c>
      <c r="D2160" s="9" t="s">
        <v>52</v>
      </c>
      <c r="E2160" s="9" t="s">
        <v>111</v>
      </c>
      <c r="F2160" s="9">
        <v>2410523.0</v>
      </c>
      <c r="H2160" s="9">
        <v>1760662.14</v>
      </c>
      <c r="I2160" s="9">
        <v>63332.45</v>
      </c>
      <c r="J2160" s="9">
        <v>0.0</v>
      </c>
      <c r="K2160" s="9">
        <v>0.0</v>
      </c>
      <c r="L2160" s="9" t="s">
        <v>59</v>
      </c>
      <c r="M2160" s="9" t="s">
        <v>55</v>
      </c>
      <c r="R2160" s="9" t="s">
        <v>63</v>
      </c>
      <c r="S2160" s="9" t="s">
        <v>63</v>
      </c>
    </row>
    <row r="2161" ht="15.75" customHeight="1">
      <c r="A2161" s="9">
        <v>2411302.0</v>
      </c>
      <c r="B2161" s="9">
        <v>919432.12</v>
      </c>
      <c r="C2161" s="9">
        <v>44003.0</v>
      </c>
      <c r="D2161" s="9" t="s">
        <v>52</v>
      </c>
      <c r="E2161" s="9" t="s">
        <v>53</v>
      </c>
      <c r="F2161" s="9">
        <v>310538.0</v>
      </c>
      <c r="G2161" s="9">
        <v>919432.12</v>
      </c>
      <c r="H2161" s="9">
        <v>846679.47</v>
      </c>
      <c r="I2161" s="9">
        <v>792509.96</v>
      </c>
      <c r="J2161" s="9">
        <v>0.0</v>
      </c>
      <c r="K2161" s="9">
        <v>0.0</v>
      </c>
      <c r="L2161" s="9" t="s">
        <v>69</v>
      </c>
      <c r="M2161" s="9" t="s">
        <v>55</v>
      </c>
      <c r="N2161" s="9">
        <v>821318.01</v>
      </c>
      <c r="O2161" s="9">
        <v>739186.21</v>
      </c>
      <c r="P2161" s="9">
        <v>102446.82</v>
      </c>
      <c r="Q2161" s="9">
        <v>92220.14</v>
      </c>
      <c r="R2161" s="9" t="s">
        <v>60</v>
      </c>
      <c r="S2161" s="9" t="s">
        <v>57</v>
      </c>
      <c r="T2161" s="9" t="s">
        <v>61</v>
      </c>
      <c r="V2161" s="9">
        <v>757670.96</v>
      </c>
      <c r="W2161" s="9">
        <v>92220.14</v>
      </c>
      <c r="X2161" s="9">
        <v>0.0</v>
      </c>
    </row>
    <row r="2162" ht="15.75" customHeight="1">
      <c r="A2162" s="9">
        <v>2411334.0</v>
      </c>
      <c r="B2162" s="9">
        <v>457739.22</v>
      </c>
      <c r="C2162" s="9">
        <v>46863.0</v>
      </c>
      <c r="D2162" s="9" t="s">
        <v>52</v>
      </c>
      <c r="E2162" s="9" t="s">
        <v>111</v>
      </c>
      <c r="F2162" s="9">
        <v>2411334.0</v>
      </c>
      <c r="H2162" s="9">
        <v>1679610.2</v>
      </c>
      <c r="I2162" s="9">
        <v>449195.36</v>
      </c>
      <c r="J2162" s="9">
        <v>0.0</v>
      </c>
      <c r="K2162" s="9">
        <v>0.0</v>
      </c>
      <c r="L2162" s="9" t="s">
        <v>59</v>
      </c>
      <c r="M2162" s="9" t="s">
        <v>74</v>
      </c>
      <c r="N2162" s="9">
        <v>0.0</v>
      </c>
      <c r="O2162" s="9">
        <v>0.0</v>
      </c>
      <c r="R2162" s="9" t="s">
        <v>127</v>
      </c>
      <c r="S2162" s="9" t="s">
        <v>57</v>
      </c>
      <c r="T2162" s="9" t="s">
        <v>128</v>
      </c>
    </row>
    <row r="2163" ht="15.75" customHeight="1">
      <c r="A2163" s="9">
        <v>2412095.0</v>
      </c>
      <c r="B2163" s="9">
        <v>4062071.48</v>
      </c>
      <c r="C2163" s="9">
        <v>46777.0</v>
      </c>
      <c r="D2163" s="9" t="s">
        <v>52</v>
      </c>
      <c r="E2163" s="9" t="s">
        <v>111</v>
      </c>
      <c r="F2163" s="9">
        <v>2412095.0</v>
      </c>
      <c r="H2163" s="9">
        <v>5131381.15</v>
      </c>
      <c r="I2163" s="9">
        <v>4430141.65</v>
      </c>
      <c r="J2163" s="9">
        <v>0.0</v>
      </c>
      <c r="K2163" s="9">
        <v>0.0</v>
      </c>
      <c r="L2163" s="9" t="s">
        <v>59</v>
      </c>
      <c r="M2163" s="9" t="s">
        <v>55</v>
      </c>
      <c r="N2163" s="9">
        <v>5030556.85</v>
      </c>
      <c r="O2163" s="9">
        <v>4256692.49</v>
      </c>
      <c r="P2163" s="9">
        <v>359966.73</v>
      </c>
      <c r="Q2163" s="9">
        <v>323970.06</v>
      </c>
      <c r="R2163" s="9" t="s">
        <v>94</v>
      </c>
      <c r="S2163" s="9" t="s">
        <v>57</v>
      </c>
      <c r="T2163" s="9" t="s">
        <v>95</v>
      </c>
    </row>
    <row r="2164" ht="15.75" customHeight="1">
      <c r="A2164" s="9">
        <v>2430111.0</v>
      </c>
      <c r="B2164" s="9">
        <v>1901068.83</v>
      </c>
      <c r="C2164" s="9">
        <v>44029.0</v>
      </c>
      <c r="D2164" s="9" t="s">
        <v>52</v>
      </c>
      <c r="E2164" s="9" t="s">
        <v>53</v>
      </c>
      <c r="F2164" s="9">
        <v>2430111.0</v>
      </c>
      <c r="G2164" s="9">
        <v>1901068.83</v>
      </c>
      <c r="H2164" s="9">
        <v>1879068.87</v>
      </c>
      <c r="I2164" s="9">
        <v>1856147.71</v>
      </c>
      <c r="J2164" s="9">
        <v>0.0</v>
      </c>
      <c r="K2164" s="9">
        <v>0.0</v>
      </c>
      <c r="L2164" s="9" t="s">
        <v>69</v>
      </c>
      <c r="M2164" s="9" t="s">
        <v>55</v>
      </c>
      <c r="N2164" s="9">
        <v>1834622.29</v>
      </c>
      <c r="O2164" s="9">
        <v>1554764.65</v>
      </c>
      <c r="P2164" s="9">
        <v>91731.11</v>
      </c>
      <c r="Q2164" s="9">
        <v>77737.2</v>
      </c>
      <c r="R2164" s="9" t="s">
        <v>60</v>
      </c>
      <c r="S2164" s="9" t="s">
        <v>57</v>
      </c>
      <c r="T2164" s="9" t="s">
        <v>61</v>
      </c>
      <c r="V2164" s="9">
        <v>1753410.48</v>
      </c>
      <c r="W2164" s="9">
        <v>77737.2</v>
      </c>
      <c r="X2164" s="9">
        <v>0.0</v>
      </c>
    </row>
    <row r="2165" ht="15.75" customHeight="1">
      <c r="A2165" s="9">
        <v>2436061.0</v>
      </c>
      <c r="B2165" s="9">
        <v>153756.97</v>
      </c>
      <c r="C2165" s="9">
        <v>43292.0</v>
      </c>
      <c r="D2165" s="9" t="s">
        <v>52</v>
      </c>
      <c r="E2165" s="9" t="s">
        <v>111</v>
      </c>
      <c r="F2165" s="9">
        <v>2436061.0</v>
      </c>
      <c r="G2165" s="9">
        <v>153756.97</v>
      </c>
      <c r="H2165" s="9">
        <v>157058.07</v>
      </c>
      <c r="I2165" s="9">
        <v>0.0</v>
      </c>
      <c r="J2165" s="9">
        <v>0.0</v>
      </c>
      <c r="K2165" s="9">
        <v>0.0</v>
      </c>
      <c r="L2165" s="9" t="s">
        <v>59</v>
      </c>
      <c r="M2165" s="9" t="s">
        <v>55</v>
      </c>
      <c r="R2165" s="9" t="s">
        <v>94</v>
      </c>
      <c r="S2165" s="9" t="s">
        <v>57</v>
      </c>
      <c r="T2165" s="9" t="s">
        <v>95</v>
      </c>
    </row>
    <row r="2166" ht="15.75" customHeight="1">
      <c r="A2166" s="9">
        <v>2436063.0</v>
      </c>
      <c r="B2166" s="9">
        <v>170706.63</v>
      </c>
      <c r="C2166" s="9">
        <v>43301.0</v>
      </c>
      <c r="D2166" s="9" t="s">
        <v>52</v>
      </c>
      <c r="E2166" s="9" t="s">
        <v>111</v>
      </c>
      <c r="F2166" s="9">
        <v>2436063.0</v>
      </c>
      <c r="G2166" s="9">
        <v>170706.63</v>
      </c>
      <c r="H2166" s="9">
        <v>175118.63</v>
      </c>
      <c r="I2166" s="9">
        <v>9339.25</v>
      </c>
      <c r="J2166" s="9">
        <v>0.0</v>
      </c>
      <c r="K2166" s="9">
        <v>0.0</v>
      </c>
      <c r="L2166" s="9" t="s">
        <v>59</v>
      </c>
      <c r="M2166" s="9" t="s">
        <v>55</v>
      </c>
      <c r="R2166" s="9" t="s">
        <v>56</v>
      </c>
      <c r="S2166" s="9" t="s">
        <v>57</v>
      </c>
      <c r="T2166" s="9" t="s">
        <v>58</v>
      </c>
    </row>
    <row r="2167" ht="15.75" customHeight="1">
      <c r="A2167" s="9">
        <v>2436068.0</v>
      </c>
      <c r="B2167" s="9">
        <v>203656.69</v>
      </c>
      <c r="C2167" s="9">
        <v>43399.0</v>
      </c>
      <c r="D2167" s="9" t="s">
        <v>52</v>
      </c>
      <c r="E2167" s="9" t="s">
        <v>111</v>
      </c>
      <c r="F2167" s="9">
        <v>2436068.0</v>
      </c>
      <c r="G2167" s="9">
        <v>203656.69</v>
      </c>
      <c r="H2167" s="9">
        <v>208631.99</v>
      </c>
      <c r="I2167" s="9">
        <v>9767.2</v>
      </c>
      <c r="J2167" s="9">
        <v>0.0</v>
      </c>
      <c r="K2167" s="9">
        <v>0.0</v>
      </c>
      <c r="L2167" s="9" t="s">
        <v>59</v>
      </c>
      <c r="M2167" s="9" t="s">
        <v>55</v>
      </c>
      <c r="R2167" s="9" t="s">
        <v>56</v>
      </c>
      <c r="S2167" s="9" t="s">
        <v>57</v>
      </c>
      <c r="T2167" s="9" t="s">
        <v>58</v>
      </c>
    </row>
    <row r="2168" ht="15.75" customHeight="1">
      <c r="A2168" s="9">
        <v>2436070.0</v>
      </c>
      <c r="B2168" s="9">
        <v>202559.3</v>
      </c>
      <c r="C2168" s="9">
        <v>43410.0</v>
      </c>
      <c r="D2168" s="9" t="s">
        <v>52</v>
      </c>
      <c r="E2168" s="9" t="s">
        <v>111</v>
      </c>
      <c r="F2168" s="9">
        <v>2436070.0</v>
      </c>
      <c r="G2168" s="9">
        <v>202559.3</v>
      </c>
      <c r="H2168" s="9">
        <v>202285.23</v>
      </c>
      <c r="I2168" s="9">
        <v>9339.25</v>
      </c>
      <c r="J2168" s="9">
        <v>0.0</v>
      </c>
      <c r="K2168" s="9">
        <v>0.0</v>
      </c>
      <c r="L2168" s="9" t="s">
        <v>59</v>
      </c>
      <c r="M2168" s="9" t="s">
        <v>55</v>
      </c>
      <c r="R2168" s="9" t="s">
        <v>72</v>
      </c>
      <c r="S2168" s="9" t="s">
        <v>57</v>
      </c>
      <c r="T2168" s="9" t="s">
        <v>73</v>
      </c>
      <c r="V2168" s="9">
        <v>192945.98</v>
      </c>
    </row>
    <row r="2169" ht="15.75" customHeight="1">
      <c r="A2169" s="9">
        <v>2436161.0</v>
      </c>
      <c r="B2169" s="9">
        <v>72485.16</v>
      </c>
      <c r="C2169" s="9">
        <v>43131.0</v>
      </c>
      <c r="D2169" s="9" t="s">
        <v>52</v>
      </c>
      <c r="E2169" s="9" t="s">
        <v>111</v>
      </c>
      <c r="F2169" s="9">
        <v>2436161.0</v>
      </c>
      <c r="G2169" s="9">
        <v>72485.16</v>
      </c>
      <c r="H2169" s="9">
        <v>74881.16</v>
      </c>
      <c r="I2169" s="9">
        <v>0.0</v>
      </c>
      <c r="J2169" s="9">
        <v>0.0</v>
      </c>
      <c r="K2169" s="9">
        <v>0.0</v>
      </c>
      <c r="L2169" s="9" t="s">
        <v>59</v>
      </c>
      <c r="M2169" s="9" t="s">
        <v>55</v>
      </c>
      <c r="R2169" s="9" t="s">
        <v>94</v>
      </c>
      <c r="S2169" s="9" t="s">
        <v>57</v>
      </c>
      <c r="T2169" s="9" t="s">
        <v>95</v>
      </c>
    </row>
    <row r="2170" ht="15.75" customHeight="1">
      <c r="A2170" s="9">
        <v>2436168.0</v>
      </c>
      <c r="B2170" s="9">
        <v>90622.68</v>
      </c>
      <c r="C2170" s="9">
        <v>43122.0</v>
      </c>
      <c r="D2170" s="9" t="s">
        <v>52</v>
      </c>
      <c r="E2170" s="9" t="s">
        <v>111</v>
      </c>
      <c r="F2170" s="9">
        <v>2436168.0</v>
      </c>
      <c r="G2170" s="9">
        <v>90622.68</v>
      </c>
      <c r="H2170" s="9">
        <v>92359.68</v>
      </c>
      <c r="I2170" s="9">
        <v>0.0</v>
      </c>
      <c r="J2170" s="9">
        <v>0.0</v>
      </c>
      <c r="K2170" s="9">
        <v>0.0</v>
      </c>
      <c r="L2170" s="9" t="s">
        <v>59</v>
      </c>
      <c r="M2170" s="9" t="s">
        <v>55</v>
      </c>
      <c r="R2170" s="9" t="s">
        <v>94</v>
      </c>
      <c r="S2170" s="9" t="s">
        <v>57</v>
      </c>
      <c r="T2170" s="9" t="s">
        <v>95</v>
      </c>
    </row>
    <row r="2171" ht="15.75" customHeight="1">
      <c r="A2171" s="9">
        <v>2436170.0</v>
      </c>
      <c r="B2171" s="9">
        <v>163894.5</v>
      </c>
      <c r="C2171" s="9">
        <v>43143.0</v>
      </c>
      <c r="D2171" s="9" t="s">
        <v>52</v>
      </c>
      <c r="E2171" s="9" t="s">
        <v>111</v>
      </c>
      <c r="F2171" s="9">
        <v>2436170.0</v>
      </c>
      <c r="G2171" s="9">
        <v>163894.5</v>
      </c>
      <c r="H2171" s="9">
        <v>166186.5</v>
      </c>
      <c r="I2171" s="9">
        <v>9339.0</v>
      </c>
      <c r="J2171" s="9">
        <v>0.0</v>
      </c>
      <c r="K2171" s="9">
        <v>0.0</v>
      </c>
      <c r="L2171" s="9" t="s">
        <v>59</v>
      </c>
      <c r="M2171" s="9" t="s">
        <v>55</v>
      </c>
      <c r="R2171" s="9" t="s">
        <v>56</v>
      </c>
      <c r="S2171" s="9" t="s">
        <v>57</v>
      </c>
      <c r="T2171" s="9" t="s">
        <v>58</v>
      </c>
    </row>
    <row r="2172" ht="15.75" customHeight="1">
      <c r="A2172" s="9">
        <v>2436195.0</v>
      </c>
      <c r="B2172" s="9">
        <v>127881.3</v>
      </c>
      <c r="C2172" s="9">
        <v>43180.0</v>
      </c>
      <c r="D2172" s="9" t="s">
        <v>52</v>
      </c>
      <c r="E2172" s="9" t="s">
        <v>111</v>
      </c>
      <c r="F2172" s="9">
        <v>2436195.0</v>
      </c>
      <c r="G2172" s="9">
        <v>127881.3</v>
      </c>
      <c r="H2172" s="9">
        <v>131719.64</v>
      </c>
      <c r="I2172" s="9">
        <v>0.0</v>
      </c>
      <c r="J2172" s="9">
        <v>0.0</v>
      </c>
      <c r="K2172" s="9">
        <v>0.0</v>
      </c>
      <c r="L2172" s="9" t="s">
        <v>59</v>
      </c>
      <c r="M2172" s="9" t="s">
        <v>55</v>
      </c>
      <c r="R2172" s="9" t="s">
        <v>141</v>
      </c>
      <c r="S2172" s="9" t="s">
        <v>101</v>
      </c>
      <c r="T2172" s="9" t="s">
        <v>142</v>
      </c>
    </row>
    <row r="2173" ht="15.75" customHeight="1">
      <c r="A2173" s="9">
        <v>2436197.0</v>
      </c>
      <c r="B2173" s="9">
        <v>52237.25</v>
      </c>
      <c r="C2173" s="9">
        <v>43182.0</v>
      </c>
      <c r="D2173" s="9" t="s">
        <v>52</v>
      </c>
      <c r="E2173" s="9" t="s">
        <v>111</v>
      </c>
      <c r="F2173" s="9">
        <v>2436197.0</v>
      </c>
      <c r="G2173" s="9">
        <v>52237.25</v>
      </c>
      <c r="H2173" s="9">
        <v>54798.02</v>
      </c>
      <c r="I2173" s="9">
        <v>0.0</v>
      </c>
      <c r="J2173" s="9">
        <v>0.0</v>
      </c>
      <c r="K2173" s="9">
        <v>0.0</v>
      </c>
      <c r="L2173" s="9" t="s">
        <v>59</v>
      </c>
      <c r="M2173" s="9" t="s">
        <v>55</v>
      </c>
      <c r="R2173" s="9" t="s">
        <v>63</v>
      </c>
      <c r="S2173" s="9" t="s">
        <v>63</v>
      </c>
    </row>
    <row r="2174" ht="15.75" customHeight="1">
      <c r="A2174" s="9">
        <v>2217478.0</v>
      </c>
      <c r="B2174" s="9">
        <v>8399687.0</v>
      </c>
      <c r="C2174" s="9">
        <v>37559.0</v>
      </c>
      <c r="D2174" s="9" t="s">
        <v>52</v>
      </c>
      <c r="E2174" s="9" t="s">
        <v>53</v>
      </c>
      <c r="F2174" s="9">
        <v>245493.0</v>
      </c>
      <c r="G2174" s="9">
        <v>1.1017574E7</v>
      </c>
      <c r="H2174" s="9">
        <v>1.1017574E7</v>
      </c>
      <c r="I2174" s="9">
        <v>1.094830072E7</v>
      </c>
      <c r="J2174" s="9">
        <v>109467.37</v>
      </c>
      <c r="K2174" s="9">
        <v>109469.0</v>
      </c>
      <c r="L2174" s="9" t="s">
        <v>59</v>
      </c>
      <c r="M2174" s="9" t="s">
        <v>55</v>
      </c>
      <c r="N2174" s="9">
        <v>9985008.69</v>
      </c>
      <c r="O2174" s="9">
        <v>9985008.69</v>
      </c>
      <c r="P2174" s="9">
        <v>798800.7</v>
      </c>
      <c r="Q2174" s="9">
        <v>798800.7</v>
      </c>
      <c r="R2174" s="9" t="s">
        <v>72</v>
      </c>
      <c r="S2174" s="9" t="s">
        <v>57</v>
      </c>
      <c r="T2174" s="9" t="s">
        <v>73</v>
      </c>
      <c r="V2174" s="9">
        <v>1.000646667E7</v>
      </c>
      <c r="W2174" s="9">
        <v>927322.26</v>
      </c>
      <c r="X2174" s="9">
        <v>0.0</v>
      </c>
    </row>
    <row r="2175" ht="15.75" customHeight="1">
      <c r="A2175" s="9">
        <v>2224605.0</v>
      </c>
      <c r="B2175" s="9">
        <v>4461366.0</v>
      </c>
      <c r="C2175" s="9">
        <v>26669.0</v>
      </c>
      <c r="D2175" s="9" t="s">
        <v>52</v>
      </c>
      <c r="E2175" s="9" t="s">
        <v>53</v>
      </c>
      <c r="F2175" s="9">
        <v>222882.0</v>
      </c>
      <c r="G2175" s="9">
        <v>5055953.56</v>
      </c>
      <c r="H2175" s="9">
        <v>5055953.56</v>
      </c>
      <c r="I2175" s="9">
        <v>5055953.56</v>
      </c>
      <c r="J2175" s="9">
        <v>0.0</v>
      </c>
      <c r="K2175" s="9">
        <v>0.0</v>
      </c>
      <c r="L2175" s="9" t="s">
        <v>59</v>
      </c>
      <c r="M2175" s="9" t="s">
        <v>55</v>
      </c>
      <c r="N2175" s="9">
        <v>4818672.41</v>
      </c>
      <c r="O2175" s="9">
        <v>4818672.4</v>
      </c>
      <c r="P2175" s="9">
        <v>165034.8</v>
      </c>
      <c r="Q2175" s="9">
        <v>165034.8</v>
      </c>
      <c r="R2175" s="9" t="s">
        <v>60</v>
      </c>
      <c r="S2175" s="9" t="s">
        <v>57</v>
      </c>
      <c r="T2175" s="9" t="s">
        <v>61</v>
      </c>
      <c r="V2175" s="9">
        <v>4857168.76</v>
      </c>
      <c r="W2175" s="9">
        <v>165034.8</v>
      </c>
      <c r="X2175" s="9">
        <v>0.0</v>
      </c>
    </row>
    <row r="2176" ht="15.75" customHeight="1">
      <c r="A2176" s="9">
        <v>2224609.0</v>
      </c>
      <c r="B2176" s="9">
        <v>2026187.0</v>
      </c>
      <c r="C2176" s="9">
        <v>26675.0</v>
      </c>
      <c r="D2176" s="9" t="s">
        <v>52</v>
      </c>
      <c r="E2176" s="9" t="s">
        <v>53</v>
      </c>
      <c r="F2176" s="9">
        <v>235039.0</v>
      </c>
      <c r="G2176" s="9">
        <v>2252919.11</v>
      </c>
      <c r="H2176" s="9">
        <v>2252919.11</v>
      </c>
      <c r="I2176" s="9">
        <v>2221873.99</v>
      </c>
      <c r="J2176" s="9">
        <v>0.0</v>
      </c>
      <c r="K2176" s="9">
        <v>0.0</v>
      </c>
      <c r="L2176" s="9" t="s">
        <v>69</v>
      </c>
      <c r="M2176" s="9" t="s">
        <v>55</v>
      </c>
      <c r="N2176" s="9">
        <v>2034792.66</v>
      </c>
      <c r="O2176" s="9">
        <v>2034792.66</v>
      </c>
      <c r="P2176" s="9">
        <v>129783.42</v>
      </c>
      <c r="Q2176" s="9">
        <v>129783.42</v>
      </c>
      <c r="R2176" s="9" t="s">
        <v>60</v>
      </c>
      <c r="S2176" s="9" t="s">
        <v>57</v>
      </c>
      <c r="T2176" s="9" t="s">
        <v>61</v>
      </c>
      <c r="V2176" s="9">
        <v>2092090.88</v>
      </c>
      <c r="W2176" s="9">
        <v>129873.98</v>
      </c>
      <c r="X2176" s="9">
        <v>0.0</v>
      </c>
    </row>
    <row r="2177" ht="15.75" customHeight="1">
      <c r="A2177" s="9">
        <v>2225284.0</v>
      </c>
      <c r="B2177" s="9">
        <v>2112322.0</v>
      </c>
      <c r="C2177" s="9">
        <v>43995.0</v>
      </c>
      <c r="D2177" s="9" t="s">
        <v>52</v>
      </c>
      <c r="E2177" s="9" t="s">
        <v>53</v>
      </c>
      <c r="F2177" s="9">
        <v>236915.0</v>
      </c>
      <c r="G2177" s="9">
        <v>2112322.0</v>
      </c>
      <c r="H2177" s="9">
        <v>2217782.92</v>
      </c>
      <c r="I2177" s="9">
        <v>2205594.74</v>
      </c>
      <c r="J2177" s="9">
        <v>0.0</v>
      </c>
      <c r="K2177" s="9">
        <v>0.0</v>
      </c>
      <c r="L2177" s="9" t="s">
        <v>69</v>
      </c>
      <c r="M2177" s="9" t="s">
        <v>55</v>
      </c>
      <c r="N2177" s="9">
        <v>2061435.85</v>
      </c>
      <c r="O2177" s="9">
        <v>2061135.85</v>
      </c>
      <c r="P2177" s="9">
        <v>118886.15</v>
      </c>
      <c r="Q2177" s="9">
        <v>118886.15</v>
      </c>
      <c r="R2177" s="9" t="s">
        <v>56</v>
      </c>
      <c r="S2177" s="9" t="s">
        <v>57</v>
      </c>
      <c r="T2177" s="9" t="s">
        <v>58</v>
      </c>
    </row>
    <row r="2178" ht="15.75" customHeight="1">
      <c r="A2178" s="9">
        <v>2225352.0</v>
      </c>
      <c r="B2178" s="9">
        <v>9901007.0</v>
      </c>
      <c r="C2178" s="9">
        <v>32011.0</v>
      </c>
      <c r="D2178" s="9" t="s">
        <v>52</v>
      </c>
      <c r="E2178" s="9" t="s">
        <v>53</v>
      </c>
      <c r="F2178" s="9">
        <v>230587.0</v>
      </c>
      <c r="G2178" s="9">
        <v>1.032970014E7</v>
      </c>
      <c r="H2178" s="9">
        <v>1.032970014E7</v>
      </c>
      <c r="I2178" s="9">
        <v>1.001902115E7</v>
      </c>
      <c r="J2178" s="9">
        <v>0.0</v>
      </c>
      <c r="K2178" s="9">
        <v>0.0</v>
      </c>
      <c r="L2178" s="9" t="s">
        <v>59</v>
      </c>
      <c r="M2178" s="9" t="s">
        <v>55</v>
      </c>
      <c r="N2178" s="9">
        <v>9850093.72</v>
      </c>
      <c r="O2178" s="9">
        <v>9850093.72</v>
      </c>
      <c r="P2178" s="9">
        <v>193060.0</v>
      </c>
      <c r="Q2178" s="9">
        <v>193060.0</v>
      </c>
      <c r="R2178" s="9" t="s">
        <v>60</v>
      </c>
      <c r="S2178" s="9" t="s">
        <v>57</v>
      </c>
      <c r="T2178" s="9" t="s">
        <v>61</v>
      </c>
      <c r="V2178" s="9">
        <v>9850094.0</v>
      </c>
      <c r="W2178" s="9">
        <v>193060.0</v>
      </c>
      <c r="X2178" s="9">
        <v>0.0</v>
      </c>
    </row>
    <row r="2179" ht="15.75" customHeight="1">
      <c r="A2179" s="9">
        <v>2226077.0</v>
      </c>
      <c r="B2179" s="9">
        <v>9884520.0</v>
      </c>
      <c r="C2179" s="9">
        <v>40291.0</v>
      </c>
      <c r="D2179" s="9" t="s">
        <v>52</v>
      </c>
      <c r="E2179" s="9" t="s">
        <v>53</v>
      </c>
      <c r="F2179" s="9">
        <v>221223.0</v>
      </c>
      <c r="G2179" s="9">
        <v>1.343308576E7</v>
      </c>
      <c r="H2179" s="9">
        <v>1.397969324E7</v>
      </c>
      <c r="I2179" s="9">
        <v>1.396314697E7</v>
      </c>
      <c r="J2179" s="9">
        <v>38000.0</v>
      </c>
      <c r="K2179" s="9">
        <v>38000.0</v>
      </c>
      <c r="L2179" s="9" t="s">
        <v>59</v>
      </c>
      <c r="M2179" s="9" t="s">
        <v>55</v>
      </c>
      <c r="N2179" s="9">
        <v>1.327595438E7</v>
      </c>
      <c r="O2179" s="9">
        <v>1.327595438E7</v>
      </c>
      <c r="P2179" s="9">
        <v>321643.13</v>
      </c>
      <c r="Q2179" s="9">
        <v>289478.82</v>
      </c>
      <c r="R2179" s="9" t="s">
        <v>56</v>
      </c>
      <c r="S2179" s="9" t="s">
        <v>57</v>
      </c>
      <c r="T2179" s="9" t="s">
        <v>58</v>
      </c>
      <c r="V2179" s="9">
        <v>1.328048642E7</v>
      </c>
      <c r="W2179" s="9">
        <v>479665.75</v>
      </c>
      <c r="X2179" s="9">
        <v>0.0</v>
      </c>
    </row>
    <row r="2180" ht="15.75" customHeight="1">
      <c r="A2180" s="9">
        <v>2226338.0</v>
      </c>
      <c r="B2180" s="9">
        <v>708100.0</v>
      </c>
      <c r="C2180" s="9">
        <v>26630.0</v>
      </c>
      <c r="D2180" s="9" t="s">
        <v>52</v>
      </c>
      <c r="E2180" s="9" t="s">
        <v>53</v>
      </c>
      <c r="F2180" s="9">
        <v>216601.0</v>
      </c>
      <c r="G2180" s="9">
        <v>768629.28</v>
      </c>
      <c r="H2180" s="9">
        <v>768629.28</v>
      </c>
      <c r="I2180" s="9">
        <v>740797.81</v>
      </c>
      <c r="J2180" s="9">
        <v>0.0</v>
      </c>
      <c r="K2180" s="9">
        <v>0.0</v>
      </c>
      <c r="L2180" s="9" t="s">
        <v>69</v>
      </c>
      <c r="M2180" s="9" t="s">
        <v>55</v>
      </c>
      <c r="P2180" s="9">
        <v>20250.0</v>
      </c>
      <c r="Q2180" s="9">
        <v>20000.0</v>
      </c>
      <c r="R2180" s="9" t="s">
        <v>60</v>
      </c>
      <c r="S2180" s="9" t="s">
        <v>57</v>
      </c>
      <c r="T2180" s="9" t="s">
        <v>61</v>
      </c>
      <c r="V2180" s="9">
        <v>740797.81</v>
      </c>
      <c r="W2180" s="9">
        <v>0.0</v>
      </c>
      <c r="X2180" s="9">
        <v>0.0</v>
      </c>
    </row>
    <row r="2181" ht="15.75" customHeight="1">
      <c r="A2181" s="9">
        <v>2227249.0</v>
      </c>
      <c r="B2181" s="9">
        <v>445849.0</v>
      </c>
      <c r="C2181" s="9">
        <v>30284.0</v>
      </c>
      <c r="D2181" s="9" t="s">
        <v>52</v>
      </c>
      <c r="E2181" s="9" t="s">
        <v>53</v>
      </c>
      <c r="F2181" s="9">
        <v>21367.0</v>
      </c>
      <c r="G2181" s="9">
        <v>445849.0</v>
      </c>
      <c r="H2181" s="9">
        <v>445849.0</v>
      </c>
      <c r="I2181" s="9">
        <v>0.0</v>
      </c>
      <c r="J2181" s="9">
        <v>0.0</v>
      </c>
      <c r="K2181" s="9">
        <v>0.0</v>
      </c>
      <c r="L2181" s="9" t="s">
        <v>54</v>
      </c>
      <c r="M2181" s="9" t="s">
        <v>55</v>
      </c>
      <c r="N2181" s="9">
        <v>381552.38</v>
      </c>
      <c r="O2181" s="9">
        <v>391672.66</v>
      </c>
      <c r="P2181" s="9">
        <v>381552.38</v>
      </c>
      <c r="Q2181" s="9">
        <v>0.0</v>
      </c>
      <c r="R2181" s="9" t="s">
        <v>60</v>
      </c>
      <c r="S2181" s="9" t="s">
        <v>57</v>
      </c>
      <c r="T2181" s="9" t="s">
        <v>61</v>
      </c>
      <c r="V2181" s="9">
        <v>387517.4</v>
      </c>
      <c r="W2181" s="9">
        <v>0.0</v>
      </c>
      <c r="X2181" s="9">
        <v>0.0</v>
      </c>
    </row>
    <row r="2182" ht="15.75" customHeight="1">
      <c r="A2182" s="9">
        <v>2229528.0</v>
      </c>
      <c r="B2182" s="9">
        <v>827855.0</v>
      </c>
      <c r="C2182" s="9">
        <v>30867.0</v>
      </c>
      <c r="D2182" s="9" t="s">
        <v>52</v>
      </c>
      <c r="E2182" s="9" t="s">
        <v>53</v>
      </c>
      <c r="F2182" s="9">
        <v>5762.0</v>
      </c>
      <c r="G2182" s="9">
        <v>827855.0</v>
      </c>
      <c r="H2182" s="9">
        <v>827855.0</v>
      </c>
      <c r="I2182" s="9">
        <v>0.0</v>
      </c>
      <c r="J2182" s="9">
        <v>0.0</v>
      </c>
      <c r="K2182" s="9">
        <v>0.0</v>
      </c>
      <c r="L2182" s="9" t="s">
        <v>54</v>
      </c>
      <c r="M2182" s="9" t="s">
        <v>55</v>
      </c>
      <c r="N2182" s="9">
        <v>852692.0</v>
      </c>
      <c r="O2182" s="9">
        <v>852692.6</v>
      </c>
      <c r="R2182" s="9" t="s">
        <v>75</v>
      </c>
      <c r="S2182" s="9" t="s">
        <v>57</v>
      </c>
      <c r="T2182" s="9" t="s">
        <v>76</v>
      </c>
    </row>
    <row r="2183" ht="15.75" customHeight="1">
      <c r="A2183" s="9">
        <v>2234858.0</v>
      </c>
      <c r="B2183" s="9">
        <v>9.2622251E7</v>
      </c>
      <c r="C2183" s="9">
        <v>39988.0</v>
      </c>
      <c r="D2183" s="9" t="s">
        <v>52</v>
      </c>
      <c r="E2183" s="9" t="s">
        <v>53</v>
      </c>
      <c r="F2183" s="9">
        <v>205236.0</v>
      </c>
      <c r="G2183" s="9">
        <v>9.77362927E7</v>
      </c>
      <c r="H2183" s="9">
        <v>1.0898741802E8</v>
      </c>
      <c r="I2183" s="9">
        <v>9.703730208E7</v>
      </c>
      <c r="J2183" s="9">
        <v>96593.18</v>
      </c>
      <c r="K2183" s="9">
        <v>96594.0</v>
      </c>
      <c r="L2183" s="9" t="s">
        <v>59</v>
      </c>
      <c r="M2183" s="9" t="s">
        <v>55</v>
      </c>
      <c r="N2183" s="9">
        <v>9.235104642E7</v>
      </c>
      <c r="O2183" s="9">
        <v>9.235104642E7</v>
      </c>
      <c r="P2183" s="9">
        <v>4155797.0</v>
      </c>
      <c r="Q2183" s="9">
        <v>4155664.71</v>
      </c>
      <c r="R2183" s="9" t="s">
        <v>77</v>
      </c>
      <c r="S2183" s="9" t="s">
        <v>78</v>
      </c>
      <c r="T2183" s="9" t="s">
        <v>79</v>
      </c>
      <c r="U2183" s="9" t="s">
        <v>80</v>
      </c>
    </row>
    <row r="2184" ht="15.75" customHeight="1">
      <c r="A2184" s="9">
        <v>2235780.0</v>
      </c>
      <c r="B2184" s="9">
        <v>6673164.0</v>
      </c>
      <c r="C2184" s="9">
        <v>47246.0</v>
      </c>
      <c r="D2184" s="9" t="s">
        <v>52</v>
      </c>
      <c r="E2184" s="9" t="s">
        <v>53</v>
      </c>
      <c r="F2184" s="9">
        <v>282593.0</v>
      </c>
      <c r="G2184" s="9">
        <v>3595520.06</v>
      </c>
      <c r="H2184" s="9">
        <v>4176255.77</v>
      </c>
      <c r="I2184" s="9">
        <v>3118785.0</v>
      </c>
      <c r="J2184" s="9">
        <v>0.0</v>
      </c>
      <c r="K2184" s="9">
        <v>14476.0</v>
      </c>
      <c r="L2184" s="9" t="s">
        <v>59</v>
      </c>
      <c r="M2184" s="9" t="s">
        <v>62</v>
      </c>
      <c r="N2184" s="9">
        <v>185519.93</v>
      </c>
      <c r="O2184" s="9">
        <v>166967.94</v>
      </c>
      <c r="R2184" s="9" t="s">
        <v>56</v>
      </c>
      <c r="S2184" s="9" t="s">
        <v>57</v>
      </c>
      <c r="T2184" s="9" t="s">
        <v>58</v>
      </c>
      <c r="V2184" s="9">
        <v>176872.87</v>
      </c>
      <c r="W2184" s="9">
        <v>9275.07</v>
      </c>
      <c r="X2184" s="9">
        <v>0.0</v>
      </c>
    </row>
    <row r="2185" ht="15.75" customHeight="1">
      <c r="A2185" s="9">
        <v>2235787.0</v>
      </c>
      <c r="B2185" s="9">
        <v>9970618.0</v>
      </c>
      <c r="C2185" s="9">
        <v>39335.0</v>
      </c>
      <c r="D2185" s="9" t="s">
        <v>52</v>
      </c>
      <c r="E2185" s="9" t="s">
        <v>53</v>
      </c>
      <c r="F2185" s="9">
        <v>239540.0</v>
      </c>
      <c r="G2185" s="9">
        <v>1.0621278E7</v>
      </c>
      <c r="H2185" s="9">
        <v>1.282562794E7</v>
      </c>
      <c r="I2185" s="9">
        <v>7602768.23</v>
      </c>
      <c r="J2185" s="9">
        <v>0.0</v>
      </c>
      <c r="K2185" s="9">
        <v>0.0</v>
      </c>
      <c r="L2185" s="9" t="s">
        <v>59</v>
      </c>
      <c r="M2185" s="9" t="s">
        <v>55</v>
      </c>
      <c r="N2185" s="9">
        <v>9576677.28</v>
      </c>
      <c r="O2185" s="9">
        <v>9536288.2</v>
      </c>
      <c r="P2185" s="9">
        <v>574600.64</v>
      </c>
      <c r="Q2185" s="9">
        <v>574600.64</v>
      </c>
      <c r="R2185" s="9" t="s">
        <v>72</v>
      </c>
      <c r="S2185" s="9" t="s">
        <v>57</v>
      </c>
      <c r="T2185" s="9" t="s">
        <v>73</v>
      </c>
      <c r="V2185" s="9">
        <v>9506023.91</v>
      </c>
      <c r="W2185" s="9">
        <v>574600.64</v>
      </c>
      <c r="X2185" s="9">
        <v>0.0</v>
      </c>
    </row>
    <row r="2186" ht="15.75" customHeight="1">
      <c r="A2186" s="9">
        <v>2241435.0</v>
      </c>
      <c r="B2186" s="9">
        <v>1759216.0</v>
      </c>
      <c r="C2186" s="9">
        <v>40581.0</v>
      </c>
      <c r="D2186" s="9" t="s">
        <v>52</v>
      </c>
      <c r="E2186" s="9" t="s">
        <v>53</v>
      </c>
      <c r="F2186" s="9">
        <v>281442.0</v>
      </c>
      <c r="G2186" s="9">
        <v>2517886.85</v>
      </c>
      <c r="H2186" s="9">
        <v>2517886.85</v>
      </c>
      <c r="I2186" s="9">
        <v>2496181.47</v>
      </c>
      <c r="J2186" s="9">
        <v>0.0</v>
      </c>
      <c r="K2186" s="9">
        <v>0.0</v>
      </c>
      <c r="L2186" s="9" t="s">
        <v>59</v>
      </c>
      <c r="M2186" s="9" t="s">
        <v>55</v>
      </c>
      <c r="N2186" s="9">
        <v>2355886.85</v>
      </c>
      <c r="O2186" s="9">
        <v>2355886.85</v>
      </c>
      <c r="P2186" s="9">
        <v>130000.0</v>
      </c>
      <c r="Q2186" s="9">
        <v>129990.0</v>
      </c>
      <c r="R2186" s="9" t="s">
        <v>72</v>
      </c>
      <c r="S2186" s="9" t="s">
        <v>57</v>
      </c>
      <c r="T2186" s="9" t="s">
        <v>73</v>
      </c>
      <c r="V2186" s="9">
        <v>2354691.47</v>
      </c>
      <c r="W2186" s="9">
        <v>129990.0</v>
      </c>
      <c r="X2186" s="9">
        <v>0.0</v>
      </c>
    </row>
    <row r="2187" ht="15.75" customHeight="1">
      <c r="A2187" s="9">
        <v>2242128.0</v>
      </c>
      <c r="B2187" s="9">
        <v>2691666.0</v>
      </c>
      <c r="C2187" s="9">
        <v>39354.0</v>
      </c>
      <c r="D2187" s="9" t="s">
        <v>52</v>
      </c>
      <c r="E2187" s="9" t="s">
        <v>53</v>
      </c>
      <c r="F2187" s="9">
        <v>284322.0</v>
      </c>
      <c r="G2187" s="9">
        <v>2545205.78</v>
      </c>
      <c r="H2187" s="9">
        <v>2545205.78</v>
      </c>
      <c r="I2187" s="9">
        <v>2492937.33</v>
      </c>
      <c r="J2187" s="9">
        <v>0.0</v>
      </c>
      <c r="K2187" s="9">
        <v>0.0</v>
      </c>
      <c r="L2187" s="9" t="s">
        <v>69</v>
      </c>
      <c r="M2187" s="9" t="s">
        <v>55</v>
      </c>
      <c r="N2187" s="9">
        <v>2361988.6</v>
      </c>
      <c r="O2187" s="9">
        <v>2361988.6</v>
      </c>
      <c r="P2187" s="9">
        <v>91740.42</v>
      </c>
      <c r="Q2187" s="9">
        <v>91700.0</v>
      </c>
      <c r="R2187" s="9" t="s">
        <v>60</v>
      </c>
      <c r="S2187" s="9" t="s">
        <v>57</v>
      </c>
      <c r="T2187" s="9" t="s">
        <v>61</v>
      </c>
      <c r="V2187" s="9">
        <v>2328648.86</v>
      </c>
      <c r="W2187" s="9">
        <v>91700.0</v>
      </c>
      <c r="X2187" s="9">
        <v>0.0</v>
      </c>
    </row>
    <row r="2188" ht="15.75" customHeight="1">
      <c r="A2188" s="9">
        <v>2242471.0</v>
      </c>
      <c r="B2188" s="9">
        <v>3888700.0</v>
      </c>
      <c r="C2188" s="9">
        <v>39355.0</v>
      </c>
      <c r="D2188" s="9" t="s">
        <v>52</v>
      </c>
      <c r="E2188" s="9" t="s">
        <v>53</v>
      </c>
      <c r="F2188" s="9">
        <v>285693.0</v>
      </c>
      <c r="G2188" s="9">
        <v>5010865.53</v>
      </c>
      <c r="H2188" s="9">
        <v>5010865.53</v>
      </c>
      <c r="I2188" s="9">
        <v>5005061.76</v>
      </c>
      <c r="J2188" s="9">
        <v>0.0</v>
      </c>
      <c r="K2188" s="9">
        <v>0.0</v>
      </c>
      <c r="L2188" s="9" t="s">
        <v>69</v>
      </c>
      <c r="M2188" s="9" t="s">
        <v>55</v>
      </c>
      <c r="N2188" s="9">
        <v>4857257.75</v>
      </c>
      <c r="O2188" s="9">
        <v>4857257.75</v>
      </c>
      <c r="P2188" s="9">
        <v>102566.95</v>
      </c>
      <c r="Q2188" s="9">
        <v>102566.95</v>
      </c>
      <c r="R2188" s="9" t="s">
        <v>60</v>
      </c>
      <c r="S2188" s="9" t="s">
        <v>57</v>
      </c>
      <c r="T2188" s="9" t="s">
        <v>61</v>
      </c>
      <c r="V2188" s="9">
        <v>4960880.93</v>
      </c>
      <c r="W2188" s="9">
        <v>87151.12</v>
      </c>
      <c r="X2188" s="9">
        <v>0.0</v>
      </c>
    </row>
    <row r="2189" ht="15.75" customHeight="1">
      <c r="A2189" s="9">
        <v>2244454.0</v>
      </c>
      <c r="B2189" s="9">
        <v>1.982197E7</v>
      </c>
      <c r="C2189" s="9">
        <v>44271.0</v>
      </c>
      <c r="D2189" s="9" t="s">
        <v>52</v>
      </c>
      <c r="E2189" s="9" t="s">
        <v>53</v>
      </c>
      <c r="F2189" s="9">
        <v>293653.0</v>
      </c>
      <c r="G2189" s="9">
        <v>2.57902196E7</v>
      </c>
      <c r="H2189" s="9">
        <v>2.820990277E7</v>
      </c>
      <c r="I2189" s="9">
        <v>2.732658501E7</v>
      </c>
      <c r="J2189" s="9">
        <v>0.0</v>
      </c>
      <c r="K2189" s="9">
        <v>0.0</v>
      </c>
      <c r="L2189" s="9" t="s">
        <v>69</v>
      </c>
      <c r="M2189" s="9" t="s">
        <v>74</v>
      </c>
      <c r="N2189" s="9">
        <v>613355.0</v>
      </c>
      <c r="O2189" s="9">
        <v>519792.0</v>
      </c>
      <c r="P2189" s="9">
        <v>266529.0</v>
      </c>
      <c r="Q2189" s="9">
        <v>225000.0</v>
      </c>
      <c r="R2189" s="9" t="s">
        <v>63</v>
      </c>
      <c r="S2189" s="9" t="s">
        <v>63</v>
      </c>
    </row>
    <row r="2190" ht="15.75" customHeight="1">
      <c r="A2190" s="9">
        <v>2244654.0</v>
      </c>
      <c r="B2190" s="9">
        <v>3813578.0</v>
      </c>
      <c r="C2190" s="9">
        <v>33182.0</v>
      </c>
      <c r="D2190" s="9" t="s">
        <v>52</v>
      </c>
      <c r="E2190" s="9" t="s">
        <v>53</v>
      </c>
      <c r="F2190" s="9">
        <v>294467.0</v>
      </c>
      <c r="G2190" s="9">
        <v>2694637.72</v>
      </c>
      <c r="H2190" s="9">
        <v>2694637.72</v>
      </c>
      <c r="I2190" s="9">
        <v>2573011.24</v>
      </c>
      <c r="J2190" s="9">
        <v>0.0</v>
      </c>
      <c r="K2190" s="9">
        <v>0.0</v>
      </c>
      <c r="L2190" s="9" t="s">
        <v>59</v>
      </c>
      <c r="M2190" s="9" t="s">
        <v>55</v>
      </c>
      <c r="N2190" s="9">
        <v>2220966.18</v>
      </c>
      <c r="O2190" s="9">
        <v>2220966.18</v>
      </c>
      <c r="P2190" s="9">
        <v>138000.0</v>
      </c>
      <c r="Q2190" s="9">
        <v>0.0</v>
      </c>
      <c r="R2190" s="9" t="s">
        <v>56</v>
      </c>
      <c r="S2190" s="9" t="s">
        <v>57</v>
      </c>
      <c r="T2190" s="9" t="s">
        <v>58</v>
      </c>
      <c r="V2190" s="9">
        <v>2318191.94</v>
      </c>
      <c r="W2190" s="9">
        <v>0.0</v>
      </c>
      <c r="X2190" s="9">
        <v>0.0</v>
      </c>
    </row>
    <row r="2191" ht="15.75" customHeight="1">
      <c r="A2191" s="9">
        <v>2248598.0</v>
      </c>
      <c r="B2191" s="9">
        <v>6296119.0</v>
      </c>
      <c r="C2191" s="9">
        <v>37391.0</v>
      </c>
      <c r="D2191" s="9" t="s">
        <v>52</v>
      </c>
      <c r="E2191" s="9" t="s">
        <v>53</v>
      </c>
      <c r="F2191" s="9">
        <v>308735.0</v>
      </c>
      <c r="G2191" s="9">
        <v>5996227.43</v>
      </c>
      <c r="H2191" s="9">
        <v>5996227.43</v>
      </c>
      <c r="I2191" s="9">
        <v>5852891.92</v>
      </c>
      <c r="J2191" s="9">
        <v>0.0</v>
      </c>
      <c r="K2191" s="9">
        <v>0.0</v>
      </c>
      <c r="L2191" s="9" t="s">
        <v>59</v>
      </c>
      <c r="M2191" s="9" t="s">
        <v>55</v>
      </c>
      <c r="N2191" s="9">
        <v>5491642.58</v>
      </c>
      <c r="O2191" s="9">
        <v>5491642.58</v>
      </c>
      <c r="P2191" s="9">
        <v>215004.0</v>
      </c>
      <c r="Q2191" s="9">
        <v>193503.6</v>
      </c>
      <c r="R2191" s="9" t="s">
        <v>60</v>
      </c>
      <c r="S2191" s="9" t="s">
        <v>57</v>
      </c>
      <c r="T2191" s="9" t="s">
        <v>61</v>
      </c>
      <c r="V2191" s="9">
        <v>5659388.49</v>
      </c>
      <c r="W2191" s="9">
        <v>193503.6</v>
      </c>
      <c r="X2191" s="9">
        <v>0.0</v>
      </c>
    </row>
    <row r="2192" ht="15.75" customHeight="1">
      <c r="A2192" s="9">
        <v>2252167.0</v>
      </c>
      <c r="B2192" s="9">
        <v>9983058.0</v>
      </c>
      <c r="C2192" s="9">
        <v>31450.0</v>
      </c>
      <c r="D2192" s="9" t="s">
        <v>52</v>
      </c>
      <c r="E2192" s="9" t="s">
        <v>53</v>
      </c>
      <c r="F2192" s="9">
        <v>303728.0</v>
      </c>
      <c r="G2192" s="9">
        <v>9983058.0</v>
      </c>
      <c r="H2192" s="9">
        <v>9983058.0</v>
      </c>
      <c r="I2192" s="9">
        <v>0.0</v>
      </c>
      <c r="J2192" s="9">
        <v>0.0</v>
      </c>
      <c r="K2192" s="9">
        <v>0.0</v>
      </c>
      <c r="L2192" s="9" t="s">
        <v>54</v>
      </c>
      <c r="M2192" s="9" t="s">
        <v>116</v>
      </c>
      <c r="N2192" s="9">
        <v>141741.6</v>
      </c>
      <c r="O2192" s="9">
        <v>141741.6</v>
      </c>
      <c r="R2192" s="9" t="s">
        <v>60</v>
      </c>
      <c r="S2192" s="9" t="s">
        <v>57</v>
      </c>
      <c r="T2192" s="9" t="s">
        <v>61</v>
      </c>
      <c r="V2192" s="9">
        <v>141741.6</v>
      </c>
    </row>
    <row r="2193" ht="15.75" customHeight="1">
      <c r="A2193" s="9">
        <v>2255275.0</v>
      </c>
      <c r="B2193" s="9">
        <v>2.9331693E7</v>
      </c>
      <c r="C2193" s="9">
        <v>37521.0</v>
      </c>
      <c r="D2193" s="9" t="s">
        <v>52</v>
      </c>
      <c r="E2193" s="9" t="s">
        <v>53</v>
      </c>
      <c r="F2193" s="9">
        <v>209234.0</v>
      </c>
      <c r="G2193" s="9">
        <v>2.9331693E7</v>
      </c>
      <c r="H2193" s="9">
        <v>2.9331693E7</v>
      </c>
      <c r="I2193" s="9">
        <v>1021996.66</v>
      </c>
      <c r="J2193" s="9">
        <v>0.0</v>
      </c>
      <c r="K2193" s="9">
        <v>0.0</v>
      </c>
      <c r="L2193" s="9" t="s">
        <v>59</v>
      </c>
      <c r="M2193" s="9" t="s">
        <v>65</v>
      </c>
      <c r="N2193" s="9">
        <v>772054.0</v>
      </c>
      <c r="O2193" s="9">
        <v>772054.0</v>
      </c>
      <c r="P2193" s="9">
        <v>238973.6</v>
      </c>
      <c r="Q2193" s="9">
        <v>238973.6</v>
      </c>
      <c r="R2193" s="9" t="s">
        <v>66</v>
      </c>
      <c r="S2193" s="9" t="s">
        <v>67</v>
      </c>
      <c r="T2193" s="9" t="s">
        <v>68</v>
      </c>
    </row>
    <row r="2194" ht="15.75" customHeight="1">
      <c r="A2194" s="9">
        <v>2264474.0</v>
      </c>
      <c r="B2194" s="9">
        <v>8228937.0</v>
      </c>
      <c r="C2194" s="9">
        <v>37683.0</v>
      </c>
      <c r="D2194" s="9" t="s">
        <v>52</v>
      </c>
      <c r="E2194" s="9" t="s">
        <v>53</v>
      </c>
      <c r="F2194" s="9">
        <v>317217.0</v>
      </c>
      <c r="G2194" s="9">
        <v>9049961.7</v>
      </c>
      <c r="H2194" s="9">
        <v>1.235521046E7</v>
      </c>
      <c r="I2194" s="9">
        <v>1.228092315E7</v>
      </c>
      <c r="J2194" s="9">
        <v>0.0</v>
      </c>
      <c r="K2194" s="9">
        <v>0.0</v>
      </c>
      <c r="L2194" s="9" t="s">
        <v>59</v>
      </c>
      <c r="M2194" s="9" t="s">
        <v>55</v>
      </c>
      <c r="N2194" s="9">
        <v>1.176728259E7</v>
      </c>
      <c r="O2194" s="9">
        <v>1.176711819E7</v>
      </c>
      <c r="P2194" s="9">
        <v>470688.5</v>
      </c>
      <c r="Q2194" s="9">
        <v>470685.75</v>
      </c>
      <c r="R2194" s="9" t="s">
        <v>70</v>
      </c>
      <c r="S2194" s="9" t="s">
        <v>57</v>
      </c>
      <c r="T2194" s="9" t="s">
        <v>71</v>
      </c>
    </row>
    <row r="2195" ht="15.75" customHeight="1">
      <c r="A2195" s="9">
        <v>2278021.0</v>
      </c>
      <c r="B2195" s="9">
        <v>1321917.0</v>
      </c>
      <c r="C2195" s="9">
        <v>40300.0</v>
      </c>
      <c r="D2195" s="9" t="s">
        <v>52</v>
      </c>
      <c r="E2195" s="9" t="s">
        <v>53</v>
      </c>
      <c r="F2195" s="9">
        <v>322922.0</v>
      </c>
      <c r="G2195" s="9">
        <v>1615363.78</v>
      </c>
      <c r="H2195" s="9">
        <v>1742917.84</v>
      </c>
      <c r="I2195" s="9">
        <v>1735577.78</v>
      </c>
      <c r="J2195" s="9">
        <v>0.0</v>
      </c>
      <c r="K2195" s="9">
        <v>0.0</v>
      </c>
      <c r="L2195" s="9" t="s">
        <v>69</v>
      </c>
      <c r="M2195" s="9" t="s">
        <v>55</v>
      </c>
      <c r="N2195" s="9">
        <v>1521752.39</v>
      </c>
      <c r="O2195" s="9">
        <v>1521752.39</v>
      </c>
      <c r="P2195" s="9">
        <v>39500.0</v>
      </c>
      <c r="Q2195" s="9">
        <v>36000.0</v>
      </c>
      <c r="R2195" s="9" t="s">
        <v>60</v>
      </c>
      <c r="S2195" s="9" t="s">
        <v>57</v>
      </c>
      <c r="T2195" s="9" t="s">
        <v>61</v>
      </c>
      <c r="V2195" s="9">
        <v>1646777.88</v>
      </c>
      <c r="W2195" s="9">
        <v>36000.0</v>
      </c>
      <c r="X2195" s="9">
        <v>0.0</v>
      </c>
    </row>
    <row r="2196" ht="15.75" customHeight="1">
      <c r="A2196" s="9">
        <v>2436227.0</v>
      </c>
      <c r="B2196" s="9">
        <v>54439.64</v>
      </c>
      <c r="C2196" s="9">
        <v>43179.0</v>
      </c>
      <c r="D2196" s="9" t="s">
        <v>52</v>
      </c>
      <c r="E2196" s="9" t="s">
        <v>111</v>
      </c>
      <c r="F2196" s="9">
        <v>2436227.0</v>
      </c>
      <c r="G2196" s="9">
        <v>54439.64</v>
      </c>
      <c r="H2196" s="9">
        <v>56907.11</v>
      </c>
      <c r="I2196" s="9">
        <v>2781.13</v>
      </c>
      <c r="J2196" s="9">
        <v>0.0</v>
      </c>
      <c r="K2196" s="9">
        <v>0.0</v>
      </c>
      <c r="L2196" s="9" t="s">
        <v>59</v>
      </c>
      <c r="M2196" s="9" t="s">
        <v>55</v>
      </c>
      <c r="R2196" s="9" t="s">
        <v>75</v>
      </c>
      <c r="S2196" s="9" t="s">
        <v>57</v>
      </c>
      <c r="T2196" s="9" t="s">
        <v>76</v>
      </c>
    </row>
    <row r="2197" ht="15.75" customHeight="1">
      <c r="A2197" s="9">
        <v>2436236.0</v>
      </c>
      <c r="B2197" s="9">
        <v>100945.05</v>
      </c>
      <c r="C2197" s="9">
        <v>43291.0</v>
      </c>
      <c r="D2197" s="9" t="s">
        <v>52</v>
      </c>
      <c r="E2197" s="9" t="s">
        <v>111</v>
      </c>
      <c r="F2197" s="9">
        <v>2436236.0</v>
      </c>
      <c r="G2197" s="9">
        <v>100945.05</v>
      </c>
      <c r="H2197" s="9">
        <v>103712.25</v>
      </c>
      <c r="I2197" s="9">
        <v>0.0</v>
      </c>
      <c r="J2197" s="9">
        <v>0.0</v>
      </c>
      <c r="K2197" s="9">
        <v>0.0</v>
      </c>
      <c r="L2197" s="9" t="s">
        <v>59</v>
      </c>
      <c r="M2197" s="9" t="s">
        <v>55</v>
      </c>
      <c r="R2197" s="9" t="s">
        <v>106</v>
      </c>
      <c r="S2197" s="9" t="s">
        <v>82</v>
      </c>
      <c r="T2197" s="9" t="s">
        <v>107</v>
      </c>
      <c r="U2197" s="9" t="s">
        <v>108</v>
      </c>
    </row>
    <row r="2198" ht="15.75" customHeight="1">
      <c r="A2198" s="9">
        <v>2436261.0</v>
      </c>
      <c r="B2198" s="9">
        <v>146278.57</v>
      </c>
      <c r="C2198" s="9">
        <v>43431.0</v>
      </c>
      <c r="D2198" s="9" t="s">
        <v>52</v>
      </c>
      <c r="E2198" s="9" t="s">
        <v>111</v>
      </c>
      <c r="F2198" s="9">
        <v>2436261.0</v>
      </c>
      <c r="G2198" s="9">
        <v>146278.57</v>
      </c>
      <c r="H2198" s="9">
        <v>147911.47</v>
      </c>
      <c r="I2198" s="9">
        <v>9339.25</v>
      </c>
      <c r="J2198" s="9">
        <v>0.0</v>
      </c>
      <c r="K2198" s="9">
        <v>0.0</v>
      </c>
      <c r="L2198" s="9" t="s">
        <v>59</v>
      </c>
      <c r="M2198" s="9" t="s">
        <v>55</v>
      </c>
      <c r="R2198" s="9" t="s">
        <v>56</v>
      </c>
      <c r="S2198" s="9" t="s">
        <v>57</v>
      </c>
      <c r="T2198" s="9" t="s">
        <v>58</v>
      </c>
    </row>
    <row r="2199" ht="15.75" customHeight="1">
      <c r="A2199" s="9">
        <v>2436263.0</v>
      </c>
      <c r="B2199" s="9">
        <v>636087.81</v>
      </c>
      <c r="C2199" s="9">
        <v>43242.0</v>
      </c>
      <c r="D2199" s="9" t="s">
        <v>52</v>
      </c>
      <c r="E2199" s="9" t="s">
        <v>111</v>
      </c>
      <c r="F2199" s="9">
        <v>2436263.0</v>
      </c>
      <c r="G2199" s="9">
        <v>636087.81</v>
      </c>
      <c r="H2199" s="9">
        <v>645831.81</v>
      </c>
      <c r="I2199" s="9">
        <v>23512.0</v>
      </c>
      <c r="J2199" s="9">
        <v>0.0</v>
      </c>
      <c r="K2199" s="9">
        <v>0.0</v>
      </c>
      <c r="L2199" s="9" t="s">
        <v>59</v>
      </c>
      <c r="M2199" s="9" t="s">
        <v>55</v>
      </c>
      <c r="R2199" s="9" t="s">
        <v>94</v>
      </c>
      <c r="S2199" s="9" t="s">
        <v>57</v>
      </c>
      <c r="T2199" s="9" t="s">
        <v>95</v>
      </c>
    </row>
    <row r="2200" ht="15.75" customHeight="1">
      <c r="A2200" s="9">
        <v>2436397.0</v>
      </c>
      <c r="B2200" s="9">
        <v>162269.0</v>
      </c>
      <c r="C2200" s="9">
        <v>43402.0</v>
      </c>
      <c r="D2200" s="9" t="s">
        <v>52</v>
      </c>
      <c r="E2200" s="9" t="s">
        <v>111</v>
      </c>
      <c r="F2200" s="9">
        <v>2436397.0</v>
      </c>
      <c r="G2200" s="9">
        <v>162269.0</v>
      </c>
      <c r="H2200" s="9">
        <v>165201.4</v>
      </c>
      <c r="I2200" s="9">
        <v>7471.4</v>
      </c>
      <c r="J2200" s="9">
        <v>0.0</v>
      </c>
      <c r="K2200" s="9">
        <v>0.0</v>
      </c>
      <c r="L2200" s="9" t="s">
        <v>59</v>
      </c>
      <c r="M2200" s="9" t="s">
        <v>55</v>
      </c>
      <c r="R2200" s="9" t="s">
        <v>56</v>
      </c>
      <c r="S2200" s="9" t="s">
        <v>57</v>
      </c>
      <c r="T2200" s="9" t="s">
        <v>58</v>
      </c>
    </row>
    <row r="2201" ht="15.75" customHeight="1">
      <c r="A2201" s="9">
        <v>2436402.0</v>
      </c>
      <c r="B2201" s="9">
        <v>82845.72</v>
      </c>
      <c r="C2201" s="9">
        <v>43322.0</v>
      </c>
      <c r="D2201" s="9" t="s">
        <v>52</v>
      </c>
      <c r="E2201" s="9" t="s">
        <v>111</v>
      </c>
      <c r="F2201" s="9">
        <v>2436402.0</v>
      </c>
      <c r="G2201" s="9">
        <v>82845.72</v>
      </c>
      <c r="H2201" s="9">
        <v>100944.78</v>
      </c>
      <c r="I2201" s="9">
        <v>0.0</v>
      </c>
      <c r="J2201" s="9">
        <v>0.0</v>
      </c>
      <c r="K2201" s="9">
        <v>0.0</v>
      </c>
      <c r="L2201" s="9" t="s">
        <v>59</v>
      </c>
      <c r="M2201" s="9" t="s">
        <v>55</v>
      </c>
      <c r="R2201" s="9" t="s">
        <v>141</v>
      </c>
      <c r="S2201" s="9" t="s">
        <v>101</v>
      </c>
      <c r="T2201" s="9" t="s">
        <v>142</v>
      </c>
    </row>
    <row r="2202" ht="15.75" customHeight="1">
      <c r="A2202" s="9">
        <v>2436404.0</v>
      </c>
      <c r="B2202" s="9">
        <v>189694.58</v>
      </c>
      <c r="C2202" s="9">
        <v>43114.0</v>
      </c>
      <c r="D2202" s="9" t="s">
        <v>52</v>
      </c>
      <c r="E2202" s="9" t="s">
        <v>111</v>
      </c>
      <c r="F2202" s="9">
        <v>2436404.0</v>
      </c>
      <c r="G2202" s="9">
        <v>189694.58</v>
      </c>
      <c r="H2202" s="9">
        <v>192918.08</v>
      </c>
      <c r="I2202" s="9">
        <v>5276.39</v>
      </c>
      <c r="J2202" s="9">
        <v>0.0</v>
      </c>
      <c r="K2202" s="9">
        <v>0.0</v>
      </c>
      <c r="L2202" s="9" t="s">
        <v>59</v>
      </c>
      <c r="M2202" s="9" t="s">
        <v>55</v>
      </c>
      <c r="R2202" s="9" t="s">
        <v>56</v>
      </c>
      <c r="S2202" s="9" t="s">
        <v>57</v>
      </c>
      <c r="T2202" s="9" t="s">
        <v>58</v>
      </c>
    </row>
    <row r="2203" ht="15.75" customHeight="1">
      <c r="A2203" s="9">
        <v>2436406.0</v>
      </c>
      <c r="B2203" s="9">
        <v>129589.63</v>
      </c>
      <c r="C2203" s="9">
        <v>43112.0</v>
      </c>
      <c r="D2203" s="9" t="s">
        <v>52</v>
      </c>
      <c r="E2203" s="9" t="s">
        <v>111</v>
      </c>
      <c r="F2203" s="9">
        <v>2436406.0</v>
      </c>
      <c r="G2203" s="9">
        <v>129589.63</v>
      </c>
      <c r="H2203" s="9">
        <v>131470.63</v>
      </c>
      <c r="I2203" s="9">
        <v>6172.0</v>
      </c>
      <c r="J2203" s="9">
        <v>0.0</v>
      </c>
      <c r="K2203" s="9">
        <v>0.0</v>
      </c>
      <c r="L2203" s="9" t="s">
        <v>59</v>
      </c>
      <c r="M2203" s="9" t="s">
        <v>55</v>
      </c>
      <c r="R2203" s="9" t="s">
        <v>94</v>
      </c>
      <c r="S2203" s="9" t="s">
        <v>57</v>
      </c>
      <c r="T2203" s="9" t="s">
        <v>95</v>
      </c>
    </row>
    <row r="2204" ht="15.75" customHeight="1">
      <c r="A2204" s="9">
        <v>2436427.0</v>
      </c>
      <c r="B2204" s="9">
        <v>183419.0</v>
      </c>
      <c r="C2204" s="9">
        <v>43387.0</v>
      </c>
      <c r="D2204" s="9" t="s">
        <v>52</v>
      </c>
      <c r="E2204" s="9" t="s">
        <v>111</v>
      </c>
      <c r="F2204" s="9">
        <v>2436427.0</v>
      </c>
      <c r="G2204" s="9">
        <v>183419.0</v>
      </c>
      <c r="H2204" s="9">
        <v>187890.8</v>
      </c>
      <c r="I2204" s="9">
        <v>3499.59</v>
      </c>
      <c r="J2204" s="9">
        <v>0.0</v>
      </c>
      <c r="K2204" s="9">
        <v>0.0</v>
      </c>
      <c r="L2204" s="9" t="s">
        <v>59</v>
      </c>
      <c r="M2204" s="9" t="s">
        <v>55</v>
      </c>
      <c r="R2204" s="9" t="s">
        <v>94</v>
      </c>
      <c r="S2204" s="9" t="s">
        <v>57</v>
      </c>
      <c r="T2204" s="9" t="s">
        <v>95</v>
      </c>
    </row>
    <row r="2205" ht="15.75" customHeight="1">
      <c r="A2205" s="9">
        <v>2436461.0</v>
      </c>
      <c r="B2205" s="9">
        <v>57569.33</v>
      </c>
      <c r="C2205" s="9">
        <v>43330.0</v>
      </c>
      <c r="D2205" s="9" t="s">
        <v>52</v>
      </c>
      <c r="E2205" s="9" t="s">
        <v>111</v>
      </c>
      <c r="F2205" s="9">
        <v>2436461.0</v>
      </c>
      <c r="G2205" s="9">
        <v>57569.33</v>
      </c>
      <c r="H2205" s="9">
        <v>59568.93</v>
      </c>
      <c r="I2205" s="9">
        <v>2962.4</v>
      </c>
      <c r="J2205" s="9">
        <v>0.0</v>
      </c>
      <c r="K2205" s="9">
        <v>0.0</v>
      </c>
      <c r="L2205" s="9" t="s">
        <v>59</v>
      </c>
      <c r="M2205" s="9" t="s">
        <v>55</v>
      </c>
      <c r="R2205" s="9" t="s">
        <v>56</v>
      </c>
      <c r="S2205" s="9" t="s">
        <v>57</v>
      </c>
      <c r="T2205" s="9" t="s">
        <v>58</v>
      </c>
    </row>
    <row r="2206" ht="15.75" customHeight="1">
      <c r="A2206" s="9">
        <v>2436463.0</v>
      </c>
      <c r="B2206" s="9">
        <v>91108.36</v>
      </c>
      <c r="C2206" s="9">
        <v>43321.0</v>
      </c>
      <c r="D2206" s="9" t="s">
        <v>52</v>
      </c>
      <c r="E2206" s="9" t="s">
        <v>111</v>
      </c>
      <c r="F2206" s="9">
        <v>2436463.0</v>
      </c>
      <c r="G2206" s="9">
        <v>91108.36</v>
      </c>
      <c r="H2206" s="9">
        <v>94083.24</v>
      </c>
      <c r="I2206" s="9">
        <v>0.0</v>
      </c>
      <c r="J2206" s="9">
        <v>0.0</v>
      </c>
      <c r="K2206" s="9">
        <v>0.0</v>
      </c>
      <c r="L2206" s="9" t="s">
        <v>59</v>
      </c>
      <c r="M2206" s="9" t="s">
        <v>55</v>
      </c>
      <c r="R2206" s="9" t="s">
        <v>70</v>
      </c>
      <c r="S2206" s="9" t="s">
        <v>57</v>
      </c>
      <c r="T2206" s="9" t="s">
        <v>71</v>
      </c>
    </row>
    <row r="2207" ht="15.75" customHeight="1">
      <c r="A2207" s="9">
        <v>2436470.0</v>
      </c>
      <c r="B2207" s="9">
        <v>218847.13</v>
      </c>
      <c r="C2207" s="9">
        <v>43398.0</v>
      </c>
      <c r="D2207" s="9" t="s">
        <v>52</v>
      </c>
      <c r="E2207" s="9" t="s">
        <v>111</v>
      </c>
      <c r="F2207" s="9">
        <v>2436470.0</v>
      </c>
      <c r="G2207" s="9">
        <v>218847.13</v>
      </c>
      <c r="H2207" s="9">
        <v>222853.03</v>
      </c>
      <c r="I2207" s="9">
        <v>6016.6</v>
      </c>
      <c r="J2207" s="9">
        <v>0.0</v>
      </c>
      <c r="K2207" s="9">
        <v>0.0</v>
      </c>
      <c r="L2207" s="9" t="s">
        <v>59</v>
      </c>
      <c r="M2207" s="9" t="s">
        <v>55</v>
      </c>
      <c r="R2207" s="9" t="s">
        <v>70</v>
      </c>
      <c r="S2207" s="9" t="s">
        <v>57</v>
      </c>
      <c r="T2207" s="9" t="s">
        <v>71</v>
      </c>
    </row>
    <row r="2208" ht="15.75" customHeight="1">
      <c r="A2208" s="9">
        <v>2436472.0</v>
      </c>
      <c r="B2208" s="9">
        <v>131806.59</v>
      </c>
      <c r="C2208" s="9">
        <v>43405.0</v>
      </c>
      <c r="D2208" s="9" t="s">
        <v>52</v>
      </c>
      <c r="E2208" s="9" t="s">
        <v>111</v>
      </c>
      <c r="F2208" s="9">
        <v>2436472.0</v>
      </c>
      <c r="G2208" s="9">
        <v>131806.59</v>
      </c>
      <c r="H2208" s="9">
        <v>135685.29</v>
      </c>
      <c r="I2208" s="9">
        <v>6788.97</v>
      </c>
      <c r="J2208" s="9">
        <v>0.0</v>
      </c>
      <c r="K2208" s="9">
        <v>0.0</v>
      </c>
      <c r="L2208" s="9" t="s">
        <v>59</v>
      </c>
      <c r="M2208" s="9" t="s">
        <v>55</v>
      </c>
      <c r="R2208" s="9" t="s">
        <v>72</v>
      </c>
      <c r="S2208" s="9" t="s">
        <v>57</v>
      </c>
      <c r="T2208" s="9" t="s">
        <v>73</v>
      </c>
      <c r="V2208" s="9">
        <v>116600.75</v>
      </c>
    </row>
    <row r="2209" ht="15.75" customHeight="1">
      <c r="A2209" s="9">
        <v>2436695.0</v>
      </c>
      <c r="B2209" s="9">
        <v>1.276473441E7</v>
      </c>
      <c r="C2209" s="9">
        <v>44725.0</v>
      </c>
      <c r="D2209" s="9" t="s">
        <v>52</v>
      </c>
      <c r="E2209" s="9" t="s">
        <v>53</v>
      </c>
      <c r="F2209" s="9">
        <v>2436695.0</v>
      </c>
      <c r="G2209" s="9">
        <v>1.559462581E7</v>
      </c>
      <c r="H2209" s="9">
        <v>1.659002505E7</v>
      </c>
      <c r="I2209" s="9">
        <v>1.659002482E7</v>
      </c>
      <c r="J2209" s="9">
        <v>0.0</v>
      </c>
      <c r="K2209" s="9">
        <v>0.0</v>
      </c>
      <c r="L2209" s="9" t="s">
        <v>69</v>
      </c>
      <c r="M2209" s="9" t="s">
        <v>55</v>
      </c>
      <c r="N2209" s="9">
        <v>1.51393627E7</v>
      </c>
      <c r="O2209" s="9">
        <v>1.402245983E7</v>
      </c>
      <c r="P2209" s="9">
        <v>755005.1</v>
      </c>
      <c r="Q2209" s="9">
        <v>575851.35</v>
      </c>
      <c r="R2209" s="9" t="s">
        <v>72</v>
      </c>
      <c r="S2209" s="9" t="s">
        <v>57</v>
      </c>
      <c r="T2209" s="9" t="s">
        <v>73</v>
      </c>
      <c r="V2209" s="9">
        <v>1.659002505E7</v>
      </c>
      <c r="W2209" s="9">
        <v>575851.35</v>
      </c>
      <c r="X2209" s="9">
        <v>0.0</v>
      </c>
    </row>
    <row r="2210" ht="15.75" customHeight="1">
      <c r="A2210" s="9">
        <v>2436838.0</v>
      </c>
      <c r="B2210" s="9">
        <v>134727.0</v>
      </c>
      <c r="C2210" s="9">
        <v>43418.0</v>
      </c>
      <c r="D2210" s="9" t="s">
        <v>52</v>
      </c>
      <c r="E2210" s="9" t="s">
        <v>111</v>
      </c>
      <c r="F2210" s="9">
        <v>2436838.0</v>
      </c>
      <c r="G2210" s="9">
        <v>134727.0</v>
      </c>
      <c r="H2210" s="9">
        <v>136760.5</v>
      </c>
      <c r="I2210" s="9">
        <v>0.0</v>
      </c>
      <c r="J2210" s="9">
        <v>0.0</v>
      </c>
      <c r="K2210" s="9">
        <v>0.0</v>
      </c>
      <c r="L2210" s="9" t="s">
        <v>59</v>
      </c>
      <c r="M2210" s="9" t="s">
        <v>55</v>
      </c>
      <c r="R2210" s="9" t="s">
        <v>75</v>
      </c>
      <c r="S2210" s="9" t="s">
        <v>57</v>
      </c>
      <c r="T2210" s="9" t="s">
        <v>76</v>
      </c>
    </row>
    <row r="2211" ht="15.75" customHeight="1">
      <c r="A2211" s="9">
        <v>2436863.0</v>
      </c>
      <c r="B2211" s="9">
        <v>47624.65</v>
      </c>
      <c r="C2211" s="9">
        <v>43316.0</v>
      </c>
      <c r="D2211" s="9" t="s">
        <v>52</v>
      </c>
      <c r="E2211" s="9" t="s">
        <v>111</v>
      </c>
      <c r="F2211" s="9">
        <v>2436863.0</v>
      </c>
      <c r="G2211" s="9">
        <v>47624.65</v>
      </c>
      <c r="H2211" s="9">
        <v>50098.15</v>
      </c>
      <c r="I2211" s="9">
        <v>0.0</v>
      </c>
      <c r="J2211" s="9">
        <v>0.0</v>
      </c>
      <c r="K2211" s="9">
        <v>0.0</v>
      </c>
      <c r="L2211" s="9" t="s">
        <v>59</v>
      </c>
      <c r="M2211" s="9" t="s">
        <v>55</v>
      </c>
      <c r="R2211" s="9" t="s">
        <v>75</v>
      </c>
      <c r="S2211" s="9" t="s">
        <v>57</v>
      </c>
      <c r="T2211" s="9" t="s">
        <v>76</v>
      </c>
    </row>
    <row r="2212" ht="15.75" customHeight="1">
      <c r="A2212" s="9">
        <v>2436870.0</v>
      </c>
      <c r="B2212" s="9">
        <v>129643.6</v>
      </c>
      <c r="C2212" s="9">
        <v>43061.0</v>
      </c>
      <c r="D2212" s="9" t="s">
        <v>52</v>
      </c>
      <c r="E2212" s="9" t="s">
        <v>111</v>
      </c>
      <c r="F2212" s="9">
        <v>2436870.0</v>
      </c>
      <c r="G2212" s="9">
        <v>129643.6</v>
      </c>
      <c r="H2212" s="9">
        <v>133110.0</v>
      </c>
      <c r="I2212" s="9">
        <v>7869.5</v>
      </c>
      <c r="J2212" s="9">
        <v>0.0</v>
      </c>
      <c r="K2212" s="9">
        <v>0.0</v>
      </c>
      <c r="L2212" s="9" t="s">
        <v>59</v>
      </c>
      <c r="M2212" s="9" t="s">
        <v>55</v>
      </c>
      <c r="R2212" s="9" t="s">
        <v>72</v>
      </c>
      <c r="S2212" s="9" t="s">
        <v>57</v>
      </c>
      <c r="T2212" s="9" t="s">
        <v>73</v>
      </c>
      <c r="V2212" s="9">
        <v>100585.89</v>
      </c>
    </row>
    <row r="2213" ht="15.75" customHeight="1">
      <c r="A2213" s="9">
        <v>2436872.0</v>
      </c>
      <c r="B2213" s="9">
        <v>204893.64</v>
      </c>
      <c r="C2213" s="9">
        <v>43077.0</v>
      </c>
      <c r="D2213" s="9" t="s">
        <v>52</v>
      </c>
      <c r="E2213" s="9" t="s">
        <v>111</v>
      </c>
      <c r="F2213" s="9">
        <v>2436872.0</v>
      </c>
      <c r="G2213" s="9">
        <v>204893.64</v>
      </c>
      <c r="H2213" s="9">
        <v>209650.84</v>
      </c>
      <c r="I2213" s="9">
        <v>6947.5</v>
      </c>
      <c r="J2213" s="9">
        <v>0.0</v>
      </c>
      <c r="K2213" s="9">
        <v>0.0</v>
      </c>
      <c r="L2213" s="9" t="s">
        <v>59</v>
      </c>
      <c r="M2213" s="9" t="s">
        <v>55</v>
      </c>
      <c r="R2213" s="9" t="s">
        <v>56</v>
      </c>
      <c r="S2213" s="9" t="s">
        <v>57</v>
      </c>
      <c r="T2213" s="9" t="s">
        <v>58</v>
      </c>
    </row>
    <row r="2214" ht="15.75" customHeight="1">
      <c r="A2214" s="9">
        <v>2436874.0</v>
      </c>
      <c r="B2214" s="9">
        <v>135893.64</v>
      </c>
      <c r="C2214" s="9">
        <v>43104.0</v>
      </c>
      <c r="D2214" s="9" t="s">
        <v>52</v>
      </c>
      <c r="E2214" s="9" t="s">
        <v>111</v>
      </c>
      <c r="F2214" s="9">
        <v>2436874.0</v>
      </c>
      <c r="G2214" s="9">
        <v>135893.64</v>
      </c>
      <c r="H2214" s="9">
        <v>137697.14</v>
      </c>
      <c r="I2214" s="9">
        <v>7625.0</v>
      </c>
      <c r="J2214" s="9">
        <v>0.0</v>
      </c>
      <c r="K2214" s="9">
        <v>0.0</v>
      </c>
      <c r="L2214" s="9" t="s">
        <v>59</v>
      </c>
      <c r="M2214" s="9" t="s">
        <v>55</v>
      </c>
      <c r="R2214" s="9" t="s">
        <v>56</v>
      </c>
      <c r="S2214" s="9" t="s">
        <v>57</v>
      </c>
      <c r="T2214" s="9" t="s">
        <v>58</v>
      </c>
    </row>
    <row r="2215" ht="15.75" customHeight="1">
      <c r="A2215" s="9">
        <v>2437399.0</v>
      </c>
      <c r="B2215" s="9">
        <v>136006.14</v>
      </c>
      <c r="C2215" s="9">
        <v>43386.0</v>
      </c>
      <c r="D2215" s="9" t="s">
        <v>52</v>
      </c>
      <c r="E2215" s="9" t="s">
        <v>111</v>
      </c>
      <c r="F2215" s="9">
        <v>2437399.0</v>
      </c>
      <c r="G2215" s="9">
        <v>136006.14</v>
      </c>
      <c r="H2215" s="9">
        <v>139687.24</v>
      </c>
      <c r="I2215" s="9">
        <v>2890.45</v>
      </c>
      <c r="J2215" s="9">
        <v>0.0</v>
      </c>
      <c r="K2215" s="9">
        <v>0.0</v>
      </c>
      <c r="L2215" s="9" t="s">
        <v>59</v>
      </c>
      <c r="M2215" s="9" t="s">
        <v>55</v>
      </c>
      <c r="R2215" s="9" t="s">
        <v>94</v>
      </c>
      <c r="S2215" s="9" t="s">
        <v>57</v>
      </c>
      <c r="T2215" s="9" t="s">
        <v>95</v>
      </c>
    </row>
    <row r="2216" ht="15.75" customHeight="1">
      <c r="A2216" s="9">
        <v>2437406.0</v>
      </c>
      <c r="B2216" s="9">
        <v>398732.53</v>
      </c>
      <c r="C2216" s="9">
        <v>43392.0</v>
      </c>
      <c r="D2216" s="9" t="s">
        <v>52</v>
      </c>
      <c r="E2216" s="9" t="s">
        <v>111</v>
      </c>
      <c r="F2216" s="9">
        <v>2437406.0</v>
      </c>
      <c r="G2216" s="9">
        <v>398732.53</v>
      </c>
      <c r="H2216" s="9">
        <v>403278.33</v>
      </c>
      <c r="I2216" s="9">
        <v>13903.98</v>
      </c>
      <c r="J2216" s="9">
        <v>0.0</v>
      </c>
      <c r="K2216" s="9">
        <v>0.0</v>
      </c>
      <c r="L2216" s="9" t="s">
        <v>59</v>
      </c>
      <c r="M2216" s="9" t="s">
        <v>55</v>
      </c>
      <c r="R2216" s="9" t="s">
        <v>72</v>
      </c>
      <c r="S2216" s="9" t="s">
        <v>57</v>
      </c>
      <c r="T2216" s="9" t="s">
        <v>73</v>
      </c>
      <c r="V2216" s="9">
        <v>307482.72</v>
      </c>
    </row>
    <row r="2217" ht="15.75" customHeight="1">
      <c r="A2217" s="9">
        <v>2439455.0</v>
      </c>
      <c r="B2217" s="9">
        <v>256009.56</v>
      </c>
      <c r="C2217" s="9">
        <v>43080.0</v>
      </c>
      <c r="D2217" s="9" t="s">
        <v>52</v>
      </c>
      <c r="E2217" s="9" t="s">
        <v>111</v>
      </c>
      <c r="F2217" s="9">
        <v>2439455.0</v>
      </c>
      <c r="G2217" s="9">
        <v>256009.56</v>
      </c>
      <c r="H2217" s="9">
        <v>261469.56</v>
      </c>
      <c r="I2217" s="9">
        <v>0.0</v>
      </c>
      <c r="J2217" s="9">
        <v>0.0</v>
      </c>
      <c r="K2217" s="9">
        <v>0.0</v>
      </c>
      <c r="L2217" s="9" t="s">
        <v>59</v>
      </c>
      <c r="M2217" s="9" t="s">
        <v>55</v>
      </c>
      <c r="R2217" s="9" t="s">
        <v>63</v>
      </c>
      <c r="S2217" s="9" t="s">
        <v>63</v>
      </c>
    </row>
    <row r="2218" ht="15.75" customHeight="1">
      <c r="A2218" s="9">
        <v>2440489.0</v>
      </c>
      <c r="B2218" s="9">
        <v>116702.49</v>
      </c>
      <c r="C2218" s="9">
        <v>43256.0</v>
      </c>
      <c r="D2218" s="9" t="s">
        <v>52</v>
      </c>
      <c r="E2218" s="9" t="s">
        <v>111</v>
      </c>
      <c r="F2218" s="9">
        <v>2440489.0</v>
      </c>
      <c r="G2218" s="9">
        <v>116702.49</v>
      </c>
      <c r="H2218" s="9">
        <v>122124.55</v>
      </c>
      <c r="I2218" s="9">
        <v>0.0</v>
      </c>
      <c r="J2218" s="9">
        <v>0.0</v>
      </c>
      <c r="K2218" s="9">
        <v>0.0</v>
      </c>
      <c r="L2218" s="9" t="s">
        <v>59</v>
      </c>
      <c r="M2218" s="9" t="s">
        <v>55</v>
      </c>
      <c r="R2218" s="9" t="s">
        <v>141</v>
      </c>
      <c r="S2218" s="9" t="s">
        <v>101</v>
      </c>
      <c r="T2218" s="9" t="s">
        <v>142</v>
      </c>
    </row>
    <row r="2219" ht="15.75" customHeight="1">
      <c r="A2219" s="9">
        <v>2440498.0</v>
      </c>
      <c r="B2219" s="9">
        <v>167112.99</v>
      </c>
      <c r="C2219" s="9">
        <v>43263.0</v>
      </c>
      <c r="D2219" s="9" t="s">
        <v>52</v>
      </c>
      <c r="E2219" s="9" t="s">
        <v>111</v>
      </c>
      <c r="F2219" s="9">
        <v>2440498.0</v>
      </c>
      <c r="G2219" s="9">
        <v>167112.99</v>
      </c>
      <c r="H2219" s="9">
        <v>171096.69</v>
      </c>
      <c r="I2219" s="9">
        <v>0.0</v>
      </c>
      <c r="J2219" s="9">
        <v>0.0</v>
      </c>
      <c r="K2219" s="9">
        <v>0.0</v>
      </c>
      <c r="L2219" s="9" t="s">
        <v>59</v>
      </c>
      <c r="M2219" s="9" t="s">
        <v>55</v>
      </c>
      <c r="R2219" s="9" t="s">
        <v>106</v>
      </c>
      <c r="S2219" s="9" t="s">
        <v>82</v>
      </c>
      <c r="T2219" s="9" t="s">
        <v>107</v>
      </c>
      <c r="U2219" s="9" t="s">
        <v>108</v>
      </c>
    </row>
    <row r="2220" ht="15.75" customHeight="1">
      <c r="A2220" s="9">
        <v>2440500.0</v>
      </c>
      <c r="B2220" s="9">
        <v>455043.29</v>
      </c>
      <c r="C2220" s="9">
        <v>43257.0</v>
      </c>
      <c r="D2220" s="9" t="s">
        <v>52</v>
      </c>
      <c r="E2220" s="9" t="s">
        <v>111</v>
      </c>
      <c r="F2220" s="9">
        <v>2440500.0</v>
      </c>
      <c r="G2220" s="9">
        <v>455043.29</v>
      </c>
      <c r="H2220" s="9">
        <v>465954.41</v>
      </c>
      <c r="I2220" s="9">
        <v>16481.86</v>
      </c>
      <c r="J2220" s="9">
        <v>0.0</v>
      </c>
      <c r="K2220" s="9">
        <v>0.0</v>
      </c>
      <c r="L2220" s="9" t="s">
        <v>59</v>
      </c>
      <c r="M2220" s="9" t="s">
        <v>55</v>
      </c>
      <c r="R2220" s="9" t="s">
        <v>70</v>
      </c>
      <c r="S2220" s="9" t="s">
        <v>57</v>
      </c>
      <c r="T2220" s="9" t="s">
        <v>71</v>
      </c>
    </row>
    <row r="2221" ht="15.75" customHeight="1">
      <c r="A2221" s="9">
        <v>2441168.0</v>
      </c>
      <c r="B2221" s="9">
        <v>1.2754096E7</v>
      </c>
      <c r="C2221" s="9">
        <v>44282.0</v>
      </c>
      <c r="D2221" s="9" t="s">
        <v>52</v>
      </c>
      <c r="E2221" s="9" t="s">
        <v>111</v>
      </c>
      <c r="F2221" s="9">
        <v>2441168.0</v>
      </c>
      <c r="H2221" s="9">
        <v>1.561020702E7</v>
      </c>
      <c r="I2221" s="9">
        <v>8500508.42</v>
      </c>
      <c r="J2221" s="9">
        <v>0.0</v>
      </c>
      <c r="K2221" s="9">
        <v>6712212.0</v>
      </c>
      <c r="L2221" s="9" t="s">
        <v>59</v>
      </c>
      <c r="M2221" s="9" t="s">
        <v>65</v>
      </c>
      <c r="R2221" s="9" t="s">
        <v>63</v>
      </c>
      <c r="S2221" s="9" t="s">
        <v>63</v>
      </c>
    </row>
    <row r="2222" ht="15.75" customHeight="1">
      <c r="A2222" s="9">
        <v>2446673.0</v>
      </c>
      <c r="B2222" s="9">
        <v>6969228.83</v>
      </c>
      <c r="C2222" s="9">
        <v>44049.0</v>
      </c>
      <c r="D2222" s="9" t="s">
        <v>52</v>
      </c>
      <c r="E2222" s="9" t="s">
        <v>53</v>
      </c>
      <c r="F2222" s="9">
        <v>2446673.0</v>
      </c>
      <c r="G2222" s="9">
        <v>6962228.83</v>
      </c>
      <c r="H2222" s="9">
        <v>7992211.98</v>
      </c>
      <c r="I2222" s="9">
        <v>6945319.01</v>
      </c>
      <c r="J2222" s="9">
        <v>0.0</v>
      </c>
      <c r="K2222" s="9">
        <v>0.0</v>
      </c>
      <c r="L2222" s="9" t="s">
        <v>69</v>
      </c>
      <c r="M2222" s="9" t="s">
        <v>55</v>
      </c>
      <c r="N2222" s="9">
        <v>6949206.42</v>
      </c>
      <c r="O2222" s="9">
        <v>6409748.18</v>
      </c>
      <c r="P2222" s="9">
        <v>153374.93</v>
      </c>
      <c r="Q2222" s="9">
        <v>142900.0</v>
      </c>
      <c r="R2222" s="9" t="s">
        <v>94</v>
      </c>
      <c r="S2222" s="9" t="s">
        <v>57</v>
      </c>
      <c r="T2222" s="9" t="s">
        <v>95</v>
      </c>
    </row>
    <row r="2223" ht="15.75" customHeight="1">
      <c r="A2223" s="9">
        <v>2450192.0</v>
      </c>
      <c r="B2223" s="9">
        <v>1.314340506E7</v>
      </c>
      <c r="C2223" s="9">
        <v>43490.0</v>
      </c>
      <c r="D2223" s="9" t="s">
        <v>52</v>
      </c>
      <c r="E2223" s="9" t="s">
        <v>103</v>
      </c>
      <c r="F2223" s="9">
        <v>2450192.0</v>
      </c>
      <c r="H2223" s="9">
        <v>2.725680521E7</v>
      </c>
      <c r="I2223" s="9">
        <v>2.725680521E7</v>
      </c>
      <c r="J2223" s="9">
        <v>0.0</v>
      </c>
      <c r="K2223" s="9">
        <v>0.0</v>
      </c>
      <c r="L2223" s="9" t="s">
        <v>59</v>
      </c>
      <c r="M2223" s="9" t="s">
        <v>55</v>
      </c>
      <c r="N2223" s="9">
        <v>2.460535588E7</v>
      </c>
      <c r="O2223" s="9">
        <v>2.460535588E7</v>
      </c>
      <c r="P2223" s="9">
        <v>1252265.23</v>
      </c>
      <c r="Q2223" s="9">
        <v>1252265.23</v>
      </c>
      <c r="R2223" s="9" t="s">
        <v>72</v>
      </c>
      <c r="S2223" s="9" t="s">
        <v>57</v>
      </c>
      <c r="T2223" s="9" t="s">
        <v>73</v>
      </c>
    </row>
    <row r="2224" ht="15.75" customHeight="1">
      <c r="A2224" s="9">
        <v>2461724.0</v>
      </c>
      <c r="B2224" s="9">
        <v>1289994.125</v>
      </c>
      <c r="C2224" s="9">
        <v>47214.0</v>
      </c>
      <c r="D2224" s="9" t="s">
        <v>52</v>
      </c>
      <c r="E2224" s="9" t="s">
        <v>53</v>
      </c>
      <c r="F2224" s="9">
        <v>2461724.0</v>
      </c>
      <c r="G2224" s="9">
        <v>1844905.14</v>
      </c>
      <c r="H2224" s="9">
        <v>1997515.21</v>
      </c>
      <c r="I2224" s="9">
        <v>1764441.14</v>
      </c>
      <c r="J2224" s="9">
        <v>4195.0</v>
      </c>
      <c r="K2224" s="9">
        <v>87269.0</v>
      </c>
      <c r="L2224" s="9" t="s">
        <v>59</v>
      </c>
      <c r="M2224" s="9" t="s">
        <v>55</v>
      </c>
      <c r="N2224" s="9">
        <v>1761987.49</v>
      </c>
      <c r="O2224" s="9">
        <v>1585788.75</v>
      </c>
      <c r="P2224" s="9">
        <v>112195.0</v>
      </c>
      <c r="Q2224" s="9">
        <v>112195.0</v>
      </c>
      <c r="R2224" s="9" t="s">
        <v>56</v>
      </c>
      <c r="S2224" s="9" t="s">
        <v>57</v>
      </c>
      <c r="T2224" s="9" t="s">
        <v>58</v>
      </c>
      <c r="V2224" s="9">
        <v>1598946.14</v>
      </c>
      <c r="W2224" s="9">
        <v>112195.0</v>
      </c>
      <c r="X2224" s="9">
        <v>0.0</v>
      </c>
    </row>
    <row r="2225" ht="15.75" customHeight="1">
      <c r="A2225" s="9">
        <v>2462090.0</v>
      </c>
      <c r="B2225" s="9">
        <v>5.1067346E7</v>
      </c>
      <c r="C2225" s="9">
        <v>47565.0</v>
      </c>
      <c r="D2225" s="9" t="s">
        <v>52</v>
      </c>
      <c r="E2225" s="9" t="s">
        <v>111</v>
      </c>
      <c r="F2225" s="9">
        <v>2462090.0</v>
      </c>
      <c r="H2225" s="9">
        <v>6.282059863E7</v>
      </c>
      <c r="I2225" s="9">
        <v>6.138245632E7</v>
      </c>
      <c r="J2225" s="9">
        <v>6767728.92</v>
      </c>
      <c r="K2225" s="9">
        <v>7072015.0</v>
      </c>
      <c r="L2225" s="9" t="s">
        <v>59</v>
      </c>
      <c r="M2225" s="9" t="s">
        <v>55</v>
      </c>
      <c r="N2225" s="9">
        <v>2.337605744E7</v>
      </c>
      <c r="O2225" s="9">
        <v>2.289518167E7</v>
      </c>
      <c r="P2225" s="9">
        <v>1680692.89</v>
      </c>
      <c r="Q2225" s="9">
        <v>1512623.61</v>
      </c>
      <c r="R2225" s="9" t="s">
        <v>75</v>
      </c>
      <c r="S2225" s="9" t="s">
        <v>57</v>
      </c>
      <c r="T2225" s="9" t="s">
        <v>76</v>
      </c>
    </row>
    <row r="2226" ht="15.75" customHeight="1">
      <c r="A2226" s="9">
        <v>2497086.0</v>
      </c>
      <c r="B2226" s="9">
        <v>9618180.0</v>
      </c>
      <c r="C2226" s="9">
        <v>47310.0</v>
      </c>
      <c r="D2226" s="9" t="s">
        <v>52</v>
      </c>
      <c r="E2226" s="9" t="s">
        <v>64</v>
      </c>
      <c r="F2226" s="9">
        <v>2497086.0</v>
      </c>
      <c r="H2226" s="9">
        <v>2.025931844E7</v>
      </c>
      <c r="I2226" s="9">
        <v>1.301791179E7</v>
      </c>
      <c r="J2226" s="9">
        <v>0.0</v>
      </c>
      <c r="K2226" s="9">
        <v>100000.0</v>
      </c>
      <c r="L2226" s="9" t="s">
        <v>59</v>
      </c>
      <c r="M2226" s="9" t="s">
        <v>74</v>
      </c>
      <c r="R2226" s="9" t="s">
        <v>100</v>
      </c>
      <c r="S2226" s="9" t="s">
        <v>101</v>
      </c>
      <c r="T2226" s="9" t="s">
        <v>102</v>
      </c>
    </row>
    <row r="2227" ht="15.75" customHeight="1">
      <c r="A2227" s="9">
        <v>2535928.0</v>
      </c>
      <c r="B2227" s="9">
        <v>5168866.5</v>
      </c>
      <c r="C2227" s="9">
        <v>47229.0</v>
      </c>
      <c r="D2227" s="9" t="s">
        <v>52</v>
      </c>
      <c r="E2227" s="9" t="s">
        <v>53</v>
      </c>
      <c r="F2227" s="9">
        <v>2535928.0</v>
      </c>
      <c r="G2227" s="9">
        <v>8435929.76</v>
      </c>
      <c r="H2227" s="9">
        <v>8869068.33</v>
      </c>
      <c r="I2227" s="9">
        <v>8724358.7</v>
      </c>
      <c r="J2227" s="9">
        <v>996957.0</v>
      </c>
      <c r="K2227" s="9">
        <v>1076676.0</v>
      </c>
      <c r="L2227" s="9" t="s">
        <v>59</v>
      </c>
      <c r="M2227" s="9" t="s">
        <v>55</v>
      </c>
      <c r="N2227" s="9">
        <v>8367344.0</v>
      </c>
      <c r="O2227" s="9">
        <v>8367344.0</v>
      </c>
      <c r="P2227" s="9">
        <v>465685.33</v>
      </c>
      <c r="Q2227" s="9">
        <v>355183.73</v>
      </c>
      <c r="R2227" s="9" t="s">
        <v>56</v>
      </c>
      <c r="S2227" s="9" t="s">
        <v>57</v>
      </c>
      <c r="T2227" s="9" t="s">
        <v>58</v>
      </c>
      <c r="V2227" s="9">
        <v>8524304.9</v>
      </c>
      <c r="W2227" s="9">
        <v>0.0</v>
      </c>
      <c r="X2227" s="9">
        <v>0.0</v>
      </c>
    </row>
    <row r="2228" ht="15.75" customHeight="1">
      <c r="A2228" s="9">
        <v>2569318.0</v>
      </c>
      <c r="B2228" s="9">
        <v>3.677273313E8</v>
      </c>
      <c r="C2228" s="9">
        <v>46974.0</v>
      </c>
      <c r="D2228" s="9" t="s">
        <v>52</v>
      </c>
      <c r="E2228" s="9" t="s">
        <v>153</v>
      </c>
      <c r="F2228" s="9">
        <v>2569318.0</v>
      </c>
      <c r="H2228" s="9">
        <v>3.6225665297E8</v>
      </c>
      <c r="I2228" s="9">
        <v>2744930.55</v>
      </c>
      <c r="J2228" s="9">
        <v>903024.88</v>
      </c>
      <c r="K2228" s="9">
        <v>934770.0</v>
      </c>
      <c r="L2228" s="9" t="s">
        <v>59</v>
      </c>
      <c r="M2228" s="9" t="s">
        <v>65</v>
      </c>
      <c r="N2228" s="9">
        <v>7230886.32</v>
      </c>
      <c r="O2228" s="9">
        <v>6507797.69</v>
      </c>
      <c r="P2228" s="9">
        <v>3253772.9</v>
      </c>
      <c r="Q2228" s="9">
        <v>2928395.61</v>
      </c>
      <c r="R2228" s="9" t="s">
        <v>66</v>
      </c>
      <c r="S2228" s="9" t="s">
        <v>67</v>
      </c>
      <c r="T2228" s="9" t="s">
        <v>68</v>
      </c>
    </row>
    <row r="2229" ht="15.75" customHeight="1">
      <c r="A2229" s="9">
        <v>2595090.0</v>
      </c>
      <c r="B2229" s="9">
        <v>3782588.31</v>
      </c>
      <c r="C2229" s="9">
        <v>48245.0</v>
      </c>
      <c r="D2229" s="9" t="s">
        <v>52</v>
      </c>
      <c r="E2229" s="9" t="s">
        <v>103</v>
      </c>
      <c r="F2229" s="9">
        <v>2595090.0</v>
      </c>
      <c r="H2229" s="9">
        <v>3782588.31</v>
      </c>
      <c r="I2229" s="9">
        <v>3780500.0</v>
      </c>
      <c r="J2229" s="9">
        <v>0.0</v>
      </c>
      <c r="K2229" s="9">
        <v>0.0</v>
      </c>
      <c r="L2229" s="9" t="s">
        <v>59</v>
      </c>
      <c r="M2229" s="9" t="s">
        <v>55</v>
      </c>
      <c r="R2229" s="9" t="s">
        <v>94</v>
      </c>
      <c r="S2229" s="9" t="s">
        <v>57</v>
      </c>
      <c r="T2229" s="9" t="s">
        <v>95</v>
      </c>
    </row>
    <row r="2230" ht="15.75" customHeight="1">
      <c r="A2230" s="9">
        <v>2597789.0</v>
      </c>
      <c r="B2230" s="9">
        <v>6.906228882E7</v>
      </c>
      <c r="C2230" s="9">
        <v>47789.0</v>
      </c>
      <c r="D2230" s="9" t="s">
        <v>52</v>
      </c>
      <c r="E2230" s="9" t="s">
        <v>126</v>
      </c>
      <c r="F2230" s="9">
        <v>2597789.0</v>
      </c>
      <c r="H2230" s="9">
        <v>6.824228646E7</v>
      </c>
      <c r="I2230" s="9">
        <v>9128.0</v>
      </c>
      <c r="J2230" s="9">
        <v>9128.0</v>
      </c>
      <c r="K2230" s="9">
        <v>1707473.0</v>
      </c>
      <c r="L2230" s="9" t="s">
        <v>59</v>
      </c>
      <c r="M2230" s="9" t="s">
        <v>65</v>
      </c>
      <c r="N2230" s="9">
        <v>4709577.57</v>
      </c>
      <c r="O2230" s="9">
        <v>3988737.39</v>
      </c>
      <c r="P2230" s="9">
        <v>1722049.9</v>
      </c>
      <c r="Q2230" s="9">
        <v>1377296.47</v>
      </c>
      <c r="R2230" s="9" t="s">
        <v>66</v>
      </c>
      <c r="S2230" s="9" t="s">
        <v>67</v>
      </c>
      <c r="T2230" s="9" t="s">
        <v>68</v>
      </c>
    </row>
    <row r="2231" ht="15.75" customHeight="1">
      <c r="A2231" s="9">
        <v>2614733.0</v>
      </c>
      <c r="B2231" s="9">
        <v>3266644.04</v>
      </c>
      <c r="C2231" s="9">
        <v>48248.0</v>
      </c>
      <c r="D2231" s="9" t="s">
        <v>52</v>
      </c>
      <c r="E2231" s="9" t="s">
        <v>103</v>
      </c>
      <c r="F2231" s="9">
        <v>2614733.0</v>
      </c>
      <c r="H2231" s="9">
        <v>3266644.04</v>
      </c>
      <c r="I2231" s="9">
        <v>3192811.44</v>
      </c>
      <c r="J2231" s="9">
        <v>2213161.44</v>
      </c>
      <c r="K2231" s="9">
        <v>2286994.0</v>
      </c>
      <c r="L2231" s="9" t="s">
        <v>59</v>
      </c>
      <c r="M2231" s="9" t="s">
        <v>55</v>
      </c>
      <c r="R2231" s="9" t="s">
        <v>94</v>
      </c>
      <c r="S2231" s="9" t="s">
        <v>57</v>
      </c>
      <c r="T2231" s="9" t="s">
        <v>95</v>
      </c>
    </row>
    <row r="2232" ht="15.75" customHeight="1">
      <c r="A2232" s="9">
        <v>2280879.0</v>
      </c>
      <c r="B2232" s="9">
        <v>4940583.22</v>
      </c>
      <c r="C2232" s="9">
        <v>47167.0</v>
      </c>
      <c r="D2232" s="9" t="s">
        <v>52</v>
      </c>
      <c r="E2232" s="9" t="s">
        <v>126</v>
      </c>
      <c r="F2232" s="9">
        <v>324322.0</v>
      </c>
      <c r="H2232" s="9">
        <v>1.382585569E7</v>
      </c>
      <c r="I2232" s="9">
        <v>1.11215009E7</v>
      </c>
      <c r="J2232" s="9">
        <v>2155588.04</v>
      </c>
      <c r="K2232" s="9">
        <v>4601346.0</v>
      </c>
      <c r="L2232" s="9" t="s">
        <v>59</v>
      </c>
      <c r="M2232" s="9" t="s">
        <v>55</v>
      </c>
      <c r="N2232" s="9">
        <v>9658920.51</v>
      </c>
      <c r="O2232" s="9">
        <v>9983999.49</v>
      </c>
      <c r="P2232" s="9">
        <v>1065109.51</v>
      </c>
      <c r="Q2232" s="9">
        <v>909598.28</v>
      </c>
      <c r="R2232" s="9" t="s">
        <v>81</v>
      </c>
      <c r="S2232" s="9" t="s">
        <v>82</v>
      </c>
      <c r="T2232" s="9" t="s">
        <v>83</v>
      </c>
      <c r="U2232" s="9" t="s">
        <v>84</v>
      </c>
    </row>
    <row r="2233" ht="15.75" customHeight="1">
      <c r="A2233" s="9">
        <v>2286509.0</v>
      </c>
      <c r="B2233" s="9">
        <v>1.5353903E7</v>
      </c>
      <c r="C2233" s="9">
        <v>37755.0</v>
      </c>
      <c r="D2233" s="9" t="s">
        <v>52</v>
      </c>
      <c r="E2233" s="9" t="s">
        <v>53</v>
      </c>
      <c r="F2233" s="9">
        <v>328462.0</v>
      </c>
      <c r="G2233" s="9">
        <v>1.281194548E7</v>
      </c>
      <c r="H2233" s="9">
        <v>1.281194548E7</v>
      </c>
      <c r="I2233" s="9">
        <v>1.092600577E7</v>
      </c>
      <c r="J2233" s="9">
        <v>0.0</v>
      </c>
      <c r="K2233" s="9">
        <v>0.0</v>
      </c>
      <c r="L2233" s="9" t="s">
        <v>59</v>
      </c>
      <c r="M2233" s="9" t="s">
        <v>55</v>
      </c>
      <c r="N2233" s="9">
        <v>1.284736722E7</v>
      </c>
      <c r="O2233" s="9">
        <v>1.15626305E7</v>
      </c>
      <c r="P2233" s="9">
        <v>899315.0</v>
      </c>
      <c r="Q2233" s="9">
        <v>899914.96</v>
      </c>
      <c r="R2233" s="9" t="s">
        <v>96</v>
      </c>
      <c r="S2233" s="9" t="s">
        <v>78</v>
      </c>
      <c r="T2233" s="9" t="s">
        <v>79</v>
      </c>
      <c r="U2233" s="9" t="s">
        <v>97</v>
      </c>
    </row>
    <row r="2234" ht="15.75" customHeight="1">
      <c r="A2234" s="9">
        <v>2287188.0</v>
      </c>
      <c r="B2234" s="9">
        <v>455713.63</v>
      </c>
      <c r="C2234" s="9">
        <v>39842.0</v>
      </c>
      <c r="D2234" s="9" t="s">
        <v>52</v>
      </c>
      <c r="E2234" s="9" t="s">
        <v>53</v>
      </c>
      <c r="F2234" s="9">
        <v>329039.0</v>
      </c>
      <c r="G2234" s="9">
        <v>473282.63</v>
      </c>
      <c r="H2234" s="9">
        <v>473282.63</v>
      </c>
      <c r="I2234" s="9">
        <v>457653.77</v>
      </c>
      <c r="J2234" s="9">
        <v>0.0</v>
      </c>
      <c r="K2234" s="9">
        <v>0.0</v>
      </c>
      <c r="L2234" s="9" t="s">
        <v>69</v>
      </c>
      <c r="M2234" s="9" t="s">
        <v>55</v>
      </c>
      <c r="N2234" s="9">
        <v>426715.77</v>
      </c>
      <c r="O2234" s="9">
        <v>426715.77</v>
      </c>
      <c r="R2234" s="9" t="s">
        <v>60</v>
      </c>
      <c r="S2234" s="9" t="s">
        <v>57</v>
      </c>
      <c r="T2234" s="9" t="s">
        <v>61</v>
      </c>
      <c r="V2234" s="9">
        <v>426716.0</v>
      </c>
      <c r="W2234" s="9">
        <v>20388.0</v>
      </c>
      <c r="X2234" s="9">
        <v>0.0</v>
      </c>
    </row>
    <row r="2235" ht="15.75" customHeight="1">
      <c r="A2235" s="9">
        <v>2287456.0</v>
      </c>
      <c r="B2235" s="9">
        <v>3763271.0</v>
      </c>
      <c r="C2235" s="9">
        <v>39549.0</v>
      </c>
      <c r="D2235" s="9" t="s">
        <v>52</v>
      </c>
      <c r="E2235" s="9" t="s">
        <v>53</v>
      </c>
      <c r="F2235" s="9">
        <v>329275.0</v>
      </c>
      <c r="G2235" s="9">
        <v>3756433.6</v>
      </c>
      <c r="H2235" s="9">
        <v>3756433.6</v>
      </c>
      <c r="I2235" s="9">
        <v>3616144.06</v>
      </c>
      <c r="J2235" s="9">
        <v>0.0</v>
      </c>
      <c r="K2235" s="9">
        <v>0.0</v>
      </c>
      <c r="L2235" s="9" t="s">
        <v>59</v>
      </c>
      <c r="M2235" s="9" t="s">
        <v>55</v>
      </c>
      <c r="N2235" s="9">
        <v>3570752.02</v>
      </c>
      <c r="O2235" s="9">
        <v>3570707.58</v>
      </c>
      <c r="R2235" s="9" t="s">
        <v>60</v>
      </c>
      <c r="S2235" s="9" t="s">
        <v>57</v>
      </c>
      <c r="T2235" s="9" t="s">
        <v>61</v>
      </c>
      <c r="V2235" s="9">
        <v>3560961.18</v>
      </c>
      <c r="W2235" s="9">
        <v>0.0</v>
      </c>
      <c r="X2235" s="9">
        <v>0.0</v>
      </c>
    </row>
    <row r="2236" ht="15.75" customHeight="1">
      <c r="A2236" s="9">
        <v>2289678.0</v>
      </c>
      <c r="B2236" s="9">
        <v>1.8677078E7</v>
      </c>
      <c r="C2236" s="9">
        <v>40301.0</v>
      </c>
      <c r="D2236" s="9" t="s">
        <v>52</v>
      </c>
      <c r="E2236" s="9" t="s">
        <v>53</v>
      </c>
      <c r="F2236" s="9">
        <v>331266.0</v>
      </c>
      <c r="G2236" s="9">
        <v>2.105627633E7</v>
      </c>
      <c r="H2236" s="9">
        <v>2.440164491E7</v>
      </c>
      <c r="I2236" s="9">
        <v>2.368818846E7</v>
      </c>
      <c r="J2236" s="9">
        <v>0.0</v>
      </c>
      <c r="K2236" s="9">
        <v>5000.0</v>
      </c>
      <c r="L2236" s="9" t="s">
        <v>59</v>
      </c>
      <c r="M2236" s="9" t="s">
        <v>55</v>
      </c>
      <c r="N2236" s="9">
        <v>2.045287256E7</v>
      </c>
      <c r="O2236" s="9">
        <v>2.045287256E7</v>
      </c>
      <c r="P2236" s="9">
        <v>603403.77</v>
      </c>
      <c r="Q2236" s="9">
        <v>603403.77</v>
      </c>
      <c r="R2236" s="9" t="s">
        <v>60</v>
      </c>
      <c r="S2236" s="9" t="s">
        <v>57</v>
      </c>
      <c r="T2236" s="9" t="s">
        <v>61</v>
      </c>
      <c r="V2236" s="9">
        <v>2.284280571E7</v>
      </c>
      <c r="W2236" s="9">
        <v>727752.85</v>
      </c>
      <c r="X2236" s="9">
        <v>0.0</v>
      </c>
    </row>
    <row r="2237" ht="15.75" customHeight="1">
      <c r="A2237" s="9">
        <v>2292075.0</v>
      </c>
      <c r="B2237" s="9">
        <v>5698155.0</v>
      </c>
      <c r="C2237" s="9">
        <v>44249.0</v>
      </c>
      <c r="D2237" s="9" t="s">
        <v>52</v>
      </c>
      <c r="E2237" s="9" t="s">
        <v>53</v>
      </c>
      <c r="F2237" s="9">
        <v>333491.0</v>
      </c>
      <c r="G2237" s="9">
        <v>2830927.24</v>
      </c>
      <c r="H2237" s="9">
        <v>3227909.23</v>
      </c>
      <c r="I2237" s="9">
        <v>3010954.06</v>
      </c>
      <c r="J2237" s="9">
        <v>0.0</v>
      </c>
      <c r="K2237" s="9">
        <v>0.0</v>
      </c>
      <c r="L2237" s="9" t="s">
        <v>69</v>
      </c>
      <c r="M2237" s="9" t="s">
        <v>55</v>
      </c>
      <c r="N2237" s="9">
        <v>2850751.62</v>
      </c>
      <c r="O2237" s="9">
        <v>2695860.6</v>
      </c>
      <c r="P2237" s="9">
        <v>136940.0</v>
      </c>
      <c r="Q2237" s="9">
        <v>123246.0</v>
      </c>
      <c r="R2237" s="9" t="s">
        <v>60</v>
      </c>
      <c r="S2237" s="9" t="s">
        <v>57</v>
      </c>
      <c r="T2237" s="9" t="s">
        <v>61</v>
      </c>
      <c r="V2237" s="9">
        <v>2887714.4</v>
      </c>
      <c r="W2237" s="9">
        <v>123246.0</v>
      </c>
      <c r="X2237" s="9">
        <v>0.0</v>
      </c>
    </row>
    <row r="2238" ht="15.75" customHeight="1">
      <c r="A2238" s="9">
        <v>2300581.0</v>
      </c>
      <c r="B2238" s="9">
        <v>4574999.0</v>
      </c>
      <c r="C2238" s="9">
        <v>47191.0</v>
      </c>
      <c r="D2238" s="9" t="s">
        <v>52</v>
      </c>
      <c r="E2238" s="9" t="s">
        <v>53</v>
      </c>
      <c r="F2238" s="9">
        <v>337471.0</v>
      </c>
      <c r="G2238" s="9">
        <v>6870944.38</v>
      </c>
      <c r="H2238" s="9">
        <v>7833394.08</v>
      </c>
      <c r="I2238" s="9">
        <v>7071858.01</v>
      </c>
      <c r="J2238" s="9">
        <v>9015.51</v>
      </c>
      <c r="K2238" s="9">
        <v>175481.0</v>
      </c>
      <c r="L2238" s="9" t="s">
        <v>59</v>
      </c>
      <c r="M2238" s="9" t="s">
        <v>55</v>
      </c>
      <c r="N2238" s="9">
        <v>6750087.3</v>
      </c>
      <c r="O2238" s="9">
        <v>6682911.56</v>
      </c>
      <c r="P2238" s="9">
        <v>334093.0</v>
      </c>
      <c r="Q2238" s="9">
        <v>300683.7</v>
      </c>
      <c r="R2238" s="9" t="s">
        <v>72</v>
      </c>
      <c r="S2238" s="9" t="s">
        <v>57</v>
      </c>
      <c r="T2238" s="9" t="s">
        <v>73</v>
      </c>
      <c r="V2238" s="9">
        <v>7270848.72</v>
      </c>
      <c r="W2238" s="9">
        <v>307815.51</v>
      </c>
      <c r="X2238" s="9">
        <v>0.0</v>
      </c>
    </row>
    <row r="2239" ht="15.75" customHeight="1">
      <c r="A2239" s="9">
        <v>2305004.0</v>
      </c>
      <c r="B2239" s="9">
        <v>1.9640534E7</v>
      </c>
      <c r="C2239" s="9">
        <v>47193.0</v>
      </c>
      <c r="D2239" s="9" t="s">
        <v>52</v>
      </c>
      <c r="E2239" s="9" t="s">
        <v>53</v>
      </c>
      <c r="F2239" s="9">
        <v>343834.0</v>
      </c>
      <c r="G2239" s="9">
        <v>1.360262509E7</v>
      </c>
      <c r="H2239" s="9">
        <v>1.242716231E7</v>
      </c>
      <c r="I2239" s="9">
        <v>1.162100787E7</v>
      </c>
      <c r="J2239" s="9">
        <v>0.0</v>
      </c>
      <c r="K2239" s="9">
        <v>677888.0</v>
      </c>
      <c r="L2239" s="9" t="s">
        <v>59</v>
      </c>
      <c r="M2239" s="9" t="s">
        <v>55</v>
      </c>
      <c r="N2239" s="9">
        <v>1.282005328E7</v>
      </c>
      <c r="O2239" s="9">
        <v>1.153804796E7</v>
      </c>
      <c r="P2239" s="9">
        <v>541238.66</v>
      </c>
      <c r="Q2239" s="9">
        <v>487114.8</v>
      </c>
      <c r="R2239" s="9" t="s">
        <v>56</v>
      </c>
      <c r="S2239" s="9" t="s">
        <v>57</v>
      </c>
      <c r="T2239" s="9" t="s">
        <v>58</v>
      </c>
    </row>
    <row r="2240" ht="15.75" customHeight="1">
      <c r="A2240" s="9">
        <v>2312349.0</v>
      </c>
      <c r="B2240" s="9">
        <v>2566611.0</v>
      </c>
      <c r="C2240" s="9">
        <v>40297.0</v>
      </c>
      <c r="D2240" s="9" t="s">
        <v>52</v>
      </c>
      <c r="E2240" s="9" t="s">
        <v>53</v>
      </c>
      <c r="F2240" s="9">
        <v>305586.0</v>
      </c>
      <c r="G2240" s="9">
        <v>3336686.12</v>
      </c>
      <c r="H2240" s="9">
        <v>3465660.87</v>
      </c>
      <c r="I2240" s="9">
        <v>3465660.87</v>
      </c>
      <c r="J2240" s="9">
        <v>378469.95</v>
      </c>
      <c r="K2240" s="9">
        <v>378470.0</v>
      </c>
      <c r="L2240" s="9" t="s">
        <v>59</v>
      </c>
      <c r="M2240" s="9" t="s">
        <v>55</v>
      </c>
      <c r="N2240" s="9">
        <v>2947961.63</v>
      </c>
      <c r="O2240" s="9">
        <v>2937707.85</v>
      </c>
      <c r="P2240" s="9">
        <v>86790.0</v>
      </c>
      <c r="Q2240" s="9">
        <v>86790.0</v>
      </c>
      <c r="R2240" s="9" t="s">
        <v>56</v>
      </c>
      <c r="S2240" s="9" t="s">
        <v>57</v>
      </c>
      <c r="T2240" s="9" t="s">
        <v>58</v>
      </c>
      <c r="V2240" s="9">
        <v>0.0</v>
      </c>
      <c r="W2240" s="9">
        <v>0.0</v>
      </c>
      <c r="X2240" s="9">
        <v>0.0</v>
      </c>
    </row>
    <row r="2241" ht="15.75" customHeight="1">
      <c r="A2241" s="9">
        <v>2314553.0</v>
      </c>
      <c r="B2241" s="9">
        <v>2337084.0</v>
      </c>
      <c r="C2241" s="9">
        <v>45986.0</v>
      </c>
      <c r="D2241" s="9" t="s">
        <v>52</v>
      </c>
      <c r="E2241" s="9" t="s">
        <v>53</v>
      </c>
      <c r="F2241" s="9">
        <v>352124.0</v>
      </c>
      <c r="G2241" s="9">
        <v>1787303.28</v>
      </c>
      <c r="H2241" s="9">
        <v>1854378.03</v>
      </c>
      <c r="I2241" s="9">
        <v>1251737.0</v>
      </c>
      <c r="J2241" s="9">
        <v>0.0</v>
      </c>
      <c r="K2241" s="9">
        <v>305632.0</v>
      </c>
      <c r="L2241" s="9" t="s">
        <v>59</v>
      </c>
      <c r="M2241" s="9" t="s">
        <v>55</v>
      </c>
      <c r="N2241" s="9">
        <v>1719044.89</v>
      </c>
      <c r="O2241" s="9">
        <v>1547140.41</v>
      </c>
      <c r="P2241" s="9">
        <v>120176.0</v>
      </c>
      <c r="Q2241" s="9">
        <v>108158.4</v>
      </c>
      <c r="R2241" s="9" t="s">
        <v>144</v>
      </c>
      <c r="S2241" s="9" t="s">
        <v>82</v>
      </c>
      <c r="T2241" s="9" t="s">
        <v>145</v>
      </c>
    </row>
    <row r="2242" ht="15.75" customHeight="1">
      <c r="A2242" s="9">
        <v>2319483.0</v>
      </c>
      <c r="B2242" s="9">
        <v>2.90036805E8</v>
      </c>
      <c r="C2242" s="9">
        <v>48668.0</v>
      </c>
      <c r="D2242" s="9" t="s">
        <v>52</v>
      </c>
      <c r="E2242" s="9" t="s">
        <v>64</v>
      </c>
      <c r="F2242" s="9">
        <v>291420.0</v>
      </c>
      <c r="H2242" s="9">
        <v>6.7171260227E8</v>
      </c>
      <c r="I2242" s="9">
        <v>7171199.25</v>
      </c>
      <c r="J2242" s="9">
        <v>4015570.2</v>
      </c>
      <c r="K2242" s="9">
        <v>4925998.0</v>
      </c>
      <c r="L2242" s="9" t="s">
        <v>59</v>
      </c>
      <c r="M2242" s="9" t="s">
        <v>112</v>
      </c>
      <c r="N2242" s="9">
        <v>6.5910438053E8</v>
      </c>
      <c r="O2242" s="9">
        <v>6.5351398552E8</v>
      </c>
      <c r="R2242" s="9" t="s">
        <v>66</v>
      </c>
      <c r="S2242" s="9" t="s">
        <v>67</v>
      </c>
      <c r="T2242" s="9" t="s">
        <v>68</v>
      </c>
    </row>
    <row r="2243" ht="15.75" customHeight="1">
      <c r="A2243" s="9">
        <v>2324763.0</v>
      </c>
      <c r="B2243" s="9">
        <v>6706308.0</v>
      </c>
      <c r="C2243" s="9">
        <v>47200.0</v>
      </c>
      <c r="D2243" s="9" t="s">
        <v>52</v>
      </c>
      <c r="E2243" s="9" t="s">
        <v>53</v>
      </c>
      <c r="F2243" s="9">
        <v>361510.0</v>
      </c>
      <c r="G2243" s="9">
        <v>1.55727011E7</v>
      </c>
      <c r="H2243" s="9">
        <v>1.304401277E7</v>
      </c>
      <c r="I2243" s="9">
        <v>1.304401277E7</v>
      </c>
      <c r="J2243" s="9">
        <v>1530466.99</v>
      </c>
      <c r="K2243" s="9">
        <v>1967958.0</v>
      </c>
      <c r="L2243" s="9" t="s">
        <v>59</v>
      </c>
      <c r="M2243" s="9" t="s">
        <v>55</v>
      </c>
      <c r="N2243" s="9">
        <v>1.279279469E7</v>
      </c>
      <c r="O2243" s="9">
        <v>1.1383419E7</v>
      </c>
      <c r="P2243" s="9">
        <v>881062.32</v>
      </c>
      <c r="Q2243" s="9">
        <v>750000.0</v>
      </c>
      <c r="R2243" s="9" t="s">
        <v>56</v>
      </c>
      <c r="S2243" s="9" t="s">
        <v>57</v>
      </c>
      <c r="T2243" s="9" t="s">
        <v>58</v>
      </c>
      <c r="V2243" s="9">
        <v>1.186221793E7</v>
      </c>
      <c r="W2243" s="9">
        <v>0.0</v>
      </c>
      <c r="X2243" s="9">
        <v>0.0</v>
      </c>
    </row>
    <row r="2244" ht="15.75" customHeight="1">
      <c r="A2244" s="9">
        <v>2327639.0</v>
      </c>
      <c r="B2244" s="9">
        <v>5.8489077E7</v>
      </c>
      <c r="C2244" s="9">
        <v>44717.0</v>
      </c>
      <c r="D2244" s="9" t="s">
        <v>52</v>
      </c>
      <c r="E2244" s="9" t="s">
        <v>53</v>
      </c>
      <c r="F2244" s="9">
        <v>268717.0</v>
      </c>
      <c r="G2244" s="9">
        <v>1.033364085E8</v>
      </c>
      <c r="H2244" s="9">
        <v>1.0531276502E8</v>
      </c>
      <c r="I2244" s="9">
        <v>5.524008288E7</v>
      </c>
      <c r="J2244" s="9">
        <v>0.0</v>
      </c>
      <c r="K2244" s="9">
        <v>42800.0</v>
      </c>
      <c r="L2244" s="9" t="s">
        <v>59</v>
      </c>
      <c r="M2244" s="9" t="s">
        <v>55</v>
      </c>
      <c r="N2244" s="9">
        <v>9.627139754E7</v>
      </c>
      <c r="O2244" s="9">
        <v>9.585800265E7</v>
      </c>
      <c r="P2244" s="9">
        <v>4966020.96</v>
      </c>
      <c r="Q2244" s="9">
        <v>4469418.87</v>
      </c>
      <c r="R2244" s="9" t="s">
        <v>77</v>
      </c>
      <c r="S2244" s="9" t="s">
        <v>78</v>
      </c>
      <c r="T2244" s="9" t="s">
        <v>79</v>
      </c>
      <c r="U2244" s="9" t="s">
        <v>80</v>
      </c>
    </row>
    <row r="2245" ht="15.75" customHeight="1">
      <c r="A2245" s="9">
        <v>2330908.0</v>
      </c>
      <c r="B2245" s="9">
        <v>3.32349777E8</v>
      </c>
      <c r="C2245" s="9">
        <v>29539.0</v>
      </c>
      <c r="D2245" s="9" t="s">
        <v>52</v>
      </c>
      <c r="E2245" s="9" t="s">
        <v>53</v>
      </c>
      <c r="F2245" s="9">
        <v>368749.0</v>
      </c>
      <c r="G2245" s="9">
        <v>0.0</v>
      </c>
      <c r="M2245" s="9" t="s">
        <v>116</v>
      </c>
      <c r="N2245" s="9">
        <v>1125000.0</v>
      </c>
      <c r="O2245" s="9">
        <v>1125000.0</v>
      </c>
      <c r="P2245" s="9">
        <v>86175.4</v>
      </c>
      <c r="Q2245" s="9">
        <v>80000.0</v>
      </c>
      <c r="R2245" s="9" t="s">
        <v>63</v>
      </c>
      <c r="S2245" s="9" t="s">
        <v>63</v>
      </c>
      <c r="V2245" s="9">
        <v>997091.54</v>
      </c>
    </row>
    <row r="2246" ht="15.75" customHeight="1">
      <c r="A2246" s="9">
        <v>2331669.0</v>
      </c>
      <c r="B2246" s="9">
        <v>8258760.0</v>
      </c>
      <c r="C2246" s="9">
        <v>40606.0</v>
      </c>
      <c r="D2246" s="9" t="s">
        <v>52</v>
      </c>
      <c r="E2246" s="9" t="s">
        <v>53</v>
      </c>
      <c r="F2246" s="9">
        <v>370993.0</v>
      </c>
      <c r="G2246" s="9">
        <v>1.16919019E7</v>
      </c>
      <c r="H2246" s="9">
        <v>1.18619019E7</v>
      </c>
      <c r="I2246" s="9">
        <v>1.164993928E7</v>
      </c>
      <c r="J2246" s="9">
        <v>0.0</v>
      </c>
      <c r="K2246" s="9">
        <v>0.0</v>
      </c>
      <c r="L2246" s="9" t="s">
        <v>69</v>
      </c>
      <c r="M2246" s="9" t="s">
        <v>55</v>
      </c>
      <c r="N2246" s="9">
        <v>1.139561588E7</v>
      </c>
      <c r="O2246" s="9">
        <v>1.139561588E7</v>
      </c>
      <c r="P2246" s="9">
        <v>284890.4</v>
      </c>
      <c r="Q2246" s="9">
        <v>284890.4</v>
      </c>
      <c r="R2246" s="9" t="s">
        <v>60</v>
      </c>
      <c r="S2246" s="9" t="s">
        <v>57</v>
      </c>
      <c r="T2246" s="9" t="s">
        <v>61</v>
      </c>
      <c r="V2246" s="9">
        <v>1.09931769E7</v>
      </c>
      <c r="W2246" s="9">
        <v>304557.03</v>
      </c>
      <c r="X2246" s="9">
        <v>0.0</v>
      </c>
    </row>
    <row r="2247" ht="15.75" customHeight="1">
      <c r="A2247" s="9">
        <v>2333698.0</v>
      </c>
      <c r="B2247" s="9">
        <v>3669930.0</v>
      </c>
      <c r="C2247" s="9">
        <v>41834.0</v>
      </c>
      <c r="D2247" s="9" t="s">
        <v>52</v>
      </c>
      <c r="E2247" s="9" t="s">
        <v>53</v>
      </c>
      <c r="F2247" s="9">
        <v>372924.0</v>
      </c>
      <c r="G2247" s="9">
        <v>3337399.56</v>
      </c>
      <c r="H2247" s="9">
        <v>2639670.5</v>
      </c>
      <c r="I2247" s="9">
        <v>2566931.02</v>
      </c>
      <c r="J2247" s="9">
        <v>0.0</v>
      </c>
      <c r="K2247" s="9">
        <v>0.0</v>
      </c>
      <c r="L2247" s="9" t="s">
        <v>69</v>
      </c>
      <c r="M2247" s="9" t="s">
        <v>55</v>
      </c>
      <c r="N2247" s="9">
        <v>3145522.68</v>
      </c>
      <c r="O2247" s="9">
        <v>2399127.47</v>
      </c>
      <c r="P2247" s="9">
        <v>144690.0</v>
      </c>
      <c r="Q2247" s="9">
        <v>110359.84</v>
      </c>
      <c r="R2247" s="9" t="s">
        <v>56</v>
      </c>
      <c r="S2247" s="9" t="s">
        <v>57</v>
      </c>
      <c r="T2247" s="9" t="s">
        <v>58</v>
      </c>
      <c r="V2247" s="9">
        <v>2399127.47</v>
      </c>
      <c r="W2247" s="9">
        <v>71954.56</v>
      </c>
      <c r="X2247" s="9">
        <v>0.0</v>
      </c>
    </row>
    <row r="2248" ht="15.75" customHeight="1">
      <c r="A2248" s="9">
        <v>2334916.0</v>
      </c>
      <c r="B2248" s="9">
        <v>7332879.0</v>
      </c>
      <c r="C2248" s="9">
        <v>44259.0</v>
      </c>
      <c r="D2248" s="9" t="s">
        <v>52</v>
      </c>
      <c r="E2248" s="9" t="s">
        <v>53</v>
      </c>
      <c r="F2248" s="9">
        <v>374045.0</v>
      </c>
      <c r="G2248" s="9">
        <v>5668335.48</v>
      </c>
      <c r="H2248" s="9">
        <v>5413063.6</v>
      </c>
      <c r="I2248" s="9">
        <v>5413063.6</v>
      </c>
      <c r="J2248" s="9">
        <v>0.0</v>
      </c>
      <c r="K2248" s="9">
        <v>0.0</v>
      </c>
      <c r="L2248" s="9" t="s">
        <v>69</v>
      </c>
      <c r="M2248" s="9" t="s">
        <v>55</v>
      </c>
      <c r="N2248" s="9">
        <v>5374553.0</v>
      </c>
      <c r="O2248" s="9">
        <v>5213316.41</v>
      </c>
      <c r="P2248" s="9">
        <v>213782.0</v>
      </c>
      <c r="Q2248" s="9">
        <v>213782.0</v>
      </c>
      <c r="R2248" s="9" t="s">
        <v>72</v>
      </c>
      <c r="S2248" s="9" t="s">
        <v>57</v>
      </c>
      <c r="T2248" s="9" t="s">
        <v>73</v>
      </c>
      <c r="V2248" s="9">
        <v>5163281.6</v>
      </c>
      <c r="W2248" s="9">
        <v>213782.0</v>
      </c>
      <c r="X2248" s="9">
        <v>0.0</v>
      </c>
    </row>
    <row r="2249" ht="15.75" customHeight="1">
      <c r="A2249" s="9">
        <v>2335302.0</v>
      </c>
      <c r="B2249" s="9">
        <v>3434077.0</v>
      </c>
      <c r="C2249" s="9">
        <v>40607.0</v>
      </c>
      <c r="D2249" s="9" t="s">
        <v>52</v>
      </c>
      <c r="E2249" s="9" t="s">
        <v>53</v>
      </c>
      <c r="F2249" s="9">
        <v>374396.0</v>
      </c>
      <c r="G2249" s="9">
        <v>8528495.82</v>
      </c>
      <c r="H2249" s="9">
        <v>8528495.82</v>
      </c>
      <c r="I2249" s="9">
        <v>8510384.28</v>
      </c>
      <c r="J2249" s="9">
        <v>0.0</v>
      </c>
      <c r="K2249" s="9">
        <v>0.0</v>
      </c>
      <c r="L2249" s="9" t="s">
        <v>59</v>
      </c>
      <c r="M2249" s="9" t="s">
        <v>55</v>
      </c>
      <c r="N2249" s="9">
        <v>8162156.17</v>
      </c>
      <c r="O2249" s="9">
        <v>8162156.17</v>
      </c>
      <c r="P2249" s="9">
        <v>275439.65</v>
      </c>
      <c r="Q2249" s="9">
        <v>275439.65</v>
      </c>
      <c r="R2249" s="9" t="s">
        <v>94</v>
      </c>
      <c r="S2249" s="9" t="s">
        <v>57</v>
      </c>
      <c r="T2249" s="9" t="s">
        <v>95</v>
      </c>
    </row>
    <row r="2250" ht="15.75" customHeight="1">
      <c r="A2250" s="9">
        <v>2337192.0</v>
      </c>
      <c r="B2250" s="9">
        <v>1.5076229E7</v>
      </c>
      <c r="C2250" s="9">
        <v>40308.0</v>
      </c>
      <c r="D2250" s="9" t="s">
        <v>52</v>
      </c>
      <c r="E2250" s="9" t="s">
        <v>53</v>
      </c>
      <c r="F2250" s="9">
        <v>376200.0</v>
      </c>
      <c r="G2250" s="9">
        <v>1.617055856E7</v>
      </c>
      <c r="H2250" s="9">
        <v>1.617055856E7</v>
      </c>
      <c r="I2250" s="9">
        <v>1.607220751E7</v>
      </c>
      <c r="J2250" s="9">
        <v>0.0</v>
      </c>
      <c r="K2250" s="9">
        <v>0.0</v>
      </c>
      <c r="L2250" s="9" t="s">
        <v>59</v>
      </c>
      <c r="M2250" s="9" t="s">
        <v>55</v>
      </c>
      <c r="N2250" s="9">
        <v>1.531148435E7</v>
      </c>
      <c r="O2250" s="9">
        <v>1.531148435E7</v>
      </c>
      <c r="P2250" s="9">
        <v>765574.22</v>
      </c>
      <c r="Q2250" s="9">
        <v>765574.22</v>
      </c>
      <c r="R2250" s="9" t="s">
        <v>94</v>
      </c>
      <c r="S2250" s="9" t="s">
        <v>57</v>
      </c>
      <c r="T2250" s="9" t="s">
        <v>95</v>
      </c>
      <c r="V2250" s="9">
        <v>1.531148435E7</v>
      </c>
      <c r="W2250" s="9">
        <v>0.0</v>
      </c>
      <c r="X2250" s="9">
        <v>0.0</v>
      </c>
    </row>
    <row r="2251" ht="15.75" customHeight="1">
      <c r="A2251" s="9">
        <v>2338024.0</v>
      </c>
      <c r="B2251" s="9">
        <v>2776850.75</v>
      </c>
      <c r="C2251" s="9">
        <v>47519.0</v>
      </c>
      <c r="D2251" s="9" t="s">
        <v>52</v>
      </c>
      <c r="E2251" s="9" t="s">
        <v>53</v>
      </c>
      <c r="F2251" s="9">
        <v>376947.0</v>
      </c>
      <c r="G2251" s="9">
        <v>5126114.35</v>
      </c>
      <c r="H2251" s="9">
        <v>5126114.35</v>
      </c>
      <c r="I2251" s="9">
        <v>4648933.12</v>
      </c>
      <c r="J2251" s="9">
        <v>0.0</v>
      </c>
      <c r="K2251" s="9">
        <v>401632.0</v>
      </c>
      <c r="L2251" s="9" t="s">
        <v>59</v>
      </c>
      <c r="M2251" s="9" t="s">
        <v>55</v>
      </c>
      <c r="N2251" s="9">
        <v>4781537.0</v>
      </c>
      <c r="O2251" s="9">
        <v>4781537.48</v>
      </c>
      <c r="P2251" s="9">
        <v>239076.87</v>
      </c>
      <c r="Q2251" s="9">
        <v>238500.0</v>
      </c>
      <c r="R2251" s="9" t="s">
        <v>94</v>
      </c>
      <c r="S2251" s="9" t="s">
        <v>57</v>
      </c>
      <c r="T2251" s="9" t="s">
        <v>95</v>
      </c>
      <c r="V2251" s="9">
        <v>0.0</v>
      </c>
      <c r="W2251" s="9">
        <v>238500.0</v>
      </c>
      <c r="X2251" s="9">
        <v>0.0</v>
      </c>
    </row>
    <row r="2252" ht="15.75" customHeight="1">
      <c r="A2252" s="9">
        <v>2339314.0</v>
      </c>
      <c r="B2252" s="9">
        <v>2150026.0</v>
      </c>
      <c r="C2252" s="9">
        <v>46487.0</v>
      </c>
      <c r="D2252" s="9" t="s">
        <v>52</v>
      </c>
      <c r="E2252" s="9" t="s">
        <v>53</v>
      </c>
      <c r="F2252" s="9">
        <v>378177.0</v>
      </c>
      <c r="G2252" s="9">
        <v>2212138.2</v>
      </c>
      <c r="H2252" s="9">
        <v>2237138.2</v>
      </c>
      <c r="I2252" s="9">
        <v>2105727.86</v>
      </c>
      <c r="J2252" s="9">
        <v>0.0</v>
      </c>
      <c r="K2252" s="9">
        <v>0.0</v>
      </c>
      <c r="L2252" s="9" t="s">
        <v>59</v>
      </c>
      <c r="M2252" s="9" t="s">
        <v>55</v>
      </c>
      <c r="N2252" s="9">
        <v>2289283.52</v>
      </c>
      <c r="O2252" s="9">
        <v>2130000.0</v>
      </c>
      <c r="R2252" s="9" t="s">
        <v>94</v>
      </c>
      <c r="S2252" s="9" t="s">
        <v>57</v>
      </c>
      <c r="T2252" s="9" t="s">
        <v>95</v>
      </c>
    </row>
    <row r="2253" ht="15.75" customHeight="1">
      <c r="A2253" s="9">
        <v>2343351.0</v>
      </c>
      <c r="B2253" s="9">
        <v>5240454.0</v>
      </c>
      <c r="C2253" s="9">
        <v>40309.0</v>
      </c>
      <c r="D2253" s="9" t="s">
        <v>52</v>
      </c>
      <c r="E2253" s="9" t="s">
        <v>53</v>
      </c>
      <c r="F2253" s="9">
        <v>382028.0</v>
      </c>
      <c r="G2253" s="9">
        <v>4707841.42</v>
      </c>
      <c r="H2253" s="9">
        <v>4850915.24</v>
      </c>
      <c r="I2253" s="9">
        <v>4850595.87</v>
      </c>
      <c r="J2253" s="9">
        <v>0.0</v>
      </c>
      <c r="K2253" s="9">
        <v>0.0</v>
      </c>
      <c r="L2253" s="9" t="s">
        <v>69</v>
      </c>
      <c r="M2253" s="9" t="s">
        <v>55</v>
      </c>
      <c r="N2253" s="9">
        <v>4548639.05</v>
      </c>
      <c r="O2253" s="9">
        <v>4548639.05</v>
      </c>
      <c r="P2253" s="9">
        <v>159202.0</v>
      </c>
      <c r="Q2253" s="9">
        <v>158883.6</v>
      </c>
      <c r="R2253" s="9" t="s">
        <v>60</v>
      </c>
      <c r="S2253" s="9" t="s">
        <v>57</v>
      </c>
      <c r="T2253" s="9" t="s">
        <v>61</v>
      </c>
      <c r="V2253" s="9">
        <v>4548639.05</v>
      </c>
      <c r="W2253" s="9">
        <v>158883.32</v>
      </c>
      <c r="X2253" s="9">
        <v>0.0</v>
      </c>
    </row>
    <row r="2254" ht="15.75" customHeight="1">
      <c r="A2254" s="9">
        <v>2437606.0</v>
      </c>
      <c r="B2254" s="9">
        <v>171711.09</v>
      </c>
      <c r="C2254" s="9">
        <v>43288.0</v>
      </c>
      <c r="D2254" s="9" t="s">
        <v>52</v>
      </c>
      <c r="E2254" s="9" t="s">
        <v>111</v>
      </c>
      <c r="F2254" s="9">
        <v>2437606.0</v>
      </c>
      <c r="G2254" s="9">
        <v>171711.09</v>
      </c>
      <c r="H2254" s="9">
        <v>177397.09</v>
      </c>
      <c r="I2254" s="9">
        <v>9047.2</v>
      </c>
      <c r="J2254" s="9">
        <v>0.0</v>
      </c>
      <c r="K2254" s="9">
        <v>0.0</v>
      </c>
      <c r="L2254" s="9" t="s">
        <v>59</v>
      </c>
      <c r="M2254" s="9" t="s">
        <v>55</v>
      </c>
      <c r="R2254" s="9" t="s">
        <v>94</v>
      </c>
      <c r="S2254" s="9" t="s">
        <v>57</v>
      </c>
      <c r="T2254" s="9" t="s">
        <v>95</v>
      </c>
    </row>
    <row r="2255" ht="15.75" customHeight="1">
      <c r="A2255" s="9">
        <v>2437608.0</v>
      </c>
      <c r="B2255" s="9">
        <v>80630.25</v>
      </c>
      <c r="C2255" s="9">
        <v>43380.0</v>
      </c>
      <c r="D2255" s="9" t="s">
        <v>52</v>
      </c>
      <c r="E2255" s="9" t="s">
        <v>111</v>
      </c>
      <c r="F2255" s="9">
        <v>2437608.0</v>
      </c>
      <c r="G2255" s="9">
        <v>80630.25</v>
      </c>
      <c r="H2255" s="9">
        <v>83171.65</v>
      </c>
      <c r="I2255" s="9">
        <v>2609.83</v>
      </c>
      <c r="J2255" s="9">
        <v>0.0</v>
      </c>
      <c r="K2255" s="9">
        <v>0.0</v>
      </c>
      <c r="L2255" s="9" t="s">
        <v>59</v>
      </c>
      <c r="M2255" s="9" t="s">
        <v>55</v>
      </c>
      <c r="R2255" s="9" t="s">
        <v>56</v>
      </c>
      <c r="S2255" s="9" t="s">
        <v>57</v>
      </c>
      <c r="T2255" s="9" t="s">
        <v>58</v>
      </c>
    </row>
    <row r="2256" ht="15.75" customHeight="1">
      <c r="A2256" s="9">
        <v>2438503.0</v>
      </c>
      <c r="B2256" s="9">
        <v>111381.28</v>
      </c>
      <c r="C2256" s="9">
        <v>43243.0</v>
      </c>
      <c r="D2256" s="9" t="s">
        <v>52</v>
      </c>
      <c r="E2256" s="9" t="s">
        <v>111</v>
      </c>
      <c r="F2256" s="9">
        <v>2438503.0</v>
      </c>
      <c r="G2256" s="9">
        <v>111381.28</v>
      </c>
      <c r="H2256" s="9">
        <v>114019.78</v>
      </c>
      <c r="I2256" s="9">
        <v>1323.36</v>
      </c>
      <c r="J2256" s="9">
        <v>0.0</v>
      </c>
      <c r="K2256" s="9">
        <v>0.0</v>
      </c>
      <c r="L2256" s="9" t="s">
        <v>59</v>
      </c>
      <c r="M2256" s="9" t="s">
        <v>55</v>
      </c>
      <c r="R2256" s="9" t="s">
        <v>75</v>
      </c>
      <c r="S2256" s="9" t="s">
        <v>57</v>
      </c>
      <c r="T2256" s="9" t="s">
        <v>76</v>
      </c>
    </row>
    <row r="2257" ht="15.75" customHeight="1">
      <c r="A2257" s="9">
        <v>2438510.0</v>
      </c>
      <c r="B2257" s="9">
        <v>84085.11</v>
      </c>
      <c r="C2257" s="9">
        <v>43304.0</v>
      </c>
      <c r="D2257" s="9" t="s">
        <v>52</v>
      </c>
      <c r="E2257" s="9" t="s">
        <v>111</v>
      </c>
      <c r="F2257" s="9">
        <v>2438510.0</v>
      </c>
      <c r="G2257" s="9">
        <v>84085.11</v>
      </c>
      <c r="H2257" s="9">
        <v>87580.01</v>
      </c>
      <c r="I2257" s="9">
        <v>0.0</v>
      </c>
      <c r="J2257" s="9">
        <v>0.0</v>
      </c>
      <c r="K2257" s="9">
        <v>0.0</v>
      </c>
      <c r="L2257" s="9" t="s">
        <v>59</v>
      </c>
      <c r="M2257" s="9" t="s">
        <v>55</v>
      </c>
      <c r="R2257" s="9" t="s">
        <v>94</v>
      </c>
      <c r="S2257" s="9" t="s">
        <v>57</v>
      </c>
      <c r="T2257" s="9" t="s">
        <v>95</v>
      </c>
    </row>
    <row r="2258" ht="15.75" customHeight="1">
      <c r="A2258" s="9">
        <v>2438667.0</v>
      </c>
      <c r="B2258" s="9">
        <v>136113.87</v>
      </c>
      <c r="C2258" s="9">
        <v>43238.0</v>
      </c>
      <c r="D2258" s="9" t="s">
        <v>52</v>
      </c>
      <c r="E2258" s="9" t="s">
        <v>111</v>
      </c>
      <c r="F2258" s="9">
        <v>2438667.0</v>
      </c>
      <c r="G2258" s="9">
        <v>136113.87</v>
      </c>
      <c r="H2258" s="9">
        <v>139587.37</v>
      </c>
      <c r="I2258" s="9">
        <v>6119.5</v>
      </c>
      <c r="J2258" s="9">
        <v>0.0</v>
      </c>
      <c r="K2258" s="9">
        <v>0.0</v>
      </c>
      <c r="L2258" s="9" t="s">
        <v>59</v>
      </c>
      <c r="M2258" s="9" t="s">
        <v>55</v>
      </c>
      <c r="R2258" s="9" t="s">
        <v>56</v>
      </c>
      <c r="S2258" s="9" t="s">
        <v>57</v>
      </c>
      <c r="T2258" s="9" t="s">
        <v>58</v>
      </c>
    </row>
    <row r="2259" ht="15.75" customHeight="1">
      <c r="A2259" s="9">
        <v>2438701.0</v>
      </c>
      <c r="B2259" s="9">
        <v>105312.84</v>
      </c>
      <c r="C2259" s="9">
        <v>43121.0</v>
      </c>
      <c r="D2259" s="9" t="s">
        <v>52</v>
      </c>
      <c r="E2259" s="9" t="s">
        <v>111</v>
      </c>
      <c r="F2259" s="9">
        <v>2438701.0</v>
      </c>
      <c r="G2259" s="9">
        <v>105312.84</v>
      </c>
      <c r="H2259" s="9">
        <v>108186.34</v>
      </c>
      <c r="I2259" s="9">
        <v>3744.45</v>
      </c>
      <c r="J2259" s="9">
        <v>0.0</v>
      </c>
      <c r="K2259" s="9">
        <v>0.0</v>
      </c>
      <c r="L2259" s="9" t="s">
        <v>59</v>
      </c>
      <c r="M2259" s="9" t="s">
        <v>55</v>
      </c>
      <c r="R2259" s="9" t="s">
        <v>94</v>
      </c>
      <c r="S2259" s="9" t="s">
        <v>57</v>
      </c>
      <c r="T2259" s="9" t="s">
        <v>95</v>
      </c>
    </row>
    <row r="2260" ht="15.75" customHeight="1">
      <c r="A2260" s="9">
        <v>2438710.0</v>
      </c>
      <c r="B2260" s="9">
        <v>228498.69</v>
      </c>
      <c r="C2260" s="9">
        <v>43109.0</v>
      </c>
      <c r="D2260" s="9" t="s">
        <v>52</v>
      </c>
      <c r="E2260" s="9" t="s">
        <v>111</v>
      </c>
      <c r="F2260" s="9">
        <v>2438710.0</v>
      </c>
      <c r="G2260" s="9">
        <v>228498.69</v>
      </c>
      <c r="H2260" s="9">
        <v>230379.69</v>
      </c>
      <c r="I2260" s="9">
        <v>9589.25</v>
      </c>
      <c r="J2260" s="9">
        <v>0.0</v>
      </c>
      <c r="K2260" s="9">
        <v>0.0</v>
      </c>
      <c r="L2260" s="9" t="s">
        <v>59</v>
      </c>
      <c r="M2260" s="9" t="s">
        <v>55</v>
      </c>
      <c r="R2260" s="9" t="s">
        <v>94</v>
      </c>
      <c r="S2260" s="9" t="s">
        <v>57</v>
      </c>
      <c r="T2260" s="9" t="s">
        <v>95</v>
      </c>
    </row>
    <row r="2261" ht="15.75" customHeight="1">
      <c r="A2261" s="9">
        <v>2438712.0</v>
      </c>
      <c r="B2261" s="9">
        <v>75152.75</v>
      </c>
      <c r="C2261" s="9">
        <v>43343.0</v>
      </c>
      <c r="D2261" s="9" t="s">
        <v>52</v>
      </c>
      <c r="E2261" s="9" t="s">
        <v>111</v>
      </c>
      <c r="F2261" s="9">
        <v>2438712.0</v>
      </c>
      <c r="G2261" s="9">
        <v>75152.75</v>
      </c>
      <c r="H2261" s="9">
        <v>77299.75</v>
      </c>
      <c r="I2261" s="9">
        <v>3826.4</v>
      </c>
      <c r="J2261" s="9">
        <v>0.0</v>
      </c>
      <c r="K2261" s="9">
        <v>0.0</v>
      </c>
      <c r="L2261" s="9" t="s">
        <v>59</v>
      </c>
      <c r="M2261" s="9" t="s">
        <v>55</v>
      </c>
      <c r="R2261" s="9" t="s">
        <v>72</v>
      </c>
      <c r="S2261" s="9" t="s">
        <v>57</v>
      </c>
      <c r="T2261" s="9" t="s">
        <v>73</v>
      </c>
      <c r="V2261" s="9">
        <v>71370.98</v>
      </c>
    </row>
    <row r="2262" ht="15.75" customHeight="1">
      <c r="A2262" s="9">
        <v>2439235.0</v>
      </c>
      <c r="B2262" s="9">
        <v>194742.24</v>
      </c>
      <c r="C2262" s="9">
        <v>43160.0</v>
      </c>
      <c r="D2262" s="9" t="s">
        <v>52</v>
      </c>
      <c r="E2262" s="9" t="s">
        <v>111</v>
      </c>
      <c r="F2262" s="9">
        <v>2439235.0</v>
      </c>
      <c r="G2262" s="9">
        <v>194742.24</v>
      </c>
      <c r="H2262" s="9">
        <v>198950.24</v>
      </c>
      <c r="I2262" s="9">
        <v>6326.22</v>
      </c>
      <c r="J2262" s="9">
        <v>0.0</v>
      </c>
      <c r="K2262" s="9">
        <v>0.0</v>
      </c>
      <c r="L2262" s="9" t="s">
        <v>59</v>
      </c>
      <c r="M2262" s="9" t="s">
        <v>55</v>
      </c>
      <c r="R2262" s="9" t="s">
        <v>94</v>
      </c>
      <c r="S2262" s="9" t="s">
        <v>57</v>
      </c>
      <c r="T2262" s="9" t="s">
        <v>95</v>
      </c>
    </row>
    <row r="2263" ht="15.75" customHeight="1">
      <c r="A2263" s="9">
        <v>2439237.0</v>
      </c>
      <c r="B2263" s="9">
        <v>85901.99</v>
      </c>
      <c r="C2263" s="9">
        <v>43422.0</v>
      </c>
      <c r="D2263" s="9" t="s">
        <v>52</v>
      </c>
      <c r="E2263" s="9" t="s">
        <v>111</v>
      </c>
      <c r="F2263" s="9">
        <v>2439237.0</v>
      </c>
      <c r="G2263" s="9">
        <v>85901.99</v>
      </c>
      <c r="H2263" s="9">
        <v>88950.79</v>
      </c>
      <c r="I2263" s="9">
        <v>3896.0</v>
      </c>
      <c r="J2263" s="9">
        <v>0.0</v>
      </c>
      <c r="K2263" s="9">
        <v>0.0</v>
      </c>
      <c r="L2263" s="9" t="s">
        <v>59</v>
      </c>
      <c r="M2263" s="9" t="s">
        <v>55</v>
      </c>
      <c r="R2263" s="9" t="s">
        <v>56</v>
      </c>
      <c r="S2263" s="9" t="s">
        <v>57</v>
      </c>
      <c r="T2263" s="9" t="s">
        <v>58</v>
      </c>
    </row>
    <row r="2264" ht="15.75" customHeight="1">
      <c r="A2264" s="9">
        <v>2439244.0</v>
      </c>
      <c r="B2264" s="9">
        <v>508217.42</v>
      </c>
      <c r="C2264" s="9">
        <v>43259.0</v>
      </c>
      <c r="D2264" s="9" t="s">
        <v>52</v>
      </c>
      <c r="E2264" s="9" t="s">
        <v>111</v>
      </c>
      <c r="F2264" s="9">
        <v>2439244.0</v>
      </c>
      <c r="G2264" s="9">
        <v>508217.42</v>
      </c>
      <c r="H2264" s="9">
        <v>511332.44</v>
      </c>
      <c r="I2264" s="9">
        <v>11571.32</v>
      </c>
      <c r="J2264" s="9">
        <v>0.0</v>
      </c>
      <c r="K2264" s="9">
        <v>0.0</v>
      </c>
      <c r="L2264" s="9" t="s">
        <v>59</v>
      </c>
      <c r="M2264" s="9" t="s">
        <v>55</v>
      </c>
      <c r="R2264" s="9" t="s">
        <v>56</v>
      </c>
      <c r="S2264" s="9" t="s">
        <v>57</v>
      </c>
      <c r="T2264" s="9" t="s">
        <v>58</v>
      </c>
    </row>
    <row r="2265" ht="15.75" customHeight="1">
      <c r="A2265" s="9">
        <v>2439246.0</v>
      </c>
      <c r="B2265" s="9">
        <v>127880.45</v>
      </c>
      <c r="C2265" s="9">
        <v>43421.0</v>
      </c>
      <c r="D2265" s="9" t="s">
        <v>52</v>
      </c>
      <c r="E2265" s="9" t="s">
        <v>111</v>
      </c>
      <c r="F2265" s="9">
        <v>2439246.0</v>
      </c>
      <c r="G2265" s="9">
        <v>127880.45</v>
      </c>
      <c r="H2265" s="9">
        <v>131191.35</v>
      </c>
      <c r="I2265" s="9">
        <v>3650.15</v>
      </c>
      <c r="J2265" s="9">
        <v>0.0</v>
      </c>
      <c r="K2265" s="9">
        <v>0.0</v>
      </c>
      <c r="L2265" s="9" t="s">
        <v>59</v>
      </c>
      <c r="M2265" s="9" t="s">
        <v>55</v>
      </c>
      <c r="R2265" s="9" t="s">
        <v>56</v>
      </c>
      <c r="S2265" s="9" t="s">
        <v>57</v>
      </c>
      <c r="T2265" s="9" t="s">
        <v>58</v>
      </c>
    </row>
    <row r="2266" ht="15.75" customHeight="1">
      <c r="A2266" s="9">
        <v>2439271.0</v>
      </c>
      <c r="B2266" s="9">
        <v>41653.06</v>
      </c>
      <c r="C2266" s="9">
        <v>43267.0</v>
      </c>
      <c r="D2266" s="9" t="s">
        <v>52</v>
      </c>
      <c r="E2266" s="9" t="s">
        <v>111</v>
      </c>
      <c r="F2266" s="9">
        <v>2439271.0</v>
      </c>
      <c r="G2266" s="9">
        <v>41653.06</v>
      </c>
      <c r="H2266" s="9">
        <v>43456.56</v>
      </c>
      <c r="I2266" s="9">
        <v>2625.0</v>
      </c>
      <c r="J2266" s="9">
        <v>0.0</v>
      </c>
      <c r="K2266" s="9">
        <v>0.0</v>
      </c>
      <c r="L2266" s="9" t="s">
        <v>59</v>
      </c>
      <c r="M2266" s="9" t="s">
        <v>55</v>
      </c>
      <c r="R2266" s="9" t="s">
        <v>72</v>
      </c>
      <c r="S2266" s="9" t="s">
        <v>57</v>
      </c>
      <c r="T2266" s="9" t="s">
        <v>73</v>
      </c>
      <c r="V2266" s="9">
        <v>40065.34</v>
      </c>
    </row>
    <row r="2267" ht="15.75" customHeight="1">
      <c r="A2267" s="9">
        <v>2439280.0</v>
      </c>
      <c r="B2267" s="9">
        <v>88897.29</v>
      </c>
      <c r="C2267" s="9">
        <v>43266.0</v>
      </c>
      <c r="D2267" s="9" t="s">
        <v>52</v>
      </c>
      <c r="E2267" s="9" t="s">
        <v>111</v>
      </c>
      <c r="F2267" s="9">
        <v>2439280.0</v>
      </c>
      <c r="G2267" s="9">
        <v>88897.29</v>
      </c>
      <c r="H2267" s="9">
        <v>90700.79</v>
      </c>
      <c r="I2267" s="9">
        <v>4870.0</v>
      </c>
      <c r="J2267" s="9">
        <v>0.0</v>
      </c>
      <c r="K2267" s="9">
        <v>0.0</v>
      </c>
      <c r="L2267" s="9" t="s">
        <v>59</v>
      </c>
      <c r="M2267" s="9" t="s">
        <v>55</v>
      </c>
      <c r="R2267" s="9" t="s">
        <v>72</v>
      </c>
      <c r="S2267" s="9" t="s">
        <v>57</v>
      </c>
      <c r="T2267" s="9" t="s">
        <v>73</v>
      </c>
      <c r="V2267" s="9">
        <v>84501.32</v>
      </c>
    </row>
    <row r="2268" ht="15.75" customHeight="1">
      <c r="A2268" s="9">
        <v>2439337.0</v>
      </c>
      <c r="B2268" s="9">
        <v>255349.28</v>
      </c>
      <c r="C2268" s="9">
        <v>43218.0</v>
      </c>
      <c r="D2268" s="9" t="s">
        <v>52</v>
      </c>
      <c r="E2268" s="9" t="s">
        <v>111</v>
      </c>
      <c r="F2268" s="9">
        <v>2439337.0</v>
      </c>
      <c r="G2268" s="9">
        <v>255349.28</v>
      </c>
      <c r="H2268" s="9">
        <v>261657.78</v>
      </c>
      <c r="I2268" s="9">
        <v>0.0</v>
      </c>
      <c r="J2268" s="9">
        <v>0.0</v>
      </c>
      <c r="K2268" s="9">
        <v>0.0</v>
      </c>
      <c r="L2268" s="9" t="s">
        <v>59</v>
      </c>
      <c r="M2268" s="9" t="s">
        <v>55</v>
      </c>
      <c r="R2268" s="9" t="s">
        <v>75</v>
      </c>
      <c r="S2268" s="9" t="s">
        <v>57</v>
      </c>
      <c r="T2268" s="9" t="s">
        <v>76</v>
      </c>
    </row>
    <row r="2269" ht="15.75" customHeight="1">
      <c r="A2269" s="9">
        <v>2439344.0</v>
      </c>
      <c r="B2269" s="9">
        <v>73185.09</v>
      </c>
      <c r="C2269" s="9">
        <v>43232.0</v>
      </c>
      <c r="D2269" s="9" t="s">
        <v>52</v>
      </c>
      <c r="E2269" s="9" t="s">
        <v>111</v>
      </c>
      <c r="F2269" s="9">
        <v>2439344.0</v>
      </c>
      <c r="G2269" s="9">
        <v>73185.09</v>
      </c>
      <c r="H2269" s="9">
        <v>74988.59</v>
      </c>
      <c r="I2269" s="9">
        <v>3106.4</v>
      </c>
      <c r="J2269" s="9">
        <v>0.0</v>
      </c>
      <c r="K2269" s="9">
        <v>0.0</v>
      </c>
      <c r="L2269" s="9" t="s">
        <v>59</v>
      </c>
      <c r="M2269" s="9" t="s">
        <v>55</v>
      </c>
      <c r="R2269" s="9" t="s">
        <v>75</v>
      </c>
      <c r="S2269" s="9" t="s">
        <v>57</v>
      </c>
      <c r="T2269" s="9" t="s">
        <v>76</v>
      </c>
    </row>
    <row r="2270" ht="15.75" customHeight="1">
      <c r="A2270" s="9">
        <v>2439405.0</v>
      </c>
      <c r="B2270" s="9">
        <v>147374.47</v>
      </c>
      <c r="C2270" s="9">
        <v>43309.0</v>
      </c>
      <c r="D2270" s="9" t="s">
        <v>52</v>
      </c>
      <c r="E2270" s="9" t="s">
        <v>111</v>
      </c>
      <c r="F2270" s="9">
        <v>2439405.0</v>
      </c>
      <c r="G2270" s="9">
        <v>147374.47</v>
      </c>
      <c r="H2270" s="9">
        <v>151520.37</v>
      </c>
      <c r="I2270" s="9">
        <v>0.0</v>
      </c>
      <c r="J2270" s="9">
        <v>0.0</v>
      </c>
      <c r="K2270" s="9">
        <v>0.0</v>
      </c>
      <c r="L2270" s="9" t="s">
        <v>59</v>
      </c>
      <c r="M2270" s="9" t="s">
        <v>55</v>
      </c>
      <c r="R2270" s="9" t="s">
        <v>94</v>
      </c>
      <c r="S2270" s="9" t="s">
        <v>57</v>
      </c>
      <c r="T2270" s="9" t="s">
        <v>95</v>
      </c>
    </row>
    <row r="2271" ht="15.75" customHeight="1">
      <c r="A2271" s="9">
        <v>2439437.0</v>
      </c>
      <c r="B2271" s="9">
        <v>266696.44</v>
      </c>
      <c r="C2271" s="9">
        <v>43277.0</v>
      </c>
      <c r="D2271" s="9" t="s">
        <v>52</v>
      </c>
      <c r="E2271" s="9" t="s">
        <v>111</v>
      </c>
      <c r="F2271" s="9">
        <v>2439437.0</v>
      </c>
      <c r="G2271" s="9">
        <v>266696.44</v>
      </c>
      <c r="H2271" s="9">
        <v>272467.5</v>
      </c>
      <c r="I2271" s="9">
        <v>3366.65</v>
      </c>
      <c r="J2271" s="9">
        <v>0.0</v>
      </c>
      <c r="K2271" s="9">
        <v>0.0</v>
      </c>
      <c r="L2271" s="9" t="s">
        <v>59</v>
      </c>
      <c r="M2271" s="9" t="s">
        <v>55</v>
      </c>
      <c r="R2271" s="9" t="s">
        <v>94</v>
      </c>
      <c r="S2271" s="9" t="s">
        <v>57</v>
      </c>
      <c r="T2271" s="9" t="s">
        <v>95</v>
      </c>
    </row>
    <row r="2272" ht="15.75" customHeight="1">
      <c r="A2272" s="9">
        <v>2440012.0</v>
      </c>
      <c r="B2272" s="9">
        <v>254716.13</v>
      </c>
      <c r="C2272" s="9">
        <v>43215.0</v>
      </c>
      <c r="D2272" s="9" t="s">
        <v>52</v>
      </c>
      <c r="E2272" s="9" t="s">
        <v>111</v>
      </c>
      <c r="F2272" s="9">
        <v>2440012.0</v>
      </c>
      <c r="G2272" s="9">
        <v>254716.13</v>
      </c>
      <c r="H2272" s="9">
        <v>261345.13</v>
      </c>
      <c r="I2272" s="9">
        <v>1589.78</v>
      </c>
      <c r="J2272" s="9">
        <v>0.0</v>
      </c>
      <c r="K2272" s="9">
        <v>0.0</v>
      </c>
      <c r="L2272" s="9" t="s">
        <v>59</v>
      </c>
      <c r="M2272" s="9" t="s">
        <v>55</v>
      </c>
      <c r="R2272" s="9" t="s">
        <v>94</v>
      </c>
      <c r="S2272" s="9" t="s">
        <v>57</v>
      </c>
      <c r="T2272" s="9" t="s">
        <v>95</v>
      </c>
    </row>
    <row r="2273" ht="15.75" customHeight="1">
      <c r="A2273" s="9">
        <v>2440014.0</v>
      </c>
      <c r="B2273" s="9">
        <v>92100.74</v>
      </c>
      <c r="C2273" s="9">
        <v>43268.0</v>
      </c>
      <c r="D2273" s="9" t="s">
        <v>52</v>
      </c>
      <c r="E2273" s="9" t="s">
        <v>111</v>
      </c>
      <c r="F2273" s="9">
        <v>2440014.0</v>
      </c>
      <c r="G2273" s="9">
        <v>92100.74</v>
      </c>
      <c r="H2273" s="9">
        <v>95781.44</v>
      </c>
      <c r="I2273" s="9">
        <v>0.0</v>
      </c>
      <c r="J2273" s="9">
        <v>0.0</v>
      </c>
      <c r="K2273" s="9">
        <v>0.0</v>
      </c>
      <c r="L2273" s="9" t="s">
        <v>59</v>
      </c>
      <c r="M2273" s="9" t="s">
        <v>55</v>
      </c>
      <c r="R2273" s="9" t="s">
        <v>70</v>
      </c>
      <c r="S2273" s="9" t="s">
        <v>57</v>
      </c>
      <c r="T2273" s="9" t="s">
        <v>71</v>
      </c>
    </row>
    <row r="2274" ht="15.75" customHeight="1">
      <c r="A2274" s="9">
        <v>2440037.0</v>
      </c>
      <c r="B2274" s="9">
        <v>266782.89</v>
      </c>
      <c r="C2274" s="9">
        <v>43251.0</v>
      </c>
      <c r="D2274" s="9" t="s">
        <v>52</v>
      </c>
      <c r="E2274" s="9" t="s">
        <v>111</v>
      </c>
      <c r="F2274" s="9">
        <v>2440037.0</v>
      </c>
      <c r="G2274" s="9">
        <v>266782.89</v>
      </c>
      <c r="H2274" s="9">
        <v>271554.59</v>
      </c>
      <c r="I2274" s="9">
        <v>0.0</v>
      </c>
      <c r="J2274" s="9">
        <v>0.0</v>
      </c>
      <c r="K2274" s="9">
        <v>0.0</v>
      </c>
      <c r="L2274" s="9" t="s">
        <v>59</v>
      </c>
      <c r="M2274" s="9" t="s">
        <v>55</v>
      </c>
      <c r="R2274" s="9" t="s">
        <v>141</v>
      </c>
      <c r="S2274" s="9" t="s">
        <v>101</v>
      </c>
      <c r="T2274" s="9" t="s">
        <v>142</v>
      </c>
    </row>
    <row r="2275" ht="15.75" customHeight="1">
      <c r="A2275" s="9">
        <v>2440480.0</v>
      </c>
      <c r="B2275" s="9">
        <v>90204.38</v>
      </c>
      <c r="C2275" s="9">
        <v>43285.0</v>
      </c>
      <c r="D2275" s="9" t="s">
        <v>52</v>
      </c>
      <c r="E2275" s="9" t="s">
        <v>111</v>
      </c>
      <c r="F2275" s="9">
        <v>2440480.0</v>
      </c>
      <c r="G2275" s="9">
        <v>90204.38</v>
      </c>
      <c r="H2275" s="9">
        <v>94014.08</v>
      </c>
      <c r="I2275" s="9">
        <v>3896.0</v>
      </c>
      <c r="J2275" s="9">
        <v>0.0</v>
      </c>
      <c r="K2275" s="9">
        <v>0.0</v>
      </c>
      <c r="L2275" s="9" t="s">
        <v>59</v>
      </c>
      <c r="M2275" s="9" t="s">
        <v>55</v>
      </c>
      <c r="R2275" s="9" t="s">
        <v>56</v>
      </c>
      <c r="S2275" s="9" t="s">
        <v>57</v>
      </c>
      <c r="T2275" s="9" t="s">
        <v>58</v>
      </c>
    </row>
    <row r="2276" ht="15.75" customHeight="1">
      <c r="A2276" s="9">
        <v>2440482.0</v>
      </c>
      <c r="B2276" s="9">
        <v>96748.68</v>
      </c>
      <c r="C2276" s="9">
        <v>43227.0</v>
      </c>
      <c r="D2276" s="9" t="s">
        <v>52</v>
      </c>
      <c r="E2276" s="9" t="s">
        <v>111</v>
      </c>
      <c r="F2276" s="9">
        <v>2440482.0</v>
      </c>
      <c r="G2276" s="9">
        <v>96748.68</v>
      </c>
      <c r="H2276" s="9">
        <v>99170.18</v>
      </c>
      <c r="I2276" s="9">
        <v>0.0</v>
      </c>
      <c r="J2276" s="9">
        <v>0.0</v>
      </c>
      <c r="K2276" s="9">
        <v>0.0</v>
      </c>
      <c r="L2276" s="9" t="s">
        <v>59</v>
      </c>
      <c r="M2276" s="9" t="s">
        <v>55</v>
      </c>
      <c r="R2276" s="9" t="s">
        <v>75</v>
      </c>
      <c r="S2276" s="9" t="s">
        <v>57</v>
      </c>
      <c r="T2276" s="9" t="s">
        <v>76</v>
      </c>
    </row>
    <row r="2277" ht="15.75" customHeight="1">
      <c r="A2277" s="9">
        <v>2442579.0</v>
      </c>
      <c r="B2277" s="9">
        <v>3202177.27</v>
      </c>
      <c r="C2277" s="9">
        <v>46077.0</v>
      </c>
      <c r="D2277" s="9" t="s">
        <v>52</v>
      </c>
      <c r="E2277" s="9" t="s">
        <v>111</v>
      </c>
      <c r="F2277" s="9">
        <v>2442579.0</v>
      </c>
      <c r="H2277" s="9">
        <v>3570839.38</v>
      </c>
      <c r="I2277" s="9">
        <v>3431714.94</v>
      </c>
      <c r="J2277" s="9">
        <v>0.0</v>
      </c>
      <c r="K2277" s="9">
        <v>0.0</v>
      </c>
      <c r="L2277" s="9" t="s">
        <v>59</v>
      </c>
      <c r="M2277" s="9" t="s">
        <v>55</v>
      </c>
      <c r="N2277" s="9">
        <v>0.0</v>
      </c>
      <c r="O2277" s="9">
        <v>0.0</v>
      </c>
      <c r="P2277" s="9">
        <v>0.0</v>
      </c>
      <c r="Q2277" s="9">
        <v>0.0</v>
      </c>
      <c r="R2277" s="9" t="s">
        <v>72</v>
      </c>
      <c r="S2277" s="9" t="s">
        <v>57</v>
      </c>
      <c r="T2277" s="9" t="s">
        <v>73</v>
      </c>
    </row>
    <row r="2278" ht="15.75" customHeight="1">
      <c r="A2278" s="9">
        <v>2453418.0</v>
      </c>
      <c r="B2278" s="9">
        <v>4432490.6</v>
      </c>
      <c r="C2278" s="9">
        <v>45754.0</v>
      </c>
      <c r="D2278" s="9" t="s">
        <v>52</v>
      </c>
      <c r="E2278" s="9" t="s">
        <v>53</v>
      </c>
      <c r="F2278" s="9">
        <v>2453418.0</v>
      </c>
      <c r="G2278" s="9">
        <v>8742872.19</v>
      </c>
      <c r="H2278" s="9">
        <v>1.041328882E7</v>
      </c>
      <c r="I2278" s="9">
        <v>1.035681683E7</v>
      </c>
      <c r="J2278" s="9">
        <v>22239.03</v>
      </c>
      <c r="K2278" s="9">
        <v>22240.0</v>
      </c>
      <c r="L2278" s="9" t="s">
        <v>59</v>
      </c>
      <c r="M2278" s="9" t="s">
        <v>55</v>
      </c>
      <c r="N2278" s="9">
        <v>8372719.4</v>
      </c>
      <c r="O2278" s="9">
        <v>8372719.4</v>
      </c>
      <c r="P2278" s="9">
        <v>247100.35</v>
      </c>
      <c r="Q2278" s="9">
        <v>222390.32</v>
      </c>
      <c r="R2278" s="9" t="s">
        <v>60</v>
      </c>
      <c r="S2278" s="9" t="s">
        <v>57</v>
      </c>
      <c r="T2278" s="9" t="s">
        <v>61</v>
      </c>
      <c r="V2278" s="9">
        <v>1.171767989E7</v>
      </c>
      <c r="W2278" s="9">
        <v>222390.32</v>
      </c>
      <c r="X2278" s="9">
        <v>0.0</v>
      </c>
    </row>
    <row r="2279" ht="15.75" customHeight="1">
      <c r="A2279" s="9">
        <v>2459736.0</v>
      </c>
      <c r="B2279" s="9">
        <v>5338535.89</v>
      </c>
      <c r="C2279" s="9">
        <v>47213.0</v>
      </c>
      <c r="D2279" s="9" t="s">
        <v>52</v>
      </c>
      <c r="E2279" s="9" t="s">
        <v>53</v>
      </c>
      <c r="F2279" s="9">
        <v>2459736.0</v>
      </c>
      <c r="G2279" s="9">
        <v>5532236.45</v>
      </c>
      <c r="H2279" s="9">
        <v>5002319.22</v>
      </c>
      <c r="I2279" s="9">
        <v>5002319.22</v>
      </c>
      <c r="J2279" s="9">
        <v>0.0</v>
      </c>
      <c r="K2279" s="9">
        <v>10000.0</v>
      </c>
      <c r="L2279" s="9" t="s">
        <v>69</v>
      </c>
      <c r="M2279" s="9" t="s">
        <v>55</v>
      </c>
      <c r="N2279" s="9">
        <v>5164118.23</v>
      </c>
      <c r="O2279" s="9">
        <v>4813941.1</v>
      </c>
      <c r="P2279" s="9">
        <v>258617.5</v>
      </c>
      <c r="Q2279" s="9">
        <v>230125.0</v>
      </c>
      <c r="R2279" s="9" t="s">
        <v>56</v>
      </c>
      <c r="S2279" s="9" t="s">
        <v>57</v>
      </c>
      <c r="T2279" s="9" t="s">
        <v>58</v>
      </c>
    </row>
    <row r="2280" ht="15.75" customHeight="1">
      <c r="A2280" s="9">
        <v>2467120.0</v>
      </c>
      <c r="B2280" s="9">
        <v>2663358.94</v>
      </c>
      <c r="C2280" s="9">
        <v>46817.0</v>
      </c>
      <c r="D2280" s="9" t="s">
        <v>52</v>
      </c>
      <c r="E2280" s="9" t="s">
        <v>53</v>
      </c>
      <c r="F2280" s="9">
        <v>2467120.0</v>
      </c>
      <c r="G2280" s="9">
        <v>5397013.64</v>
      </c>
      <c r="H2280" s="9">
        <v>5397013.64</v>
      </c>
      <c r="I2280" s="9">
        <v>4753839.02</v>
      </c>
      <c r="J2280" s="9">
        <v>0.0</v>
      </c>
      <c r="K2280" s="9">
        <v>0.0</v>
      </c>
      <c r="L2280" s="9" t="s">
        <v>59</v>
      </c>
      <c r="M2280" s="9" t="s">
        <v>55</v>
      </c>
      <c r="N2280" s="9">
        <v>5039671.37</v>
      </c>
      <c r="O2280" s="9">
        <v>4758165.46</v>
      </c>
      <c r="P2280" s="9">
        <v>262096.27</v>
      </c>
      <c r="Q2280" s="9">
        <v>236410.0</v>
      </c>
      <c r="R2280" s="9" t="s">
        <v>60</v>
      </c>
      <c r="S2280" s="9" t="s">
        <v>57</v>
      </c>
      <c r="T2280" s="9" t="s">
        <v>61</v>
      </c>
      <c r="V2280" s="9">
        <v>4463842.76</v>
      </c>
      <c r="W2280" s="9">
        <v>289996.27</v>
      </c>
      <c r="X2280" s="9">
        <v>0.0</v>
      </c>
    </row>
    <row r="2281" ht="15.75" customHeight="1">
      <c r="A2281" s="9">
        <v>2478018.0</v>
      </c>
      <c r="B2281" s="9">
        <v>3300507.0</v>
      </c>
      <c r="C2281" s="9">
        <v>46526.0</v>
      </c>
      <c r="D2281" s="9" t="s">
        <v>52</v>
      </c>
      <c r="E2281" s="9" t="s">
        <v>111</v>
      </c>
      <c r="F2281" s="9">
        <v>2478018.0</v>
      </c>
      <c r="H2281" s="9">
        <v>7062439.86</v>
      </c>
      <c r="I2281" s="9">
        <v>20000.0</v>
      </c>
      <c r="J2281" s="9">
        <v>0.0</v>
      </c>
      <c r="K2281" s="9">
        <v>0.0</v>
      </c>
      <c r="L2281" s="9" t="s">
        <v>59</v>
      </c>
      <c r="M2281" s="9" t="s">
        <v>55</v>
      </c>
      <c r="R2281" s="9" t="s">
        <v>100</v>
      </c>
      <c r="S2281" s="9" t="s">
        <v>101</v>
      </c>
      <c r="T2281" s="9" t="s">
        <v>102</v>
      </c>
    </row>
    <row r="2282" ht="15.75" customHeight="1">
      <c r="A2282" s="9">
        <v>2501516.0</v>
      </c>
      <c r="B2282" s="9">
        <v>1941506.0</v>
      </c>
      <c r="C2282" s="9">
        <v>46418.0</v>
      </c>
      <c r="D2282" s="9" t="s">
        <v>52</v>
      </c>
      <c r="E2282" s="9" t="s">
        <v>111</v>
      </c>
      <c r="F2282" s="9">
        <v>2501516.0</v>
      </c>
      <c r="H2282" s="9">
        <v>1941506.0</v>
      </c>
      <c r="I2282" s="9">
        <v>1807438.81</v>
      </c>
      <c r="J2282" s="9">
        <v>0.0</v>
      </c>
      <c r="K2282" s="9">
        <v>0.0</v>
      </c>
      <c r="L2282" s="9" t="s">
        <v>59</v>
      </c>
      <c r="M2282" s="9" t="s">
        <v>55</v>
      </c>
      <c r="N2282" s="9">
        <v>1671597.31</v>
      </c>
      <c r="O2282" s="9">
        <v>1504437.58</v>
      </c>
      <c r="P2282" s="9">
        <v>187252.39</v>
      </c>
      <c r="Q2282" s="9">
        <v>168527.16</v>
      </c>
      <c r="R2282" s="9" t="s">
        <v>72</v>
      </c>
      <c r="S2282" s="9" t="s">
        <v>57</v>
      </c>
      <c r="T2282" s="9" t="s">
        <v>73</v>
      </c>
    </row>
    <row r="2283" ht="15.75" customHeight="1">
      <c r="A2283" s="9">
        <v>2509272.0</v>
      </c>
      <c r="B2283" s="9">
        <v>2574214.48</v>
      </c>
      <c r="C2283" s="9">
        <v>47224.0</v>
      </c>
      <c r="D2283" s="9" t="s">
        <v>52</v>
      </c>
      <c r="E2283" s="9" t="s">
        <v>53</v>
      </c>
      <c r="F2283" s="9">
        <v>2509272.0</v>
      </c>
      <c r="G2283" s="9">
        <v>4696625.35</v>
      </c>
      <c r="H2283" s="9">
        <v>4535963.85</v>
      </c>
      <c r="I2283" s="9">
        <v>4349419.7</v>
      </c>
      <c r="J2283" s="9">
        <v>0.0</v>
      </c>
      <c r="K2283" s="9">
        <v>0.0</v>
      </c>
      <c r="L2283" s="9" t="s">
        <v>59</v>
      </c>
      <c r="M2283" s="9" t="s">
        <v>55</v>
      </c>
      <c r="N2283" s="9">
        <v>4262203.72</v>
      </c>
      <c r="O2283" s="9">
        <v>3612037.05</v>
      </c>
      <c r="P2283" s="9">
        <v>222760.13</v>
      </c>
      <c r="Q2283" s="9">
        <v>188779.77</v>
      </c>
      <c r="R2283" s="9" t="s">
        <v>60</v>
      </c>
      <c r="S2283" s="9" t="s">
        <v>57</v>
      </c>
      <c r="T2283" s="9" t="s">
        <v>61</v>
      </c>
      <c r="V2283" s="9">
        <v>4225997.94</v>
      </c>
      <c r="W2283" s="9">
        <v>282897.83</v>
      </c>
      <c r="X2283" s="9">
        <v>0.0</v>
      </c>
    </row>
    <row r="2284" ht="15.75" customHeight="1">
      <c r="A2284" s="9">
        <v>2520098.0</v>
      </c>
      <c r="B2284" s="9">
        <v>2.300065386E7</v>
      </c>
      <c r="C2284" s="9">
        <v>46527.0</v>
      </c>
      <c r="D2284" s="9" t="s">
        <v>52</v>
      </c>
      <c r="E2284" s="9" t="s">
        <v>111</v>
      </c>
      <c r="F2284" s="9">
        <v>2520098.0</v>
      </c>
      <c r="H2284" s="9">
        <v>2.4138839E7</v>
      </c>
      <c r="I2284" s="9">
        <v>2.281983093E7</v>
      </c>
      <c r="J2284" s="9">
        <v>857405.19</v>
      </c>
      <c r="K2284" s="9">
        <v>857406.0</v>
      </c>
      <c r="L2284" s="9" t="s">
        <v>59</v>
      </c>
      <c r="M2284" s="9" t="s">
        <v>55</v>
      </c>
      <c r="N2284" s="9">
        <v>2.105289552E7</v>
      </c>
      <c r="O2284" s="9">
        <v>1.894760599E7</v>
      </c>
      <c r="P2284" s="9">
        <v>866304.64</v>
      </c>
      <c r="Q2284" s="9">
        <v>779674.18</v>
      </c>
      <c r="R2284" s="9" t="s">
        <v>115</v>
      </c>
      <c r="S2284" s="9" t="s">
        <v>115</v>
      </c>
    </row>
    <row r="2285" ht="15.75" customHeight="1">
      <c r="A2285" s="9">
        <v>2532566.0</v>
      </c>
      <c r="B2285" s="9">
        <v>6.2837226431E8</v>
      </c>
      <c r="C2285" s="9">
        <v>46826.0</v>
      </c>
      <c r="D2285" s="9" t="s">
        <v>52</v>
      </c>
      <c r="E2285" s="9" t="s">
        <v>103</v>
      </c>
      <c r="F2285" s="9">
        <v>2532566.0</v>
      </c>
      <c r="H2285" s="9">
        <v>6.5942751872E8</v>
      </c>
      <c r="I2285" s="9">
        <v>2.129811783E7</v>
      </c>
      <c r="J2285" s="9">
        <v>5886547.44</v>
      </c>
      <c r="K2285" s="9">
        <v>4.1062092E7</v>
      </c>
      <c r="L2285" s="9" t="s">
        <v>59</v>
      </c>
      <c r="M2285" s="9" t="s">
        <v>65</v>
      </c>
      <c r="R2285" s="9" t="s">
        <v>100</v>
      </c>
      <c r="S2285" s="9" t="s">
        <v>101</v>
      </c>
      <c r="T2285" s="9" t="s">
        <v>102</v>
      </c>
    </row>
    <row r="2286" ht="15.75" customHeight="1">
      <c r="A2286" s="9">
        <v>2553124.0</v>
      </c>
      <c r="B2286" s="9">
        <v>1.0827981E7</v>
      </c>
      <c r="C2286" s="9">
        <v>48677.0</v>
      </c>
      <c r="D2286" s="9" t="s">
        <v>52</v>
      </c>
      <c r="E2286" s="9" t="s">
        <v>53</v>
      </c>
      <c r="F2286" s="9">
        <v>2553124.0</v>
      </c>
      <c r="G2286" s="9">
        <v>7438069.91</v>
      </c>
      <c r="H2286" s="9">
        <v>7300746.84</v>
      </c>
      <c r="I2286" s="9">
        <v>100625.04</v>
      </c>
      <c r="J2286" s="9">
        <v>0.0</v>
      </c>
      <c r="K2286" s="9">
        <v>1058608.0</v>
      </c>
      <c r="L2286" s="9" t="s">
        <v>59</v>
      </c>
      <c r="M2286" s="9" t="s">
        <v>55</v>
      </c>
      <c r="N2286" s="9">
        <v>6866153.56</v>
      </c>
      <c r="O2286" s="9">
        <v>0.0</v>
      </c>
      <c r="R2286" s="9" t="s">
        <v>122</v>
      </c>
      <c r="S2286" s="9" t="s">
        <v>101</v>
      </c>
      <c r="T2286" s="9" t="s">
        <v>123</v>
      </c>
    </row>
    <row r="2287" ht="15.75" customHeight="1">
      <c r="A2287" s="9">
        <v>2561403.0</v>
      </c>
      <c r="B2287" s="9">
        <v>4390819.28</v>
      </c>
      <c r="C2287" s="9">
        <v>47170.0</v>
      </c>
      <c r="D2287" s="9" t="s">
        <v>52</v>
      </c>
      <c r="E2287" s="9" t="s">
        <v>111</v>
      </c>
      <c r="F2287" s="9">
        <v>2561403.0</v>
      </c>
      <c r="H2287" s="9">
        <v>5563343.97</v>
      </c>
      <c r="I2287" s="9">
        <v>3681459.44</v>
      </c>
      <c r="J2287" s="9">
        <v>0.0</v>
      </c>
      <c r="K2287" s="9">
        <v>0.0</v>
      </c>
      <c r="L2287" s="9" t="s">
        <v>59</v>
      </c>
      <c r="M2287" s="9" t="s">
        <v>55</v>
      </c>
      <c r="N2287" s="9">
        <v>3881861.32</v>
      </c>
      <c r="O2287" s="9">
        <v>3493675.19</v>
      </c>
      <c r="R2287" s="9" t="s">
        <v>94</v>
      </c>
      <c r="S2287" s="9" t="s">
        <v>57</v>
      </c>
      <c r="T2287" s="9" t="s">
        <v>95</v>
      </c>
    </row>
    <row r="2288" ht="15.75" customHeight="1">
      <c r="A2288" s="9">
        <v>2573110.0</v>
      </c>
      <c r="B2288" s="9">
        <v>4.8250031E8</v>
      </c>
      <c r="C2288" s="9">
        <v>48644.0</v>
      </c>
      <c r="D2288" s="9" t="s">
        <v>52</v>
      </c>
      <c r="E2288" s="9" t="s">
        <v>153</v>
      </c>
      <c r="F2288" s="9">
        <v>2573110.0</v>
      </c>
      <c r="H2288" s="9">
        <v>1.9483213191E8</v>
      </c>
      <c r="I2288" s="9">
        <v>18025.78</v>
      </c>
      <c r="J2288" s="9">
        <v>0.0</v>
      </c>
      <c r="K2288" s="9">
        <v>15000.0</v>
      </c>
      <c r="L2288" s="9" t="s">
        <v>59</v>
      </c>
      <c r="M2288" s="9" t="s">
        <v>116</v>
      </c>
      <c r="R2288" s="9" t="s">
        <v>117</v>
      </c>
      <c r="S2288" s="9" t="s">
        <v>57</v>
      </c>
      <c r="T2288" s="9" t="s">
        <v>118</v>
      </c>
    </row>
    <row r="2289" ht="15.75" customHeight="1">
      <c r="A2289" s="9">
        <v>2594872.0</v>
      </c>
      <c r="B2289" s="9">
        <v>1078778.3</v>
      </c>
      <c r="C2289" s="9">
        <v>48244.0</v>
      </c>
      <c r="D2289" s="9" t="s">
        <v>52</v>
      </c>
      <c r="E2289" s="9" t="s">
        <v>103</v>
      </c>
      <c r="F2289" s="9">
        <v>2594872.0</v>
      </c>
      <c r="H2289" s="9">
        <v>1078778.3</v>
      </c>
      <c r="I2289" s="9">
        <v>1066000.0</v>
      </c>
      <c r="J2289" s="9">
        <v>0.0</v>
      </c>
      <c r="K2289" s="9">
        <v>0.0</v>
      </c>
      <c r="L2289" s="9" t="s">
        <v>59</v>
      </c>
      <c r="M2289" s="9" t="s">
        <v>55</v>
      </c>
      <c r="N2289" s="9">
        <v>1066000.0</v>
      </c>
      <c r="O2289" s="9">
        <v>1066000.0</v>
      </c>
      <c r="R2289" s="9" t="s">
        <v>94</v>
      </c>
      <c r="S2289" s="9" t="s">
        <v>57</v>
      </c>
      <c r="T2289" s="9" t="s">
        <v>95</v>
      </c>
    </row>
    <row r="2290" ht="15.75" customHeight="1">
      <c r="A2290" s="9">
        <v>2669142.0</v>
      </c>
      <c r="B2290" s="9">
        <v>605194.71</v>
      </c>
      <c r="C2290" s="9">
        <v>48255.0</v>
      </c>
      <c r="D2290" s="9" t="s">
        <v>52</v>
      </c>
      <c r="E2290" s="9" t="s">
        <v>103</v>
      </c>
      <c r="F2290" s="9">
        <v>2669142.0</v>
      </c>
      <c r="H2290" s="9">
        <v>605194.71</v>
      </c>
      <c r="I2290" s="9">
        <v>599766.05</v>
      </c>
      <c r="J2290" s="9">
        <v>599766.05</v>
      </c>
      <c r="K2290" s="9">
        <v>605196.0</v>
      </c>
      <c r="L2290" s="9" t="s">
        <v>59</v>
      </c>
      <c r="M2290" s="9" t="s">
        <v>55</v>
      </c>
      <c r="N2290" s="9">
        <v>599766.0</v>
      </c>
      <c r="O2290" s="9">
        <v>599766.0</v>
      </c>
      <c r="R2290" s="9" t="s">
        <v>94</v>
      </c>
      <c r="S2290" s="9" t="s">
        <v>57</v>
      </c>
      <c r="T2290" s="9" t="s">
        <v>95</v>
      </c>
    </row>
    <row r="2291" ht="15.75" customHeight="1">
      <c r="A2291" s="9">
        <v>2344930.0</v>
      </c>
      <c r="B2291" s="9">
        <v>6.71671082E8</v>
      </c>
      <c r="C2291" s="9">
        <v>39802.0</v>
      </c>
      <c r="D2291" s="9" t="s">
        <v>52</v>
      </c>
      <c r="E2291" s="9" t="s">
        <v>64</v>
      </c>
      <c r="F2291" s="9">
        <v>383440.0</v>
      </c>
      <c r="G2291" s="9">
        <v>6.7178040667E8</v>
      </c>
      <c r="H2291" s="9">
        <v>6.8185650978E8</v>
      </c>
      <c r="I2291" s="9">
        <v>1.014393992E7</v>
      </c>
      <c r="J2291" s="9">
        <v>0.0</v>
      </c>
      <c r="K2291" s="9">
        <v>0.0</v>
      </c>
      <c r="L2291" s="9" t="s">
        <v>59</v>
      </c>
      <c r="M2291" s="9" t="s">
        <v>65</v>
      </c>
      <c r="R2291" s="9" t="s">
        <v>85</v>
      </c>
      <c r="S2291" s="9" t="s">
        <v>67</v>
      </c>
      <c r="T2291" s="9" t="s">
        <v>86</v>
      </c>
    </row>
    <row r="2292" ht="15.75" customHeight="1">
      <c r="A2292" s="9">
        <v>2349174.0</v>
      </c>
      <c r="B2292" s="9">
        <v>3814116.5</v>
      </c>
      <c r="C2292" s="9">
        <v>47205.0</v>
      </c>
      <c r="D2292" s="9" t="s">
        <v>52</v>
      </c>
      <c r="E2292" s="9" t="s">
        <v>53</v>
      </c>
      <c r="F2292" s="9">
        <v>2349174.0</v>
      </c>
      <c r="G2292" s="9">
        <v>4006540.91</v>
      </c>
      <c r="H2292" s="9">
        <v>4028999.01</v>
      </c>
      <c r="I2292" s="9">
        <v>3421954.89</v>
      </c>
      <c r="J2292" s="9">
        <v>262650.12</v>
      </c>
      <c r="K2292" s="9">
        <v>295078.0</v>
      </c>
      <c r="L2292" s="9" t="s">
        <v>59</v>
      </c>
      <c r="M2292" s="9" t="s">
        <v>55</v>
      </c>
      <c r="N2292" s="9">
        <v>3731690.71</v>
      </c>
      <c r="O2292" s="9">
        <v>3358521.64</v>
      </c>
      <c r="P2292" s="9">
        <v>199305.0</v>
      </c>
      <c r="Q2292" s="9">
        <v>152012.29</v>
      </c>
      <c r="R2292" s="9" t="s">
        <v>75</v>
      </c>
      <c r="S2292" s="9" t="s">
        <v>57</v>
      </c>
      <c r="T2292" s="9" t="s">
        <v>76</v>
      </c>
    </row>
    <row r="2293" ht="15.75" customHeight="1">
      <c r="A2293" s="9">
        <v>2409138.0</v>
      </c>
      <c r="B2293" s="9">
        <v>3621942.87</v>
      </c>
      <c r="C2293" s="9">
        <v>42882.0</v>
      </c>
      <c r="D2293" s="9" t="s">
        <v>52</v>
      </c>
      <c r="E2293" s="9" t="s">
        <v>111</v>
      </c>
      <c r="F2293" s="9">
        <v>2409138.0</v>
      </c>
      <c r="H2293" s="9">
        <v>3031537.64</v>
      </c>
      <c r="I2293" s="9">
        <v>3031537.64</v>
      </c>
      <c r="J2293" s="9">
        <v>0.0</v>
      </c>
      <c r="K2293" s="9">
        <v>0.0</v>
      </c>
      <c r="L2293" s="9" t="s">
        <v>69</v>
      </c>
      <c r="M2293" s="9" t="s">
        <v>55</v>
      </c>
      <c r="N2293" s="9">
        <v>3186321.56</v>
      </c>
      <c r="O2293" s="9">
        <v>2614756.43</v>
      </c>
      <c r="P2293" s="9">
        <v>239758.83</v>
      </c>
      <c r="Q2293" s="9">
        <v>2614756.43</v>
      </c>
      <c r="R2293" s="9" t="s">
        <v>72</v>
      </c>
      <c r="S2293" s="9" t="s">
        <v>57</v>
      </c>
      <c r="T2293" s="9" t="s">
        <v>73</v>
      </c>
      <c r="V2293" s="9">
        <v>2779122.78</v>
      </c>
    </row>
    <row r="2294" ht="15.75" customHeight="1">
      <c r="A2294" s="9">
        <v>2410542.0</v>
      </c>
      <c r="B2294" s="9">
        <v>319688.29</v>
      </c>
      <c r="C2294" s="9">
        <v>42879.0</v>
      </c>
      <c r="D2294" s="9" t="s">
        <v>52</v>
      </c>
      <c r="E2294" s="9" t="s">
        <v>111</v>
      </c>
      <c r="F2294" s="9">
        <v>2410542.0</v>
      </c>
      <c r="H2294" s="9">
        <v>314819.25</v>
      </c>
      <c r="I2294" s="9">
        <v>314819.25</v>
      </c>
      <c r="J2294" s="9">
        <v>0.0</v>
      </c>
      <c r="K2294" s="9">
        <v>0.0</v>
      </c>
      <c r="L2294" s="9" t="s">
        <v>69</v>
      </c>
      <c r="M2294" s="9" t="s">
        <v>55</v>
      </c>
      <c r="N2294" s="9">
        <v>292192.61</v>
      </c>
      <c r="O2294" s="9">
        <v>263174.4</v>
      </c>
      <c r="R2294" s="9" t="s">
        <v>115</v>
      </c>
      <c r="S2294" s="9" t="s">
        <v>115</v>
      </c>
    </row>
    <row r="2295" ht="15.75" customHeight="1">
      <c r="A2295" s="9">
        <v>2410549.0</v>
      </c>
      <c r="B2295" s="9">
        <v>1446020.54</v>
      </c>
      <c r="C2295" s="9">
        <v>42878.0</v>
      </c>
      <c r="D2295" s="9" t="s">
        <v>52</v>
      </c>
      <c r="E2295" s="9" t="s">
        <v>111</v>
      </c>
      <c r="F2295" s="9">
        <v>2410549.0</v>
      </c>
      <c r="H2295" s="9">
        <v>1236958.83</v>
      </c>
      <c r="I2295" s="9">
        <v>1236958.83</v>
      </c>
      <c r="J2295" s="9">
        <v>0.0</v>
      </c>
      <c r="K2295" s="9">
        <v>0.0</v>
      </c>
      <c r="L2295" s="9" t="s">
        <v>69</v>
      </c>
      <c r="M2295" s="9" t="s">
        <v>55</v>
      </c>
      <c r="N2295" s="9">
        <v>1147665.58</v>
      </c>
      <c r="O2295" s="9">
        <v>1097527.88</v>
      </c>
      <c r="R2295" s="9" t="s">
        <v>72</v>
      </c>
      <c r="S2295" s="9" t="s">
        <v>57</v>
      </c>
      <c r="T2295" s="9" t="s">
        <v>73</v>
      </c>
    </row>
    <row r="2296" ht="15.75" customHeight="1">
      <c r="A2296" s="9">
        <v>2410899.0</v>
      </c>
      <c r="B2296" s="9">
        <v>2706904.63</v>
      </c>
      <c r="C2296" s="9">
        <v>42883.0</v>
      </c>
      <c r="D2296" s="9" t="s">
        <v>52</v>
      </c>
      <c r="E2296" s="9" t="s">
        <v>111</v>
      </c>
      <c r="F2296" s="9">
        <v>2410899.0</v>
      </c>
      <c r="H2296" s="9">
        <v>2706904.63</v>
      </c>
      <c r="I2296" s="9">
        <v>1996088.9</v>
      </c>
      <c r="J2296" s="9">
        <v>0.0</v>
      </c>
      <c r="K2296" s="9">
        <v>0.0</v>
      </c>
      <c r="L2296" s="9" t="s">
        <v>59</v>
      </c>
      <c r="M2296" s="9" t="s">
        <v>55</v>
      </c>
      <c r="N2296" s="9">
        <v>2440113.17</v>
      </c>
      <c r="O2296" s="9">
        <v>1880691.32</v>
      </c>
      <c r="R2296" s="9" t="s">
        <v>72</v>
      </c>
      <c r="S2296" s="9" t="s">
        <v>57</v>
      </c>
      <c r="T2296" s="9" t="s">
        <v>73</v>
      </c>
      <c r="V2296" s="9">
        <v>1821878.23</v>
      </c>
    </row>
    <row r="2297" ht="15.75" customHeight="1">
      <c r="A2297" s="9">
        <v>2410967.0</v>
      </c>
      <c r="B2297" s="9">
        <v>3622808.94</v>
      </c>
      <c r="C2297" s="9">
        <v>45649.0</v>
      </c>
      <c r="D2297" s="9" t="s">
        <v>52</v>
      </c>
      <c r="E2297" s="9" t="s">
        <v>111</v>
      </c>
      <c r="F2297" s="9">
        <v>2410967.0</v>
      </c>
      <c r="H2297" s="9">
        <v>2490764.12</v>
      </c>
      <c r="I2297" s="9">
        <v>2463450.01</v>
      </c>
      <c r="J2297" s="9">
        <v>0.0</v>
      </c>
      <c r="K2297" s="9">
        <v>0.0</v>
      </c>
      <c r="L2297" s="9" t="s">
        <v>59</v>
      </c>
      <c r="M2297" s="9" t="s">
        <v>55</v>
      </c>
      <c r="N2297" s="9">
        <v>3398745.82</v>
      </c>
      <c r="O2297" s="9">
        <v>2957720.72</v>
      </c>
      <c r="P2297" s="9">
        <v>226324.0</v>
      </c>
      <c r="Q2297" s="9">
        <v>0.0</v>
      </c>
      <c r="R2297" s="9" t="s">
        <v>72</v>
      </c>
      <c r="S2297" s="9" t="s">
        <v>57</v>
      </c>
      <c r="T2297" s="9" t="s">
        <v>73</v>
      </c>
      <c r="V2297" s="9">
        <v>2266703.36</v>
      </c>
    </row>
    <row r="2298" ht="15.75" customHeight="1">
      <c r="A2298" s="9">
        <v>2423085.0</v>
      </c>
      <c r="B2298" s="9">
        <v>612882.19</v>
      </c>
      <c r="C2298" s="9">
        <v>40346.0</v>
      </c>
      <c r="D2298" s="9" t="s">
        <v>52</v>
      </c>
      <c r="E2298" s="9" t="s">
        <v>111</v>
      </c>
      <c r="F2298" s="9">
        <v>2423085.0</v>
      </c>
      <c r="G2298" s="9">
        <v>1147411.77</v>
      </c>
      <c r="H2298" s="9">
        <v>1147413.0</v>
      </c>
      <c r="I2298" s="9">
        <v>19820.32</v>
      </c>
      <c r="J2298" s="9">
        <v>0.0</v>
      </c>
      <c r="K2298" s="9">
        <v>0.0</v>
      </c>
      <c r="L2298" s="9" t="s">
        <v>59</v>
      </c>
      <c r="M2298" s="9" t="s">
        <v>65</v>
      </c>
      <c r="R2298" s="9" t="s">
        <v>127</v>
      </c>
      <c r="S2298" s="9" t="s">
        <v>57</v>
      </c>
      <c r="T2298" s="9" t="s">
        <v>128</v>
      </c>
    </row>
    <row r="2299" ht="15.75" customHeight="1">
      <c r="A2299" s="9">
        <v>2423153.0</v>
      </c>
      <c r="B2299" s="9">
        <v>1852818.9</v>
      </c>
      <c r="C2299" s="9">
        <v>42884.0</v>
      </c>
      <c r="D2299" s="9" t="s">
        <v>52</v>
      </c>
      <c r="E2299" s="9" t="s">
        <v>111</v>
      </c>
      <c r="F2299" s="9">
        <v>2423153.0</v>
      </c>
      <c r="H2299" s="9">
        <v>1287087.78</v>
      </c>
      <c r="I2299" s="9">
        <v>1111461.77</v>
      </c>
      <c r="J2299" s="9">
        <v>0.0</v>
      </c>
      <c r="K2299" s="9">
        <v>0.0</v>
      </c>
      <c r="L2299" s="9" t="s">
        <v>59</v>
      </c>
      <c r="M2299" s="9" t="s">
        <v>55</v>
      </c>
      <c r="N2299" s="9">
        <v>1351685.87</v>
      </c>
      <c r="O2299" s="9">
        <v>1156247.73</v>
      </c>
      <c r="P2299" s="9">
        <v>208530.19</v>
      </c>
      <c r="Q2299" s="9">
        <v>150840.9</v>
      </c>
      <c r="R2299" s="9" t="s">
        <v>115</v>
      </c>
      <c r="S2299" s="9" t="s">
        <v>115</v>
      </c>
    </row>
    <row r="2300" ht="15.75" customHeight="1">
      <c r="A2300" s="9">
        <v>2436053.0</v>
      </c>
      <c r="B2300" s="9">
        <v>3235678.25</v>
      </c>
      <c r="C2300" s="9">
        <v>47335.0</v>
      </c>
      <c r="D2300" s="9" t="s">
        <v>52</v>
      </c>
      <c r="E2300" s="9" t="s">
        <v>53</v>
      </c>
      <c r="F2300" s="9">
        <v>2436053.0</v>
      </c>
      <c r="G2300" s="9">
        <v>1711780.95</v>
      </c>
      <c r="H2300" s="9">
        <v>1572013.62</v>
      </c>
      <c r="I2300" s="9">
        <v>1435567.0</v>
      </c>
      <c r="J2300" s="9">
        <v>6750.0</v>
      </c>
      <c r="K2300" s="9">
        <v>119362.0</v>
      </c>
      <c r="L2300" s="9" t="s">
        <v>59</v>
      </c>
      <c r="M2300" s="9" t="s">
        <v>55</v>
      </c>
      <c r="N2300" s="9">
        <v>1458947.73</v>
      </c>
      <c r="O2300" s="9">
        <v>1446331.73</v>
      </c>
      <c r="P2300" s="9">
        <v>89232.0</v>
      </c>
      <c r="Q2300" s="9">
        <v>80308.89</v>
      </c>
      <c r="R2300" s="9" t="s">
        <v>75</v>
      </c>
      <c r="S2300" s="9" t="s">
        <v>57</v>
      </c>
      <c r="T2300" s="9" t="s">
        <v>76</v>
      </c>
    </row>
    <row r="2301" ht="15.75" customHeight="1">
      <c r="A2301" s="9">
        <v>2436060.0</v>
      </c>
      <c r="B2301" s="9">
        <v>337680.46</v>
      </c>
      <c r="C2301" s="9">
        <v>43294.0</v>
      </c>
      <c r="D2301" s="9" t="s">
        <v>52</v>
      </c>
      <c r="E2301" s="9" t="s">
        <v>111</v>
      </c>
      <c r="F2301" s="9">
        <v>2436060.0</v>
      </c>
      <c r="G2301" s="9">
        <v>337680.46</v>
      </c>
      <c r="H2301" s="9">
        <v>341611.56</v>
      </c>
      <c r="I2301" s="9">
        <v>9586.81</v>
      </c>
      <c r="J2301" s="9">
        <v>0.0</v>
      </c>
      <c r="K2301" s="9">
        <v>0.0</v>
      </c>
      <c r="L2301" s="9" t="s">
        <v>59</v>
      </c>
      <c r="M2301" s="9" t="s">
        <v>55</v>
      </c>
      <c r="R2301" s="9" t="s">
        <v>94</v>
      </c>
      <c r="S2301" s="9" t="s">
        <v>57</v>
      </c>
      <c r="T2301" s="9" t="s">
        <v>95</v>
      </c>
    </row>
    <row r="2302" ht="15.75" customHeight="1">
      <c r="A2302" s="9">
        <v>2436071.0</v>
      </c>
      <c r="B2302" s="9">
        <v>276530.18</v>
      </c>
      <c r="C2302" s="9">
        <v>43312.0</v>
      </c>
      <c r="D2302" s="9" t="s">
        <v>52</v>
      </c>
      <c r="E2302" s="9" t="s">
        <v>111</v>
      </c>
      <c r="F2302" s="9">
        <v>2436071.0</v>
      </c>
      <c r="G2302" s="9">
        <v>276530.18</v>
      </c>
      <c r="H2302" s="9">
        <v>279696.88</v>
      </c>
      <c r="I2302" s="9">
        <v>5603.83</v>
      </c>
      <c r="J2302" s="9">
        <v>0.0</v>
      </c>
      <c r="K2302" s="9">
        <v>0.0</v>
      </c>
      <c r="L2302" s="9" t="s">
        <v>59</v>
      </c>
      <c r="M2302" s="9" t="s">
        <v>55</v>
      </c>
      <c r="R2302" s="9" t="s">
        <v>106</v>
      </c>
      <c r="S2302" s="9" t="s">
        <v>82</v>
      </c>
      <c r="T2302" s="9" t="s">
        <v>107</v>
      </c>
      <c r="U2302" s="9" t="s">
        <v>108</v>
      </c>
    </row>
    <row r="2303" ht="15.75" customHeight="1">
      <c r="A2303" s="9">
        <v>2436171.0</v>
      </c>
      <c r="B2303" s="9">
        <v>116857.18</v>
      </c>
      <c r="C2303" s="9">
        <v>43145.0</v>
      </c>
      <c r="D2303" s="9" t="s">
        <v>52</v>
      </c>
      <c r="E2303" s="9" t="s">
        <v>111</v>
      </c>
      <c r="F2303" s="9">
        <v>2436171.0</v>
      </c>
      <c r="G2303" s="9">
        <v>116857.18</v>
      </c>
      <c r="H2303" s="9">
        <v>121380.68</v>
      </c>
      <c r="I2303" s="9">
        <v>0.0</v>
      </c>
      <c r="J2303" s="9">
        <v>0.0</v>
      </c>
      <c r="K2303" s="9">
        <v>0.0</v>
      </c>
      <c r="L2303" s="9" t="s">
        <v>59</v>
      </c>
      <c r="M2303" s="9" t="s">
        <v>55</v>
      </c>
      <c r="R2303" s="9" t="s">
        <v>94</v>
      </c>
      <c r="S2303" s="9" t="s">
        <v>57</v>
      </c>
      <c r="T2303" s="9" t="s">
        <v>95</v>
      </c>
    </row>
    <row r="2304" ht="15.75" customHeight="1">
      <c r="A2304" s="9">
        <v>2436185.0</v>
      </c>
      <c r="B2304" s="9">
        <v>90645.49</v>
      </c>
      <c r="C2304" s="9">
        <v>43194.0</v>
      </c>
      <c r="D2304" s="9" t="s">
        <v>52</v>
      </c>
      <c r="E2304" s="9" t="s">
        <v>111</v>
      </c>
      <c r="F2304" s="9">
        <v>2436185.0</v>
      </c>
      <c r="G2304" s="9">
        <v>90645.49</v>
      </c>
      <c r="H2304" s="9">
        <v>94006.66</v>
      </c>
      <c r="I2304" s="9">
        <v>1537.03</v>
      </c>
      <c r="J2304" s="9">
        <v>0.0</v>
      </c>
      <c r="K2304" s="9">
        <v>0.0</v>
      </c>
      <c r="L2304" s="9" t="s">
        <v>59</v>
      </c>
      <c r="M2304" s="9" t="s">
        <v>55</v>
      </c>
      <c r="R2304" s="9" t="s">
        <v>94</v>
      </c>
      <c r="S2304" s="9" t="s">
        <v>57</v>
      </c>
      <c r="T2304" s="9" t="s">
        <v>95</v>
      </c>
    </row>
    <row r="2305" ht="15.75" customHeight="1">
      <c r="A2305" s="9">
        <v>2436196.0</v>
      </c>
      <c r="B2305" s="9">
        <v>48774.99</v>
      </c>
      <c r="C2305" s="9">
        <v>43181.0</v>
      </c>
      <c r="D2305" s="9" t="s">
        <v>52</v>
      </c>
      <c r="E2305" s="9" t="s">
        <v>111</v>
      </c>
      <c r="F2305" s="9">
        <v>2436196.0</v>
      </c>
      <c r="G2305" s="9">
        <v>48774.99</v>
      </c>
      <c r="H2305" s="9">
        <v>51296.86</v>
      </c>
      <c r="I2305" s="9">
        <v>0.0</v>
      </c>
      <c r="J2305" s="9">
        <v>0.0</v>
      </c>
      <c r="K2305" s="9">
        <v>0.0</v>
      </c>
      <c r="L2305" s="9" t="s">
        <v>59</v>
      </c>
      <c r="M2305" s="9" t="s">
        <v>55</v>
      </c>
      <c r="R2305" s="9" t="s">
        <v>75</v>
      </c>
      <c r="S2305" s="9" t="s">
        <v>57</v>
      </c>
      <c r="T2305" s="9" t="s">
        <v>76</v>
      </c>
    </row>
    <row r="2306" ht="15.75" customHeight="1">
      <c r="A2306" s="9">
        <v>2436221.0</v>
      </c>
      <c r="B2306" s="9">
        <v>56106.66</v>
      </c>
      <c r="C2306" s="9">
        <v>43210.0</v>
      </c>
      <c r="D2306" s="9" t="s">
        <v>52</v>
      </c>
      <c r="E2306" s="9" t="s">
        <v>111</v>
      </c>
      <c r="F2306" s="9">
        <v>2436221.0</v>
      </c>
      <c r="G2306" s="9">
        <v>56106.66</v>
      </c>
      <c r="H2306" s="9">
        <v>58736.83</v>
      </c>
      <c r="I2306" s="9">
        <v>1284.15</v>
      </c>
      <c r="J2306" s="9">
        <v>0.0</v>
      </c>
      <c r="K2306" s="9">
        <v>0.0</v>
      </c>
      <c r="L2306" s="9" t="s">
        <v>59</v>
      </c>
      <c r="M2306" s="9" t="s">
        <v>55</v>
      </c>
      <c r="R2306" s="9" t="s">
        <v>94</v>
      </c>
      <c r="S2306" s="9" t="s">
        <v>57</v>
      </c>
      <c r="T2306" s="9" t="s">
        <v>95</v>
      </c>
    </row>
    <row r="2307" ht="15.75" customHeight="1">
      <c r="A2307" s="9">
        <v>2436235.0</v>
      </c>
      <c r="B2307" s="9">
        <v>63562.89</v>
      </c>
      <c r="C2307" s="9">
        <v>43289.0</v>
      </c>
      <c r="D2307" s="9" t="s">
        <v>52</v>
      </c>
      <c r="E2307" s="9" t="s">
        <v>111</v>
      </c>
      <c r="F2307" s="9">
        <v>2436235.0</v>
      </c>
      <c r="G2307" s="9">
        <v>63562.89</v>
      </c>
      <c r="H2307" s="9">
        <v>65462.49</v>
      </c>
      <c r="I2307" s="9">
        <v>0.0</v>
      </c>
      <c r="J2307" s="9">
        <v>0.0</v>
      </c>
      <c r="K2307" s="9">
        <v>0.0</v>
      </c>
      <c r="L2307" s="9" t="s">
        <v>59</v>
      </c>
      <c r="M2307" s="9" t="s">
        <v>55</v>
      </c>
      <c r="R2307" s="9" t="s">
        <v>94</v>
      </c>
      <c r="S2307" s="9" t="s">
        <v>57</v>
      </c>
      <c r="T2307" s="9" t="s">
        <v>95</v>
      </c>
    </row>
    <row r="2308" ht="15.75" customHeight="1">
      <c r="A2308" s="9">
        <v>2436246.0</v>
      </c>
      <c r="B2308" s="9">
        <v>82135.31</v>
      </c>
      <c r="C2308" s="9">
        <v>43369.0</v>
      </c>
      <c r="D2308" s="9" t="s">
        <v>52</v>
      </c>
      <c r="E2308" s="9" t="s">
        <v>111</v>
      </c>
      <c r="F2308" s="9">
        <v>2436246.0</v>
      </c>
      <c r="G2308" s="9">
        <v>82135.31</v>
      </c>
      <c r="H2308" s="9">
        <v>83598.11</v>
      </c>
      <c r="I2308" s="9">
        <v>0.0</v>
      </c>
      <c r="J2308" s="9">
        <v>0.0</v>
      </c>
      <c r="K2308" s="9">
        <v>0.0</v>
      </c>
      <c r="L2308" s="9" t="s">
        <v>59</v>
      </c>
      <c r="M2308" s="9" t="s">
        <v>55</v>
      </c>
      <c r="R2308" s="9" t="s">
        <v>70</v>
      </c>
      <c r="S2308" s="9" t="s">
        <v>57</v>
      </c>
      <c r="T2308" s="9" t="s">
        <v>71</v>
      </c>
    </row>
    <row r="2309" ht="15.75" customHeight="1">
      <c r="A2309" s="9">
        <v>2436260.0</v>
      </c>
      <c r="B2309" s="9">
        <v>131892.62</v>
      </c>
      <c r="C2309" s="9">
        <v>43412.0</v>
      </c>
      <c r="D2309" s="9" t="s">
        <v>52</v>
      </c>
      <c r="E2309" s="9" t="s">
        <v>111</v>
      </c>
      <c r="F2309" s="9">
        <v>2436260.0</v>
      </c>
      <c r="G2309" s="9">
        <v>131892.62</v>
      </c>
      <c r="H2309" s="9">
        <v>135871.12</v>
      </c>
      <c r="I2309" s="9">
        <v>5972.0</v>
      </c>
      <c r="J2309" s="9">
        <v>0.0</v>
      </c>
      <c r="K2309" s="9">
        <v>0.0</v>
      </c>
      <c r="L2309" s="9" t="s">
        <v>59</v>
      </c>
      <c r="M2309" s="9" t="s">
        <v>55</v>
      </c>
      <c r="R2309" s="9" t="s">
        <v>56</v>
      </c>
      <c r="S2309" s="9" t="s">
        <v>57</v>
      </c>
      <c r="T2309" s="9" t="s">
        <v>58</v>
      </c>
    </row>
    <row r="2310" ht="15.75" customHeight="1">
      <c r="A2310" s="9">
        <v>2436396.0</v>
      </c>
      <c r="B2310" s="9">
        <v>176407.89</v>
      </c>
      <c r="C2310" s="9">
        <v>43409.0</v>
      </c>
      <c r="D2310" s="9" t="s">
        <v>52</v>
      </c>
      <c r="E2310" s="9" t="s">
        <v>111</v>
      </c>
      <c r="F2310" s="9">
        <v>2436396.0</v>
      </c>
      <c r="G2310" s="9">
        <v>176407.89</v>
      </c>
      <c r="H2310" s="9">
        <v>179913.59</v>
      </c>
      <c r="I2310" s="9">
        <v>0.0</v>
      </c>
      <c r="J2310" s="9">
        <v>0.0</v>
      </c>
      <c r="K2310" s="9">
        <v>0.0</v>
      </c>
      <c r="L2310" s="9" t="s">
        <v>59</v>
      </c>
      <c r="M2310" s="9" t="s">
        <v>55</v>
      </c>
      <c r="R2310" s="9" t="s">
        <v>75</v>
      </c>
      <c r="S2310" s="9" t="s">
        <v>57</v>
      </c>
      <c r="T2310" s="9" t="s">
        <v>76</v>
      </c>
    </row>
    <row r="2311" ht="15.75" customHeight="1">
      <c r="A2311" s="9">
        <v>2436403.0</v>
      </c>
      <c r="B2311" s="9">
        <v>147629.51</v>
      </c>
      <c r="C2311" s="9">
        <v>43404.0</v>
      </c>
      <c r="D2311" s="9" t="s">
        <v>52</v>
      </c>
      <c r="E2311" s="9" t="s">
        <v>111</v>
      </c>
      <c r="F2311" s="9">
        <v>2436403.0</v>
      </c>
      <c r="G2311" s="9">
        <v>147629.51</v>
      </c>
      <c r="H2311" s="9">
        <v>149326.31</v>
      </c>
      <c r="I2311" s="9">
        <v>5940.35</v>
      </c>
      <c r="J2311" s="9">
        <v>0.0</v>
      </c>
      <c r="K2311" s="9">
        <v>0.0</v>
      </c>
      <c r="L2311" s="9" t="s">
        <v>59</v>
      </c>
      <c r="M2311" s="9" t="s">
        <v>55</v>
      </c>
      <c r="R2311" s="9" t="s">
        <v>94</v>
      </c>
      <c r="S2311" s="9" t="s">
        <v>57</v>
      </c>
      <c r="T2311" s="9" t="s">
        <v>95</v>
      </c>
    </row>
    <row r="2312" ht="15.75" customHeight="1">
      <c r="A2312" s="9">
        <v>2064878.0</v>
      </c>
      <c r="B2312" s="9">
        <v>1962648.0</v>
      </c>
      <c r="C2312" s="9">
        <v>29932.0</v>
      </c>
      <c r="D2312" s="9" t="s">
        <v>52</v>
      </c>
      <c r="E2312" s="9" t="s">
        <v>53</v>
      </c>
      <c r="F2312" s="9">
        <v>47680.0</v>
      </c>
      <c r="G2312" s="9">
        <v>1962648.0</v>
      </c>
      <c r="H2312" s="9">
        <v>1962648.0</v>
      </c>
      <c r="I2312" s="9">
        <v>0.0</v>
      </c>
      <c r="J2312" s="9">
        <v>0.0</v>
      </c>
      <c r="K2312" s="9">
        <v>0.0</v>
      </c>
      <c r="L2312" s="9" t="s">
        <v>54</v>
      </c>
      <c r="M2312" s="9" t="s">
        <v>55</v>
      </c>
      <c r="N2312" s="9">
        <v>1966574.78</v>
      </c>
      <c r="O2312" s="9">
        <v>1966574.96</v>
      </c>
      <c r="P2312" s="9">
        <v>30000.0</v>
      </c>
      <c r="Q2312" s="9">
        <v>27000.0</v>
      </c>
      <c r="R2312" s="9" t="s">
        <v>60</v>
      </c>
      <c r="S2312" s="9" t="s">
        <v>57</v>
      </c>
      <c r="T2312" s="9" t="s">
        <v>61</v>
      </c>
      <c r="V2312" s="9">
        <v>1966277.82</v>
      </c>
      <c r="W2312" s="9">
        <v>0.0</v>
      </c>
      <c r="X2312" s="9">
        <v>0.0</v>
      </c>
    </row>
    <row r="2313" ht="15.75" customHeight="1">
      <c r="A2313" s="9">
        <v>2064910.0</v>
      </c>
      <c r="B2313" s="9">
        <v>1676295.0</v>
      </c>
      <c r="C2313" s="9">
        <v>29647.0</v>
      </c>
      <c r="D2313" s="9" t="s">
        <v>52</v>
      </c>
      <c r="E2313" s="9" t="s">
        <v>53</v>
      </c>
      <c r="F2313" s="9">
        <v>48958.0</v>
      </c>
      <c r="G2313" s="9">
        <v>1676295.0</v>
      </c>
      <c r="H2313" s="9">
        <v>1676295.0</v>
      </c>
      <c r="I2313" s="9">
        <v>0.0</v>
      </c>
      <c r="J2313" s="9">
        <v>0.0</v>
      </c>
      <c r="K2313" s="9">
        <v>0.0</v>
      </c>
      <c r="L2313" s="9" t="s">
        <v>54</v>
      </c>
      <c r="M2313" s="9" t="s">
        <v>65</v>
      </c>
      <c r="N2313" s="9">
        <v>33000.0</v>
      </c>
      <c r="O2313" s="9">
        <v>33000.0</v>
      </c>
      <c r="R2313" s="9" t="s">
        <v>60</v>
      </c>
      <c r="S2313" s="9" t="s">
        <v>57</v>
      </c>
      <c r="T2313" s="9" t="s">
        <v>61</v>
      </c>
    </row>
    <row r="2314" ht="15.75" customHeight="1">
      <c r="A2314" s="9">
        <v>2064928.0</v>
      </c>
      <c r="B2314" s="9">
        <v>4656468.0</v>
      </c>
      <c r="C2314" s="9">
        <v>30177.0</v>
      </c>
      <c r="D2314" s="9" t="s">
        <v>52</v>
      </c>
      <c r="E2314" s="9" t="s">
        <v>53</v>
      </c>
      <c r="F2314" s="9">
        <v>49674.0</v>
      </c>
      <c r="G2314" s="9">
        <v>4656468.0</v>
      </c>
      <c r="H2314" s="9">
        <v>4619335.06</v>
      </c>
      <c r="I2314" s="9">
        <v>0.0</v>
      </c>
      <c r="J2314" s="9">
        <v>0.0</v>
      </c>
      <c r="K2314" s="9">
        <v>0.0</v>
      </c>
      <c r="L2314" s="9" t="s">
        <v>69</v>
      </c>
      <c r="M2314" s="9" t="s">
        <v>55</v>
      </c>
      <c r="N2314" s="9">
        <v>4233299.22</v>
      </c>
      <c r="O2314" s="9">
        <v>4232300.06</v>
      </c>
      <c r="P2314" s="9">
        <v>216537.0</v>
      </c>
      <c r="Q2314" s="9">
        <v>216537.0</v>
      </c>
      <c r="R2314" s="9" t="s">
        <v>60</v>
      </c>
      <c r="S2314" s="9" t="s">
        <v>57</v>
      </c>
      <c r="T2314" s="9" t="s">
        <v>61</v>
      </c>
      <c r="V2314" s="9">
        <v>4232300.06</v>
      </c>
      <c r="W2314" s="9">
        <v>216537.0</v>
      </c>
      <c r="X2314" s="9">
        <v>0.0</v>
      </c>
    </row>
    <row r="2315" ht="15.75" customHeight="1">
      <c r="A2315" s="9">
        <v>2065046.0</v>
      </c>
      <c r="B2315" s="9">
        <v>633819.0</v>
      </c>
      <c r="C2315" s="9">
        <v>31109.0</v>
      </c>
      <c r="D2315" s="9" t="s">
        <v>52</v>
      </c>
      <c r="E2315" s="9" t="s">
        <v>53</v>
      </c>
      <c r="F2315" s="9">
        <v>51424.0</v>
      </c>
      <c r="G2315" s="9">
        <v>633819.0</v>
      </c>
      <c r="H2315" s="9">
        <v>633819.0</v>
      </c>
      <c r="I2315" s="9">
        <v>0.0</v>
      </c>
      <c r="J2315" s="9">
        <v>0.0</v>
      </c>
      <c r="K2315" s="9">
        <v>0.0</v>
      </c>
      <c r="L2315" s="9" t="s">
        <v>54</v>
      </c>
      <c r="M2315" s="9" t="s">
        <v>55</v>
      </c>
      <c r="R2315" s="9" t="s">
        <v>75</v>
      </c>
      <c r="S2315" s="9" t="s">
        <v>57</v>
      </c>
      <c r="T2315" s="9" t="s">
        <v>76</v>
      </c>
    </row>
    <row r="2316" ht="15.75" customHeight="1">
      <c r="A2316" s="9">
        <v>2065110.0</v>
      </c>
      <c r="B2316" s="9">
        <v>728457.0</v>
      </c>
      <c r="C2316" s="9">
        <v>29560.0</v>
      </c>
      <c r="D2316" s="9" t="s">
        <v>52</v>
      </c>
      <c r="E2316" s="9" t="s">
        <v>53</v>
      </c>
      <c r="F2316" s="9">
        <v>51923.0</v>
      </c>
      <c r="G2316" s="9">
        <v>728457.0</v>
      </c>
      <c r="H2316" s="9">
        <v>728457.0</v>
      </c>
      <c r="I2316" s="9">
        <v>0.0</v>
      </c>
      <c r="J2316" s="9">
        <v>0.0</v>
      </c>
      <c r="K2316" s="9">
        <v>0.0</v>
      </c>
      <c r="L2316" s="9" t="s">
        <v>54</v>
      </c>
      <c r="M2316" s="9" t="s">
        <v>65</v>
      </c>
      <c r="N2316" s="9">
        <v>0.0</v>
      </c>
      <c r="O2316" s="9">
        <v>0.0</v>
      </c>
      <c r="R2316" s="9" t="s">
        <v>60</v>
      </c>
      <c r="S2316" s="9" t="s">
        <v>57</v>
      </c>
      <c r="T2316" s="9" t="s">
        <v>61</v>
      </c>
    </row>
    <row r="2317" ht="15.75" customHeight="1">
      <c r="A2317" s="9">
        <v>2065171.0</v>
      </c>
      <c r="B2317" s="9">
        <v>999560.0</v>
      </c>
      <c r="C2317" s="9">
        <v>29872.0</v>
      </c>
      <c r="D2317" s="9" t="s">
        <v>52</v>
      </c>
      <c r="E2317" s="9" t="s">
        <v>53</v>
      </c>
      <c r="F2317" s="9">
        <v>52805.0</v>
      </c>
      <c r="G2317" s="9">
        <v>999560.0</v>
      </c>
      <c r="H2317" s="9">
        <v>999560.0</v>
      </c>
      <c r="I2317" s="9">
        <v>799648.46</v>
      </c>
      <c r="J2317" s="9">
        <v>0.0</v>
      </c>
      <c r="K2317" s="9">
        <v>0.0</v>
      </c>
      <c r="L2317" s="9" t="s">
        <v>69</v>
      </c>
      <c r="M2317" s="9" t="s">
        <v>55</v>
      </c>
      <c r="N2317" s="9">
        <v>736166.0</v>
      </c>
      <c r="O2317" s="9">
        <v>792271.95</v>
      </c>
      <c r="P2317" s="9">
        <v>33600.0</v>
      </c>
      <c r="Q2317" s="9">
        <v>33600.0</v>
      </c>
      <c r="R2317" s="9" t="s">
        <v>60</v>
      </c>
      <c r="S2317" s="9" t="s">
        <v>57</v>
      </c>
      <c r="T2317" s="9" t="s">
        <v>61</v>
      </c>
      <c r="V2317" s="9">
        <v>750000.0</v>
      </c>
      <c r="W2317" s="9">
        <v>0.0</v>
      </c>
      <c r="X2317" s="9">
        <v>0.0</v>
      </c>
    </row>
    <row r="2318" ht="15.75" customHeight="1">
      <c r="A2318" s="9">
        <v>2065246.0</v>
      </c>
      <c r="B2318" s="9">
        <v>1726568.0</v>
      </c>
      <c r="C2318" s="9">
        <v>30532.0</v>
      </c>
      <c r="D2318" s="9" t="s">
        <v>52</v>
      </c>
      <c r="E2318" s="9" t="s">
        <v>53</v>
      </c>
      <c r="F2318" s="9">
        <v>53692.0</v>
      </c>
      <c r="G2318" s="9">
        <v>1726568.0</v>
      </c>
      <c r="H2318" s="9">
        <v>1726568.0</v>
      </c>
      <c r="I2318" s="9">
        <v>1720558.46</v>
      </c>
      <c r="J2318" s="9">
        <v>0.0</v>
      </c>
      <c r="K2318" s="9">
        <v>0.0</v>
      </c>
      <c r="L2318" s="9" t="s">
        <v>59</v>
      </c>
      <c r="M2318" s="9" t="s">
        <v>55</v>
      </c>
      <c r="N2318" s="9">
        <v>1639850.96</v>
      </c>
      <c r="O2318" s="9">
        <v>1639850.96</v>
      </c>
      <c r="P2318" s="9">
        <v>50717.04</v>
      </c>
      <c r="Q2318" s="9">
        <v>45645.34</v>
      </c>
      <c r="R2318" s="9" t="s">
        <v>94</v>
      </c>
      <c r="S2318" s="9" t="s">
        <v>57</v>
      </c>
      <c r="T2318" s="9" t="s">
        <v>95</v>
      </c>
      <c r="V2318" s="9">
        <v>1639850.96</v>
      </c>
      <c r="W2318" s="9">
        <v>0.0</v>
      </c>
      <c r="X2318" s="9">
        <v>0.0</v>
      </c>
    </row>
    <row r="2319" ht="15.75" customHeight="1">
      <c r="A2319" s="9">
        <v>2065339.0</v>
      </c>
      <c r="B2319" s="9">
        <v>4.6106162E7</v>
      </c>
      <c r="C2319" s="9">
        <v>46789.0</v>
      </c>
      <c r="D2319" s="9" t="s">
        <v>52</v>
      </c>
      <c r="E2319" s="9" t="s">
        <v>53</v>
      </c>
      <c r="F2319" s="9">
        <v>55010.0</v>
      </c>
      <c r="G2319" s="9">
        <v>5.373849E7</v>
      </c>
      <c r="H2319" s="9">
        <v>5.398849E7</v>
      </c>
      <c r="I2319" s="9">
        <v>5.314887324E7</v>
      </c>
      <c r="J2319" s="9">
        <v>0.0</v>
      </c>
      <c r="K2319" s="9">
        <v>0.0</v>
      </c>
      <c r="L2319" s="9" t="s">
        <v>59</v>
      </c>
      <c r="M2319" s="9" t="s">
        <v>62</v>
      </c>
      <c r="N2319" s="9">
        <v>1326418.71</v>
      </c>
      <c r="O2319" s="9">
        <v>0.0</v>
      </c>
      <c r="R2319" s="9" t="s">
        <v>77</v>
      </c>
      <c r="S2319" s="9" t="s">
        <v>78</v>
      </c>
      <c r="T2319" s="9" t="s">
        <v>79</v>
      </c>
      <c r="U2319" s="9" t="s">
        <v>80</v>
      </c>
    </row>
    <row r="2320" ht="15.75" customHeight="1">
      <c r="A2320" s="9">
        <v>2065353.0</v>
      </c>
      <c r="B2320" s="9">
        <v>1030213.0</v>
      </c>
      <c r="C2320" s="9">
        <v>29633.0</v>
      </c>
      <c r="D2320" s="9" t="s">
        <v>52</v>
      </c>
      <c r="E2320" s="9" t="s">
        <v>53</v>
      </c>
      <c r="F2320" s="9">
        <v>55343.0</v>
      </c>
      <c r="G2320" s="9">
        <v>1030213.0</v>
      </c>
      <c r="H2320" s="9">
        <v>1030213.0</v>
      </c>
      <c r="I2320" s="9">
        <v>0.0</v>
      </c>
      <c r="J2320" s="9">
        <v>0.0</v>
      </c>
      <c r="K2320" s="9">
        <v>0.0</v>
      </c>
      <c r="L2320" s="9" t="s">
        <v>54</v>
      </c>
      <c r="M2320" s="9" t="s">
        <v>65</v>
      </c>
      <c r="N2320" s="9">
        <v>40000.0</v>
      </c>
      <c r="O2320" s="9">
        <v>40000.0</v>
      </c>
      <c r="R2320" s="9" t="s">
        <v>60</v>
      </c>
      <c r="S2320" s="9" t="s">
        <v>57</v>
      </c>
      <c r="T2320" s="9" t="s">
        <v>61</v>
      </c>
      <c r="V2320" s="9">
        <v>40000.0</v>
      </c>
      <c r="W2320" s="9">
        <v>0.0</v>
      </c>
    </row>
    <row r="2321" ht="15.75" customHeight="1">
      <c r="A2321" s="9">
        <v>2065528.0</v>
      </c>
      <c r="B2321" s="9">
        <v>1144556.0</v>
      </c>
      <c r="C2321" s="9">
        <v>31056.0</v>
      </c>
      <c r="D2321" s="9" t="s">
        <v>52</v>
      </c>
      <c r="E2321" s="9" t="s">
        <v>53</v>
      </c>
      <c r="F2321" s="9">
        <v>57175.0</v>
      </c>
      <c r="G2321" s="9">
        <v>1144556.0</v>
      </c>
      <c r="H2321" s="9">
        <v>1144556.0</v>
      </c>
      <c r="I2321" s="9">
        <v>0.0</v>
      </c>
      <c r="J2321" s="9">
        <v>0.0</v>
      </c>
      <c r="K2321" s="9">
        <v>0.0</v>
      </c>
      <c r="L2321" s="9" t="s">
        <v>54</v>
      </c>
      <c r="M2321" s="9" t="s">
        <v>55</v>
      </c>
      <c r="R2321" s="9" t="s">
        <v>60</v>
      </c>
      <c r="S2321" s="9" t="s">
        <v>57</v>
      </c>
      <c r="T2321" s="9" t="s">
        <v>61</v>
      </c>
      <c r="V2321" s="9">
        <v>853277.71</v>
      </c>
      <c r="W2321" s="9">
        <v>0.0</v>
      </c>
      <c r="X2321" s="9">
        <v>0.0</v>
      </c>
    </row>
    <row r="2322" ht="15.75" customHeight="1">
      <c r="A2322" s="9">
        <v>2066021.0</v>
      </c>
      <c r="B2322" s="9">
        <v>152062.0</v>
      </c>
      <c r="C2322" s="9">
        <v>31124.0</v>
      </c>
      <c r="D2322" s="9" t="s">
        <v>52</v>
      </c>
      <c r="E2322" s="9" t="s">
        <v>53</v>
      </c>
      <c r="F2322" s="9">
        <v>61263.0</v>
      </c>
      <c r="G2322" s="9">
        <v>152062.0</v>
      </c>
      <c r="H2322" s="9">
        <v>152062.0</v>
      </c>
      <c r="I2322" s="9">
        <v>0.0</v>
      </c>
      <c r="J2322" s="9">
        <v>0.0</v>
      </c>
      <c r="K2322" s="9">
        <v>0.0</v>
      </c>
      <c r="L2322" s="9" t="s">
        <v>54</v>
      </c>
      <c r="M2322" s="9" t="s">
        <v>55</v>
      </c>
      <c r="R2322" s="9" t="s">
        <v>60</v>
      </c>
      <c r="S2322" s="9" t="s">
        <v>57</v>
      </c>
      <c r="T2322" s="9" t="s">
        <v>61</v>
      </c>
      <c r="V2322" s="9">
        <v>152062.0</v>
      </c>
      <c r="W2322" s="9">
        <v>0.0</v>
      </c>
      <c r="X2322" s="9">
        <v>0.0</v>
      </c>
    </row>
    <row r="2323" ht="15.75" customHeight="1">
      <c r="A2323" s="9">
        <v>2066968.0</v>
      </c>
      <c r="B2323" s="9">
        <v>1447522.0</v>
      </c>
      <c r="C2323" s="9">
        <v>30251.0</v>
      </c>
      <c r="D2323" s="9" t="s">
        <v>52</v>
      </c>
      <c r="E2323" s="9" t="s">
        <v>53</v>
      </c>
      <c r="F2323" s="9">
        <v>64041.0</v>
      </c>
      <c r="G2323" s="9">
        <v>1447522.0</v>
      </c>
      <c r="H2323" s="9">
        <v>1447522.0</v>
      </c>
      <c r="I2323" s="9">
        <v>0.0</v>
      </c>
      <c r="J2323" s="9">
        <v>0.0</v>
      </c>
      <c r="K2323" s="9">
        <v>0.0</v>
      </c>
      <c r="L2323" s="9" t="s">
        <v>54</v>
      </c>
      <c r="M2323" s="9" t="s">
        <v>55</v>
      </c>
      <c r="N2323" s="9">
        <v>1341937.37</v>
      </c>
      <c r="O2323" s="9">
        <v>1341937.37</v>
      </c>
      <c r="P2323" s="9">
        <v>44336.63</v>
      </c>
      <c r="Q2323" s="9">
        <v>44336.63</v>
      </c>
      <c r="R2323" s="9" t="s">
        <v>60</v>
      </c>
      <c r="S2323" s="9" t="s">
        <v>57</v>
      </c>
      <c r="T2323" s="9" t="s">
        <v>61</v>
      </c>
      <c r="V2323" s="9">
        <v>1405552.56</v>
      </c>
      <c r="W2323" s="9">
        <v>42762.68</v>
      </c>
      <c r="X2323" s="9">
        <v>0.0</v>
      </c>
    </row>
    <row r="2324" ht="15.75" customHeight="1">
      <c r="A2324" s="9">
        <v>2067268.0</v>
      </c>
      <c r="B2324" s="9">
        <v>4.4726269E7</v>
      </c>
      <c r="C2324" s="9">
        <v>30529.0</v>
      </c>
      <c r="D2324" s="9" t="s">
        <v>52</v>
      </c>
      <c r="E2324" s="9" t="s">
        <v>53</v>
      </c>
      <c r="F2324" s="9">
        <v>65101.0</v>
      </c>
      <c r="G2324" s="9">
        <v>5.8090083E7</v>
      </c>
      <c r="H2324" s="9">
        <v>7.291613948E7</v>
      </c>
      <c r="I2324" s="9">
        <v>7.083770244E7</v>
      </c>
      <c r="J2324" s="9">
        <v>0.0</v>
      </c>
      <c r="K2324" s="9">
        <v>0.0</v>
      </c>
      <c r="L2324" s="9" t="s">
        <v>59</v>
      </c>
      <c r="M2324" s="9" t="s">
        <v>55</v>
      </c>
      <c r="N2324" s="9">
        <v>4.723649683E7</v>
      </c>
      <c r="O2324" s="9">
        <v>5.18927042E7</v>
      </c>
      <c r="P2324" s="9">
        <v>1039202.73</v>
      </c>
      <c r="Q2324" s="9">
        <v>1039202.73</v>
      </c>
      <c r="R2324" s="9" t="s">
        <v>63</v>
      </c>
      <c r="S2324" s="9" t="s">
        <v>63</v>
      </c>
      <c r="V2324" s="9">
        <v>5.547459802E7</v>
      </c>
      <c r="W2324" s="9">
        <v>0.0</v>
      </c>
      <c r="X2324" s="9">
        <v>0.0</v>
      </c>
    </row>
    <row r="2325" ht="15.75" customHeight="1">
      <c r="A2325" s="9">
        <v>2067393.0</v>
      </c>
      <c r="B2325" s="9">
        <v>3092650.0</v>
      </c>
      <c r="C2325" s="9">
        <v>30235.0</v>
      </c>
      <c r="D2325" s="9" t="s">
        <v>52</v>
      </c>
      <c r="E2325" s="9" t="s">
        <v>53</v>
      </c>
      <c r="F2325" s="9">
        <v>65568.0</v>
      </c>
      <c r="G2325" s="9">
        <v>3511339.0</v>
      </c>
      <c r="H2325" s="9">
        <v>3856027.45</v>
      </c>
      <c r="I2325" s="9">
        <v>3420837.88</v>
      </c>
      <c r="J2325" s="9">
        <v>0.0</v>
      </c>
      <c r="K2325" s="9">
        <v>0.0</v>
      </c>
      <c r="L2325" s="9" t="s">
        <v>59</v>
      </c>
      <c r="M2325" s="9" t="s">
        <v>55</v>
      </c>
      <c r="N2325" s="9">
        <v>3447338.94</v>
      </c>
      <c r="O2325" s="9">
        <v>3447338.94</v>
      </c>
      <c r="P2325" s="9">
        <v>64000.0</v>
      </c>
      <c r="Q2325" s="9">
        <v>64000.0</v>
      </c>
      <c r="R2325" s="9" t="s">
        <v>109</v>
      </c>
      <c r="S2325" s="9" t="s">
        <v>78</v>
      </c>
      <c r="T2325" s="9" t="s">
        <v>79</v>
      </c>
      <c r="U2325" s="9" t="s">
        <v>110</v>
      </c>
    </row>
    <row r="2326" ht="15.75" customHeight="1">
      <c r="A2326" s="9">
        <v>2067818.0</v>
      </c>
      <c r="B2326" s="9">
        <v>1.8277193E7</v>
      </c>
      <c r="C2326" s="9">
        <v>39003.0</v>
      </c>
      <c r="D2326" s="9" t="s">
        <v>52</v>
      </c>
      <c r="E2326" s="9" t="s">
        <v>53</v>
      </c>
      <c r="F2326" s="9">
        <v>66973.0</v>
      </c>
      <c r="G2326" s="9">
        <v>2.15443623E7</v>
      </c>
      <c r="H2326" s="9">
        <v>2.15443623E7</v>
      </c>
      <c r="I2326" s="9">
        <v>2.153575414E7</v>
      </c>
      <c r="J2326" s="9">
        <v>0.0</v>
      </c>
      <c r="K2326" s="9">
        <v>0.0</v>
      </c>
      <c r="L2326" s="9" t="s">
        <v>69</v>
      </c>
      <c r="M2326" s="9" t="s">
        <v>62</v>
      </c>
      <c r="N2326" s="9">
        <v>1653433.85</v>
      </c>
      <c r="O2326" s="9">
        <v>1625876.62</v>
      </c>
      <c r="P2326" s="9">
        <v>57898.0</v>
      </c>
      <c r="Q2326" s="9">
        <v>53972.71</v>
      </c>
      <c r="R2326" s="9" t="s">
        <v>72</v>
      </c>
      <c r="S2326" s="9" t="s">
        <v>57</v>
      </c>
      <c r="T2326" s="9" t="s">
        <v>73</v>
      </c>
      <c r="V2326" s="9">
        <v>1646899.91</v>
      </c>
      <c r="W2326" s="9">
        <v>54120.1</v>
      </c>
      <c r="X2326" s="9">
        <v>0.0</v>
      </c>
    </row>
    <row r="2327" ht="15.75" customHeight="1">
      <c r="A2327" s="9">
        <v>2067911.0</v>
      </c>
      <c r="B2327" s="9">
        <v>1411641.0</v>
      </c>
      <c r="C2327" s="9">
        <v>30411.0</v>
      </c>
      <c r="D2327" s="9" t="s">
        <v>52</v>
      </c>
      <c r="E2327" s="9" t="s">
        <v>53</v>
      </c>
      <c r="F2327" s="9">
        <v>67289.0</v>
      </c>
      <c r="G2327" s="9">
        <v>1411641.0</v>
      </c>
      <c r="H2327" s="9">
        <v>1411641.0</v>
      </c>
      <c r="I2327" s="9">
        <v>723201.83</v>
      </c>
      <c r="J2327" s="9">
        <v>0.0</v>
      </c>
      <c r="K2327" s="9">
        <v>0.0</v>
      </c>
      <c r="L2327" s="9" t="s">
        <v>69</v>
      </c>
      <c r="M2327" s="9" t="s">
        <v>55</v>
      </c>
      <c r="N2327" s="9">
        <v>1346641.0</v>
      </c>
      <c r="O2327" s="9">
        <v>1346641.0</v>
      </c>
      <c r="P2327" s="9">
        <v>65000.0</v>
      </c>
      <c r="Q2327" s="9">
        <v>65000.0</v>
      </c>
      <c r="R2327" s="9" t="s">
        <v>60</v>
      </c>
      <c r="S2327" s="9" t="s">
        <v>57</v>
      </c>
      <c r="T2327" s="9" t="s">
        <v>61</v>
      </c>
      <c r="V2327" s="9">
        <v>1331828.56</v>
      </c>
      <c r="W2327" s="9">
        <v>65000.0</v>
      </c>
      <c r="X2327" s="9">
        <v>0.0</v>
      </c>
    </row>
    <row r="2328" ht="15.75" customHeight="1">
      <c r="A2328" s="9">
        <v>2068429.0</v>
      </c>
      <c r="B2328" s="9">
        <v>958604.0</v>
      </c>
      <c r="C2328" s="9">
        <v>31092.0</v>
      </c>
      <c r="D2328" s="9" t="s">
        <v>52</v>
      </c>
      <c r="E2328" s="9" t="s">
        <v>53</v>
      </c>
      <c r="F2328" s="9">
        <v>68823.0</v>
      </c>
      <c r="G2328" s="9">
        <v>1037684.13</v>
      </c>
      <c r="H2328" s="9">
        <v>1037684.13</v>
      </c>
      <c r="I2328" s="9">
        <v>1038855.94</v>
      </c>
      <c r="J2328" s="9">
        <v>0.0</v>
      </c>
      <c r="K2328" s="9">
        <v>0.0</v>
      </c>
      <c r="L2328" s="9" t="s">
        <v>59</v>
      </c>
      <c r="M2328" s="9" t="s">
        <v>55</v>
      </c>
      <c r="R2328" s="9" t="s">
        <v>60</v>
      </c>
      <c r="S2328" s="9" t="s">
        <v>57</v>
      </c>
      <c r="T2328" s="9" t="s">
        <v>61</v>
      </c>
      <c r="V2328" s="9">
        <v>882948.75</v>
      </c>
      <c r="W2328" s="9">
        <v>0.0</v>
      </c>
      <c r="X2328" s="9">
        <v>0.0</v>
      </c>
    </row>
    <row r="2329" ht="15.75" customHeight="1">
      <c r="A2329" s="9">
        <v>2068479.0</v>
      </c>
      <c r="B2329" s="9">
        <v>1.1240345E7</v>
      </c>
      <c r="C2329" s="9">
        <v>29922.0</v>
      </c>
      <c r="D2329" s="9" t="s">
        <v>52</v>
      </c>
      <c r="E2329" s="9" t="s">
        <v>53</v>
      </c>
      <c r="F2329" s="9">
        <v>68955.0</v>
      </c>
      <c r="G2329" s="9">
        <v>2.1545631E7</v>
      </c>
      <c r="H2329" s="9">
        <v>2.1545631E7</v>
      </c>
      <c r="I2329" s="9">
        <v>2.591435171E7</v>
      </c>
      <c r="J2329" s="9">
        <v>0.0</v>
      </c>
      <c r="K2329" s="9">
        <v>0.0</v>
      </c>
      <c r="L2329" s="9" t="s">
        <v>69</v>
      </c>
      <c r="M2329" s="9" t="s">
        <v>55</v>
      </c>
      <c r="N2329" s="9">
        <v>2.0178689E7</v>
      </c>
      <c r="O2329" s="9">
        <v>1.977165725E7</v>
      </c>
      <c r="P2329" s="9">
        <v>797036.0</v>
      </c>
      <c r="Q2329" s="9">
        <v>797036.0</v>
      </c>
      <c r="R2329" s="9" t="s">
        <v>60</v>
      </c>
      <c r="S2329" s="9" t="s">
        <v>57</v>
      </c>
      <c r="T2329" s="9" t="s">
        <v>61</v>
      </c>
      <c r="V2329" s="9">
        <v>2.583770255E7</v>
      </c>
      <c r="W2329" s="9">
        <v>856222.61</v>
      </c>
      <c r="X2329" s="9">
        <v>0.0</v>
      </c>
    </row>
    <row r="2330" ht="15.75" customHeight="1">
      <c r="A2330" s="9">
        <v>2068561.0</v>
      </c>
      <c r="B2330" s="9">
        <v>1.0474873E7</v>
      </c>
      <c r="C2330" s="9">
        <v>29966.0</v>
      </c>
      <c r="D2330" s="9" t="s">
        <v>52</v>
      </c>
      <c r="E2330" s="9" t="s">
        <v>53</v>
      </c>
      <c r="F2330" s="9">
        <v>69177.0</v>
      </c>
      <c r="G2330" s="9">
        <v>1.1522359E7</v>
      </c>
      <c r="H2330" s="9">
        <v>1.1522359E7</v>
      </c>
      <c r="I2330" s="9">
        <v>1.1544351E7</v>
      </c>
      <c r="J2330" s="9">
        <v>0.0</v>
      </c>
      <c r="K2330" s="9">
        <v>0.0</v>
      </c>
      <c r="L2330" s="9" t="s">
        <v>59</v>
      </c>
      <c r="M2330" s="9" t="s">
        <v>55</v>
      </c>
      <c r="N2330" s="9">
        <v>1.1347359E7</v>
      </c>
      <c r="O2330" s="9">
        <v>1.1347359E7</v>
      </c>
      <c r="P2330" s="9">
        <v>175000.0</v>
      </c>
      <c r="Q2330" s="9">
        <v>175000.0</v>
      </c>
      <c r="R2330" s="9" t="s">
        <v>60</v>
      </c>
      <c r="S2330" s="9" t="s">
        <v>57</v>
      </c>
      <c r="T2330" s="9" t="s">
        <v>61</v>
      </c>
      <c r="V2330" s="9">
        <v>1.1347359E7</v>
      </c>
      <c r="W2330" s="9">
        <v>174999.04</v>
      </c>
      <c r="X2330" s="9">
        <v>0.0</v>
      </c>
    </row>
    <row r="2331" ht="15.75" customHeight="1">
      <c r="A2331" s="9">
        <v>2068611.0</v>
      </c>
      <c r="B2331" s="9">
        <v>1244809.0</v>
      </c>
      <c r="C2331" s="9">
        <v>29921.0</v>
      </c>
      <c r="D2331" s="9" t="s">
        <v>52</v>
      </c>
      <c r="E2331" s="9" t="s">
        <v>53</v>
      </c>
      <c r="F2331" s="9">
        <v>69293.0</v>
      </c>
      <c r="G2331" s="9">
        <v>1244809.0</v>
      </c>
      <c r="H2331" s="9">
        <v>1244809.0</v>
      </c>
      <c r="I2331" s="9">
        <v>0.0</v>
      </c>
      <c r="J2331" s="9">
        <v>0.0</v>
      </c>
      <c r="K2331" s="9">
        <v>0.0</v>
      </c>
      <c r="L2331" s="9" t="s">
        <v>54</v>
      </c>
      <c r="M2331" s="9" t="s">
        <v>55</v>
      </c>
      <c r="N2331" s="9">
        <v>1174350.0</v>
      </c>
      <c r="O2331" s="9">
        <v>1174350.0</v>
      </c>
      <c r="P2331" s="9">
        <v>70656.0</v>
      </c>
      <c r="Q2331" s="9">
        <v>63768.6</v>
      </c>
      <c r="R2331" s="9" t="s">
        <v>60</v>
      </c>
      <c r="S2331" s="9" t="s">
        <v>57</v>
      </c>
      <c r="T2331" s="9" t="s">
        <v>61</v>
      </c>
      <c r="V2331" s="9">
        <v>1174350.0</v>
      </c>
      <c r="W2331" s="9">
        <v>0.0</v>
      </c>
      <c r="X2331" s="9">
        <v>0.0</v>
      </c>
    </row>
    <row r="2332" ht="15.75" customHeight="1">
      <c r="A2332" s="9">
        <v>2069054.0</v>
      </c>
      <c r="B2332" s="9">
        <v>6113986.0</v>
      </c>
      <c r="C2332" s="9">
        <v>29926.0</v>
      </c>
      <c r="D2332" s="9" t="s">
        <v>52</v>
      </c>
      <c r="E2332" s="9" t="s">
        <v>53</v>
      </c>
      <c r="F2332" s="9">
        <v>70517.0</v>
      </c>
      <c r="G2332" s="9">
        <v>1.3148597E7</v>
      </c>
      <c r="H2332" s="9">
        <v>1.351183201E7</v>
      </c>
      <c r="I2332" s="9">
        <v>1.350877471E7</v>
      </c>
      <c r="J2332" s="9">
        <v>0.0</v>
      </c>
      <c r="K2332" s="9">
        <v>0.0</v>
      </c>
      <c r="L2332" s="9" t="s">
        <v>69</v>
      </c>
      <c r="M2332" s="9" t="s">
        <v>55</v>
      </c>
      <c r="N2332" s="9">
        <v>1.240302E7</v>
      </c>
      <c r="O2332" s="9">
        <v>1.237747928E7</v>
      </c>
      <c r="P2332" s="9">
        <v>493986.0</v>
      </c>
      <c r="Q2332" s="9">
        <v>493985.98</v>
      </c>
      <c r="R2332" s="9" t="s">
        <v>60</v>
      </c>
      <c r="S2332" s="9" t="s">
        <v>57</v>
      </c>
      <c r="T2332" s="9" t="s">
        <v>61</v>
      </c>
      <c r="V2332" s="9">
        <v>1.3587813E7</v>
      </c>
      <c r="W2332" s="9">
        <v>0.0</v>
      </c>
      <c r="X2332" s="9">
        <v>0.0</v>
      </c>
    </row>
    <row r="2333" ht="15.75" customHeight="1">
      <c r="A2333" s="9">
        <v>2436414.0</v>
      </c>
      <c r="B2333" s="9">
        <v>198800.47</v>
      </c>
      <c r="C2333" s="9">
        <v>43357.0</v>
      </c>
      <c r="D2333" s="9" t="s">
        <v>52</v>
      </c>
      <c r="E2333" s="9" t="s">
        <v>111</v>
      </c>
      <c r="F2333" s="9">
        <v>2436414.0</v>
      </c>
      <c r="G2333" s="9">
        <v>198800.47</v>
      </c>
      <c r="H2333" s="9">
        <v>202893.87</v>
      </c>
      <c r="I2333" s="9">
        <v>11098.47</v>
      </c>
      <c r="J2333" s="9">
        <v>0.0</v>
      </c>
      <c r="K2333" s="9">
        <v>0.0</v>
      </c>
      <c r="L2333" s="9" t="s">
        <v>59</v>
      </c>
      <c r="M2333" s="9" t="s">
        <v>55</v>
      </c>
      <c r="R2333" s="9" t="s">
        <v>56</v>
      </c>
      <c r="S2333" s="9" t="s">
        <v>57</v>
      </c>
      <c r="T2333" s="9" t="s">
        <v>58</v>
      </c>
    </row>
    <row r="2334" ht="15.75" customHeight="1">
      <c r="A2334" s="9">
        <v>2436421.0</v>
      </c>
      <c r="B2334" s="9">
        <v>146968.87</v>
      </c>
      <c r="C2334" s="9">
        <v>43366.0</v>
      </c>
      <c r="D2334" s="9" t="s">
        <v>52</v>
      </c>
      <c r="E2334" s="9" t="s">
        <v>111</v>
      </c>
      <c r="F2334" s="9">
        <v>2436421.0</v>
      </c>
      <c r="G2334" s="9">
        <v>146968.87</v>
      </c>
      <c r="H2334" s="9">
        <v>149301.37</v>
      </c>
      <c r="I2334" s="9">
        <v>1530.14</v>
      </c>
      <c r="J2334" s="9">
        <v>0.0</v>
      </c>
      <c r="K2334" s="9">
        <v>0.0</v>
      </c>
      <c r="L2334" s="9" t="s">
        <v>59</v>
      </c>
      <c r="M2334" s="9" t="s">
        <v>55</v>
      </c>
      <c r="R2334" s="9" t="s">
        <v>94</v>
      </c>
      <c r="S2334" s="9" t="s">
        <v>57</v>
      </c>
      <c r="T2334" s="9" t="s">
        <v>95</v>
      </c>
    </row>
    <row r="2335" ht="15.75" customHeight="1">
      <c r="A2335" s="9">
        <v>2436439.0</v>
      </c>
      <c r="B2335" s="9">
        <v>6712553.54</v>
      </c>
      <c r="C2335" s="9">
        <v>45573.0</v>
      </c>
      <c r="D2335" s="9" t="s">
        <v>52</v>
      </c>
      <c r="E2335" s="9" t="s">
        <v>53</v>
      </c>
      <c r="F2335" s="9">
        <v>2436439.0</v>
      </c>
      <c r="G2335" s="9">
        <v>5645971.37</v>
      </c>
      <c r="H2335" s="9">
        <v>5372307.72</v>
      </c>
      <c r="I2335" s="9">
        <v>4552803.0</v>
      </c>
      <c r="J2335" s="9">
        <v>0.0</v>
      </c>
      <c r="K2335" s="9">
        <v>0.0</v>
      </c>
      <c r="L2335" s="9" t="s">
        <v>69</v>
      </c>
      <c r="M2335" s="9" t="s">
        <v>55</v>
      </c>
      <c r="N2335" s="9">
        <v>5442312.62</v>
      </c>
      <c r="O2335" s="9">
        <v>4898081.36</v>
      </c>
      <c r="P2335" s="9">
        <v>233415.36</v>
      </c>
      <c r="Q2335" s="9">
        <v>210073.83</v>
      </c>
      <c r="R2335" s="9" t="s">
        <v>60</v>
      </c>
      <c r="S2335" s="9" t="s">
        <v>57</v>
      </c>
      <c r="T2335" s="9" t="s">
        <v>61</v>
      </c>
      <c r="V2335" s="9">
        <v>5162233.89</v>
      </c>
      <c r="W2335" s="9">
        <v>210073.83</v>
      </c>
      <c r="X2335" s="9">
        <v>0.0</v>
      </c>
    </row>
    <row r="2336" ht="15.75" customHeight="1">
      <c r="A2336" s="9">
        <v>2436464.0</v>
      </c>
      <c r="B2336" s="9">
        <v>100237.66</v>
      </c>
      <c r="C2336" s="9">
        <v>43325.0</v>
      </c>
      <c r="D2336" s="9" t="s">
        <v>52</v>
      </c>
      <c r="E2336" s="9" t="s">
        <v>111</v>
      </c>
      <c r="F2336" s="9">
        <v>2436464.0</v>
      </c>
      <c r="G2336" s="9">
        <v>100237.66</v>
      </c>
      <c r="H2336" s="9">
        <v>103071.86</v>
      </c>
      <c r="I2336" s="9">
        <v>3951.99</v>
      </c>
      <c r="J2336" s="9">
        <v>0.0</v>
      </c>
      <c r="K2336" s="9">
        <v>0.0</v>
      </c>
      <c r="L2336" s="9" t="s">
        <v>59</v>
      </c>
      <c r="M2336" s="9" t="s">
        <v>55</v>
      </c>
      <c r="R2336" s="9" t="s">
        <v>56</v>
      </c>
      <c r="S2336" s="9" t="s">
        <v>57</v>
      </c>
      <c r="T2336" s="9" t="s">
        <v>58</v>
      </c>
    </row>
    <row r="2337" ht="15.75" customHeight="1">
      <c r="A2337" s="9">
        <v>2436478.0</v>
      </c>
      <c r="B2337" s="9">
        <v>166587.59</v>
      </c>
      <c r="C2337" s="9">
        <v>43078.0</v>
      </c>
      <c r="D2337" s="9" t="s">
        <v>52</v>
      </c>
      <c r="E2337" s="9" t="s">
        <v>111</v>
      </c>
      <c r="F2337" s="9">
        <v>2436478.0</v>
      </c>
      <c r="G2337" s="9">
        <v>166587.59</v>
      </c>
      <c r="H2337" s="9">
        <v>170859.99</v>
      </c>
      <c r="I2337" s="9">
        <v>7476.94</v>
      </c>
      <c r="J2337" s="9">
        <v>0.0</v>
      </c>
      <c r="K2337" s="9">
        <v>0.0</v>
      </c>
      <c r="L2337" s="9" t="s">
        <v>59</v>
      </c>
      <c r="M2337" s="9" t="s">
        <v>55</v>
      </c>
      <c r="R2337" s="9" t="s">
        <v>56</v>
      </c>
      <c r="S2337" s="9" t="s">
        <v>57</v>
      </c>
      <c r="T2337" s="9" t="s">
        <v>58</v>
      </c>
    </row>
    <row r="2338" ht="15.75" customHeight="1">
      <c r="A2338" s="9">
        <v>2436832.0</v>
      </c>
      <c r="B2338" s="9">
        <v>247569.21</v>
      </c>
      <c r="C2338" s="9">
        <v>43354.0</v>
      </c>
      <c r="D2338" s="9" t="s">
        <v>52</v>
      </c>
      <c r="E2338" s="9" t="s">
        <v>111</v>
      </c>
      <c r="F2338" s="9">
        <v>2436832.0</v>
      </c>
      <c r="G2338" s="9">
        <v>247569.21</v>
      </c>
      <c r="H2338" s="9">
        <v>252311.51</v>
      </c>
      <c r="I2338" s="9">
        <v>2160.31</v>
      </c>
      <c r="J2338" s="9">
        <v>0.0</v>
      </c>
      <c r="K2338" s="9">
        <v>0.0</v>
      </c>
      <c r="L2338" s="9" t="s">
        <v>59</v>
      </c>
      <c r="M2338" s="9" t="s">
        <v>55</v>
      </c>
      <c r="R2338" s="9" t="s">
        <v>94</v>
      </c>
      <c r="S2338" s="9" t="s">
        <v>57</v>
      </c>
      <c r="T2338" s="9" t="s">
        <v>95</v>
      </c>
    </row>
    <row r="2339" ht="15.75" customHeight="1">
      <c r="A2339" s="9">
        <v>2436839.0</v>
      </c>
      <c r="B2339" s="9">
        <v>109716.21</v>
      </c>
      <c r="C2339" s="9">
        <v>43361.0</v>
      </c>
      <c r="D2339" s="9" t="s">
        <v>52</v>
      </c>
      <c r="E2339" s="9" t="s">
        <v>111</v>
      </c>
      <c r="F2339" s="9">
        <v>2436839.0</v>
      </c>
      <c r="G2339" s="9">
        <v>109716.21</v>
      </c>
      <c r="H2339" s="9">
        <v>111179.01</v>
      </c>
      <c r="I2339" s="9">
        <v>0.0</v>
      </c>
      <c r="J2339" s="9">
        <v>0.0</v>
      </c>
      <c r="K2339" s="9">
        <v>0.0</v>
      </c>
      <c r="L2339" s="9" t="s">
        <v>59</v>
      </c>
      <c r="M2339" s="9" t="s">
        <v>55</v>
      </c>
      <c r="R2339" s="9" t="s">
        <v>94</v>
      </c>
      <c r="S2339" s="9" t="s">
        <v>57</v>
      </c>
      <c r="T2339" s="9" t="s">
        <v>95</v>
      </c>
    </row>
    <row r="2340" ht="15.75" customHeight="1">
      <c r="A2340" s="9">
        <v>2436857.0</v>
      </c>
      <c r="B2340" s="9">
        <v>146896.98</v>
      </c>
      <c r="C2340" s="9">
        <v>43336.0</v>
      </c>
      <c r="D2340" s="9" t="s">
        <v>52</v>
      </c>
      <c r="E2340" s="9" t="s">
        <v>111</v>
      </c>
      <c r="F2340" s="9">
        <v>2436857.0</v>
      </c>
      <c r="G2340" s="9">
        <v>146896.98</v>
      </c>
      <c r="H2340" s="9">
        <v>150883.58</v>
      </c>
      <c r="I2340" s="9">
        <v>6983.4</v>
      </c>
      <c r="J2340" s="9">
        <v>0.0</v>
      </c>
      <c r="K2340" s="9">
        <v>0.0</v>
      </c>
      <c r="L2340" s="9" t="s">
        <v>59</v>
      </c>
      <c r="M2340" s="9" t="s">
        <v>55</v>
      </c>
      <c r="R2340" s="9" t="s">
        <v>94</v>
      </c>
      <c r="S2340" s="9" t="s">
        <v>57</v>
      </c>
      <c r="T2340" s="9" t="s">
        <v>95</v>
      </c>
    </row>
    <row r="2341" ht="15.75" customHeight="1">
      <c r="A2341" s="9">
        <v>2436871.0</v>
      </c>
      <c r="B2341" s="9">
        <v>131535.0</v>
      </c>
      <c r="C2341" s="9">
        <v>43063.0</v>
      </c>
      <c r="D2341" s="9" t="s">
        <v>52</v>
      </c>
      <c r="E2341" s="9" t="s">
        <v>111</v>
      </c>
      <c r="F2341" s="9">
        <v>2436871.0</v>
      </c>
      <c r="G2341" s="9">
        <v>131535.0</v>
      </c>
      <c r="H2341" s="9">
        <v>135114.8</v>
      </c>
      <c r="I2341" s="9">
        <v>7869.5</v>
      </c>
      <c r="J2341" s="9">
        <v>0.0</v>
      </c>
      <c r="K2341" s="9">
        <v>0.0</v>
      </c>
      <c r="L2341" s="9" t="s">
        <v>59</v>
      </c>
      <c r="M2341" s="9" t="s">
        <v>55</v>
      </c>
      <c r="R2341" s="9" t="s">
        <v>72</v>
      </c>
      <c r="S2341" s="9" t="s">
        <v>57</v>
      </c>
      <c r="T2341" s="9" t="s">
        <v>73</v>
      </c>
      <c r="V2341" s="9">
        <v>110019.44</v>
      </c>
    </row>
    <row r="2342" ht="15.75" customHeight="1">
      <c r="A2342" s="9">
        <v>2436882.0</v>
      </c>
      <c r="B2342" s="9">
        <v>161790.56</v>
      </c>
      <c r="C2342" s="9">
        <v>43368.0</v>
      </c>
      <c r="D2342" s="9" t="s">
        <v>52</v>
      </c>
      <c r="E2342" s="9" t="s">
        <v>111</v>
      </c>
      <c r="F2342" s="9">
        <v>2436882.0</v>
      </c>
      <c r="G2342" s="9">
        <v>161790.56</v>
      </c>
      <c r="H2342" s="9">
        <v>164940.26</v>
      </c>
      <c r="I2342" s="9">
        <v>7471.4</v>
      </c>
      <c r="J2342" s="9">
        <v>0.0</v>
      </c>
      <c r="K2342" s="9">
        <v>0.0</v>
      </c>
      <c r="L2342" s="9" t="s">
        <v>59</v>
      </c>
      <c r="M2342" s="9" t="s">
        <v>55</v>
      </c>
      <c r="R2342" s="9" t="s">
        <v>94</v>
      </c>
      <c r="S2342" s="9" t="s">
        <v>57</v>
      </c>
      <c r="T2342" s="9" t="s">
        <v>95</v>
      </c>
    </row>
    <row r="2343" ht="15.75" customHeight="1">
      <c r="A2343" s="9">
        <v>2437407.0</v>
      </c>
      <c r="B2343" s="9">
        <v>232472.63</v>
      </c>
      <c r="C2343" s="9">
        <v>43066.0</v>
      </c>
      <c r="D2343" s="9" t="s">
        <v>52</v>
      </c>
      <c r="E2343" s="9" t="s">
        <v>111</v>
      </c>
      <c r="F2343" s="9">
        <v>2437407.0</v>
      </c>
      <c r="G2343" s="9">
        <v>232472.63</v>
      </c>
      <c r="H2343" s="9">
        <v>237812.63</v>
      </c>
      <c r="I2343" s="9">
        <v>12909.0</v>
      </c>
      <c r="J2343" s="9">
        <v>0.0</v>
      </c>
      <c r="K2343" s="9">
        <v>0.0</v>
      </c>
      <c r="L2343" s="9" t="s">
        <v>59</v>
      </c>
      <c r="M2343" s="9" t="s">
        <v>55</v>
      </c>
      <c r="R2343" s="9" t="s">
        <v>56</v>
      </c>
      <c r="S2343" s="9" t="s">
        <v>57</v>
      </c>
      <c r="T2343" s="9" t="s">
        <v>58</v>
      </c>
    </row>
    <row r="2344" ht="15.75" customHeight="1">
      <c r="A2344" s="9">
        <v>2437414.0</v>
      </c>
      <c r="B2344" s="9">
        <v>1127162.13</v>
      </c>
      <c r="C2344" s="9">
        <v>43253.0</v>
      </c>
      <c r="D2344" s="9" t="s">
        <v>52</v>
      </c>
      <c r="E2344" s="9" t="s">
        <v>111</v>
      </c>
      <c r="F2344" s="9">
        <v>2437414.0</v>
      </c>
      <c r="G2344" s="9">
        <v>1127162.13</v>
      </c>
      <c r="H2344" s="9">
        <v>1139539.89</v>
      </c>
      <c r="I2344" s="9">
        <v>23512.0</v>
      </c>
      <c r="J2344" s="9">
        <v>0.0</v>
      </c>
      <c r="K2344" s="9">
        <v>0.0</v>
      </c>
      <c r="L2344" s="9" t="s">
        <v>59</v>
      </c>
      <c r="M2344" s="9" t="s">
        <v>55</v>
      </c>
      <c r="R2344" s="9" t="s">
        <v>56</v>
      </c>
      <c r="S2344" s="9" t="s">
        <v>57</v>
      </c>
      <c r="T2344" s="9" t="s">
        <v>58</v>
      </c>
    </row>
    <row r="2345" ht="15.75" customHeight="1">
      <c r="A2345" s="9">
        <v>2437607.0</v>
      </c>
      <c r="B2345" s="9">
        <v>67610.75</v>
      </c>
      <c r="C2345" s="9">
        <v>43335.0</v>
      </c>
      <c r="D2345" s="9" t="s">
        <v>52</v>
      </c>
      <c r="E2345" s="9" t="s">
        <v>111</v>
      </c>
      <c r="F2345" s="9">
        <v>2437607.0</v>
      </c>
      <c r="G2345" s="9">
        <v>67610.75</v>
      </c>
      <c r="H2345" s="9">
        <v>70092.15</v>
      </c>
      <c r="I2345" s="9">
        <v>4240.0</v>
      </c>
      <c r="J2345" s="9">
        <v>0.0</v>
      </c>
      <c r="K2345" s="9">
        <v>0.0</v>
      </c>
      <c r="L2345" s="9" t="s">
        <v>59</v>
      </c>
      <c r="M2345" s="9" t="s">
        <v>55</v>
      </c>
      <c r="R2345" s="9" t="s">
        <v>56</v>
      </c>
      <c r="S2345" s="9" t="s">
        <v>57</v>
      </c>
      <c r="T2345" s="9" t="s">
        <v>58</v>
      </c>
    </row>
    <row r="2346" ht="15.75" customHeight="1">
      <c r="A2346" s="9">
        <v>2437614.0</v>
      </c>
      <c r="B2346" s="9">
        <v>164094.42</v>
      </c>
      <c r="C2346" s="9">
        <v>43129.0</v>
      </c>
      <c r="D2346" s="9" t="s">
        <v>52</v>
      </c>
      <c r="E2346" s="9" t="s">
        <v>111</v>
      </c>
      <c r="F2346" s="9">
        <v>2437614.0</v>
      </c>
      <c r="G2346" s="9">
        <v>164094.42</v>
      </c>
      <c r="H2346" s="9">
        <v>165932.42</v>
      </c>
      <c r="I2346" s="9">
        <v>0.0</v>
      </c>
      <c r="J2346" s="9">
        <v>0.0</v>
      </c>
      <c r="K2346" s="9">
        <v>0.0</v>
      </c>
      <c r="L2346" s="9" t="s">
        <v>59</v>
      </c>
      <c r="M2346" s="9" t="s">
        <v>55</v>
      </c>
      <c r="R2346" s="9" t="s">
        <v>94</v>
      </c>
      <c r="S2346" s="9" t="s">
        <v>57</v>
      </c>
      <c r="T2346" s="9" t="s">
        <v>95</v>
      </c>
    </row>
    <row r="2347" ht="15.75" customHeight="1">
      <c r="A2347" s="9">
        <v>2437689.0</v>
      </c>
      <c r="B2347" s="9">
        <v>228992.01</v>
      </c>
      <c r="C2347" s="9">
        <v>43158.0</v>
      </c>
      <c r="D2347" s="9" t="s">
        <v>52</v>
      </c>
      <c r="E2347" s="9" t="s">
        <v>111</v>
      </c>
      <c r="F2347" s="9">
        <v>2437689.0</v>
      </c>
      <c r="G2347" s="9">
        <v>228992.01</v>
      </c>
      <c r="H2347" s="9">
        <v>233260.01</v>
      </c>
      <c r="I2347" s="9">
        <v>7752.58</v>
      </c>
      <c r="J2347" s="9">
        <v>0.0</v>
      </c>
      <c r="K2347" s="9">
        <v>0.0</v>
      </c>
      <c r="L2347" s="9" t="s">
        <v>59</v>
      </c>
      <c r="M2347" s="9" t="s">
        <v>55</v>
      </c>
      <c r="R2347" s="9" t="s">
        <v>94</v>
      </c>
      <c r="S2347" s="9" t="s">
        <v>57</v>
      </c>
      <c r="T2347" s="9" t="s">
        <v>95</v>
      </c>
    </row>
    <row r="2348" ht="15.75" customHeight="1">
      <c r="A2348" s="9">
        <v>2438500.0</v>
      </c>
      <c r="B2348" s="9">
        <v>341216.8</v>
      </c>
      <c r="C2348" s="9">
        <v>43375.0</v>
      </c>
      <c r="D2348" s="9" t="s">
        <v>52</v>
      </c>
      <c r="E2348" s="9" t="s">
        <v>111</v>
      </c>
      <c r="F2348" s="9">
        <v>2438500.0</v>
      </c>
      <c r="G2348" s="9">
        <v>341216.8</v>
      </c>
      <c r="H2348" s="9">
        <v>346636.9</v>
      </c>
      <c r="I2348" s="9">
        <v>14998.8</v>
      </c>
      <c r="J2348" s="9">
        <v>0.0</v>
      </c>
      <c r="K2348" s="9">
        <v>0.0</v>
      </c>
      <c r="L2348" s="9" t="s">
        <v>59</v>
      </c>
      <c r="M2348" s="9" t="s">
        <v>55</v>
      </c>
      <c r="R2348" s="9" t="s">
        <v>94</v>
      </c>
      <c r="S2348" s="9" t="s">
        <v>57</v>
      </c>
      <c r="T2348" s="9" t="s">
        <v>95</v>
      </c>
    </row>
    <row r="2349" ht="15.75" customHeight="1">
      <c r="A2349" s="9">
        <v>2438668.0</v>
      </c>
      <c r="B2349" s="9">
        <v>52411.34</v>
      </c>
      <c r="C2349" s="9">
        <v>43128.0</v>
      </c>
      <c r="D2349" s="9" t="s">
        <v>52</v>
      </c>
      <c r="E2349" s="9" t="s">
        <v>111</v>
      </c>
      <c r="F2349" s="9">
        <v>2438668.0</v>
      </c>
      <c r="G2349" s="9">
        <v>52411.34</v>
      </c>
      <c r="H2349" s="9">
        <v>54148.34</v>
      </c>
      <c r="I2349" s="9">
        <v>2027.2</v>
      </c>
      <c r="J2349" s="9">
        <v>0.0</v>
      </c>
      <c r="K2349" s="9">
        <v>0.0</v>
      </c>
      <c r="L2349" s="9" t="s">
        <v>59</v>
      </c>
      <c r="M2349" s="9" t="s">
        <v>55</v>
      </c>
      <c r="R2349" s="9" t="s">
        <v>56</v>
      </c>
      <c r="S2349" s="9" t="s">
        <v>57</v>
      </c>
      <c r="T2349" s="9" t="s">
        <v>58</v>
      </c>
    </row>
    <row r="2350" ht="15.75" customHeight="1">
      <c r="A2350" s="9">
        <v>2438675.0</v>
      </c>
      <c r="B2350" s="9">
        <v>103801.98</v>
      </c>
      <c r="C2350" s="9">
        <v>43349.0</v>
      </c>
      <c r="D2350" s="9" t="s">
        <v>52</v>
      </c>
      <c r="E2350" s="9" t="s">
        <v>111</v>
      </c>
      <c r="F2350" s="9">
        <v>2438675.0</v>
      </c>
      <c r="G2350" s="9">
        <v>103801.98</v>
      </c>
      <c r="H2350" s="9">
        <v>105264.78</v>
      </c>
      <c r="I2350" s="9">
        <v>3233.28</v>
      </c>
      <c r="J2350" s="9">
        <v>0.0</v>
      </c>
      <c r="K2350" s="9">
        <v>0.0</v>
      </c>
      <c r="L2350" s="9" t="s">
        <v>59</v>
      </c>
      <c r="M2350" s="9" t="s">
        <v>55</v>
      </c>
      <c r="R2350" s="9" t="s">
        <v>94</v>
      </c>
      <c r="S2350" s="9" t="s">
        <v>57</v>
      </c>
      <c r="T2350" s="9" t="s">
        <v>95</v>
      </c>
    </row>
    <row r="2351" ht="15.75" customHeight="1">
      <c r="A2351" s="9">
        <v>2438704.0</v>
      </c>
      <c r="B2351" s="9">
        <v>81303.56</v>
      </c>
      <c r="C2351" s="9">
        <v>43105.0</v>
      </c>
      <c r="D2351" s="9" t="s">
        <v>52</v>
      </c>
      <c r="E2351" s="9" t="s">
        <v>111</v>
      </c>
      <c r="F2351" s="9">
        <v>2438704.0</v>
      </c>
      <c r="G2351" s="9">
        <v>81303.56</v>
      </c>
      <c r="H2351" s="9">
        <v>84115.06</v>
      </c>
      <c r="I2351" s="9">
        <v>0.0</v>
      </c>
      <c r="J2351" s="9">
        <v>0.0</v>
      </c>
      <c r="K2351" s="9">
        <v>0.0</v>
      </c>
      <c r="L2351" s="9" t="s">
        <v>69</v>
      </c>
      <c r="M2351" s="9" t="s">
        <v>55</v>
      </c>
      <c r="R2351" s="9" t="s">
        <v>94</v>
      </c>
      <c r="S2351" s="9" t="s">
        <v>57</v>
      </c>
      <c r="T2351" s="9" t="s">
        <v>95</v>
      </c>
    </row>
    <row r="2352" ht="15.75" customHeight="1">
      <c r="A2352" s="9">
        <v>2438711.0</v>
      </c>
      <c r="B2352" s="9">
        <v>161494.59</v>
      </c>
      <c r="C2352" s="9">
        <v>43071.0</v>
      </c>
      <c r="D2352" s="9" t="s">
        <v>52</v>
      </c>
      <c r="E2352" s="9" t="s">
        <v>111</v>
      </c>
      <c r="F2352" s="9">
        <v>2438711.0</v>
      </c>
      <c r="G2352" s="9">
        <v>161494.59</v>
      </c>
      <c r="H2352" s="9">
        <v>165882.39</v>
      </c>
      <c r="I2352" s="9">
        <v>8311.41</v>
      </c>
      <c r="J2352" s="9">
        <v>0.0</v>
      </c>
      <c r="K2352" s="9">
        <v>0.0</v>
      </c>
      <c r="L2352" s="9" t="s">
        <v>59</v>
      </c>
      <c r="M2352" s="9" t="s">
        <v>55</v>
      </c>
      <c r="R2352" s="9" t="s">
        <v>56</v>
      </c>
      <c r="S2352" s="9" t="s">
        <v>57</v>
      </c>
      <c r="T2352" s="9" t="s">
        <v>58</v>
      </c>
    </row>
    <row r="2353" ht="15.75" customHeight="1">
      <c r="A2353" s="9">
        <v>2438718.0</v>
      </c>
      <c r="B2353" s="9">
        <v>93140.79</v>
      </c>
      <c r="C2353" s="9">
        <v>43204.0</v>
      </c>
      <c r="D2353" s="9" t="s">
        <v>52</v>
      </c>
      <c r="E2353" s="9" t="s">
        <v>111</v>
      </c>
      <c r="F2353" s="9">
        <v>2438718.0</v>
      </c>
      <c r="G2353" s="9">
        <v>93140.79</v>
      </c>
      <c r="H2353" s="9">
        <v>97849.13</v>
      </c>
      <c r="I2353" s="9">
        <v>0.0</v>
      </c>
      <c r="J2353" s="9">
        <v>0.0</v>
      </c>
      <c r="K2353" s="9">
        <v>0.0</v>
      </c>
      <c r="L2353" s="9" t="s">
        <v>59</v>
      </c>
      <c r="M2353" s="9" t="s">
        <v>55</v>
      </c>
      <c r="R2353" s="9" t="s">
        <v>141</v>
      </c>
      <c r="S2353" s="9" t="s">
        <v>101</v>
      </c>
      <c r="T2353" s="9" t="s">
        <v>142</v>
      </c>
    </row>
    <row r="2354" ht="15.75" customHeight="1">
      <c r="A2354" s="9">
        <v>2439193.0</v>
      </c>
      <c r="B2354" s="9">
        <v>120377.79</v>
      </c>
      <c r="C2354" s="9">
        <v>43213.0</v>
      </c>
      <c r="D2354" s="9" t="s">
        <v>52</v>
      </c>
      <c r="E2354" s="9" t="s">
        <v>111</v>
      </c>
      <c r="F2354" s="9">
        <v>2439193.0</v>
      </c>
      <c r="G2354" s="9">
        <v>120377.79</v>
      </c>
      <c r="H2354" s="9">
        <v>122181.29</v>
      </c>
      <c r="I2354" s="9">
        <v>4320.0</v>
      </c>
      <c r="J2354" s="9">
        <v>0.0</v>
      </c>
      <c r="K2354" s="9">
        <v>0.0</v>
      </c>
      <c r="L2354" s="9" t="s">
        <v>59</v>
      </c>
      <c r="M2354" s="9" t="s">
        <v>55</v>
      </c>
      <c r="R2354" s="9" t="s">
        <v>56</v>
      </c>
      <c r="S2354" s="9" t="s">
        <v>57</v>
      </c>
      <c r="T2354" s="9" t="s">
        <v>58</v>
      </c>
    </row>
    <row r="2355" ht="15.75" customHeight="1">
      <c r="A2355" s="9">
        <v>2069204.0</v>
      </c>
      <c r="B2355" s="9">
        <v>3338686.0</v>
      </c>
      <c r="C2355" s="9">
        <v>30240.0</v>
      </c>
      <c r="D2355" s="9" t="s">
        <v>52</v>
      </c>
      <c r="E2355" s="9" t="s">
        <v>53</v>
      </c>
      <c r="F2355" s="9">
        <v>70976.0</v>
      </c>
      <c r="G2355" s="9">
        <v>3100000.0</v>
      </c>
      <c r="H2355" s="9">
        <v>3100000.0</v>
      </c>
      <c r="I2355" s="9">
        <v>3192188.52</v>
      </c>
      <c r="J2355" s="9">
        <v>0.0</v>
      </c>
      <c r="K2355" s="9">
        <v>0.0</v>
      </c>
      <c r="L2355" s="9" t="s">
        <v>69</v>
      </c>
      <c r="M2355" s="9" t="s">
        <v>55</v>
      </c>
      <c r="N2355" s="9">
        <v>3361111.11</v>
      </c>
      <c r="O2355" s="9">
        <v>3025000.0</v>
      </c>
      <c r="P2355" s="9">
        <v>83333.33</v>
      </c>
      <c r="Q2355" s="9">
        <v>75000.0</v>
      </c>
      <c r="R2355" s="9" t="s">
        <v>60</v>
      </c>
      <c r="S2355" s="9" t="s">
        <v>57</v>
      </c>
      <c r="T2355" s="9" t="s">
        <v>61</v>
      </c>
      <c r="V2355" s="9">
        <v>3094864.56</v>
      </c>
      <c r="W2355" s="9">
        <v>0.0</v>
      </c>
      <c r="X2355" s="9">
        <v>0.0</v>
      </c>
    </row>
    <row r="2356" ht="15.75" customHeight="1">
      <c r="A2356" s="9">
        <v>2069390.0</v>
      </c>
      <c r="B2356" s="9">
        <v>1860704.0</v>
      </c>
      <c r="C2356" s="9">
        <v>30048.0</v>
      </c>
      <c r="D2356" s="9" t="s">
        <v>52</v>
      </c>
      <c r="E2356" s="9" t="s">
        <v>53</v>
      </c>
      <c r="F2356" s="9">
        <v>71516.0</v>
      </c>
      <c r="G2356" s="9">
        <v>1860704.0</v>
      </c>
      <c r="H2356" s="9">
        <v>1860704.0</v>
      </c>
      <c r="I2356" s="9">
        <v>1869417.36</v>
      </c>
      <c r="J2356" s="9">
        <v>0.0</v>
      </c>
      <c r="K2356" s="9">
        <v>0.0</v>
      </c>
      <c r="L2356" s="9" t="s">
        <v>69</v>
      </c>
      <c r="M2356" s="9" t="s">
        <v>55</v>
      </c>
      <c r="N2356" s="9">
        <v>1860704.0</v>
      </c>
      <c r="O2356" s="9">
        <v>1860704.0</v>
      </c>
      <c r="P2356" s="9">
        <v>52134.34</v>
      </c>
      <c r="Q2356" s="9">
        <v>52134.34</v>
      </c>
      <c r="R2356" s="9" t="s">
        <v>56</v>
      </c>
      <c r="S2356" s="9" t="s">
        <v>57</v>
      </c>
      <c r="T2356" s="9" t="s">
        <v>58</v>
      </c>
      <c r="V2356" s="9">
        <v>1760704.0</v>
      </c>
      <c r="W2356" s="9">
        <v>52134.34</v>
      </c>
      <c r="X2356" s="9">
        <v>0.0</v>
      </c>
    </row>
    <row r="2357" ht="15.75" customHeight="1">
      <c r="A2357" s="9">
        <v>2069697.0</v>
      </c>
      <c r="B2357" s="9">
        <v>1295184.0</v>
      </c>
      <c r="C2357" s="9">
        <v>31207.0</v>
      </c>
      <c r="D2357" s="9" t="s">
        <v>52</v>
      </c>
      <c r="E2357" s="9" t="s">
        <v>53</v>
      </c>
      <c r="F2357" s="9">
        <v>72449.0</v>
      </c>
      <c r="G2357" s="9">
        <v>1295184.0</v>
      </c>
      <c r="H2357" s="9">
        <v>1295184.0</v>
      </c>
      <c r="I2357" s="9">
        <v>0.0</v>
      </c>
      <c r="J2357" s="9">
        <v>0.0</v>
      </c>
      <c r="K2357" s="9">
        <v>0.0</v>
      </c>
      <c r="L2357" s="9" t="s">
        <v>54</v>
      </c>
      <c r="M2357" s="9" t="s">
        <v>55</v>
      </c>
      <c r="R2357" s="9" t="s">
        <v>72</v>
      </c>
      <c r="S2357" s="9" t="s">
        <v>57</v>
      </c>
      <c r="T2357" s="9" t="s">
        <v>73</v>
      </c>
      <c r="V2357" s="9">
        <v>1012170.39</v>
      </c>
      <c r="W2357" s="9">
        <v>0.0</v>
      </c>
      <c r="X2357" s="9">
        <v>0.0</v>
      </c>
    </row>
    <row r="2358" ht="15.75" customHeight="1">
      <c r="A2358" s="9">
        <v>2069783.0</v>
      </c>
      <c r="B2358" s="9">
        <v>4298653.0</v>
      </c>
      <c r="C2358" s="9">
        <v>30049.0</v>
      </c>
      <c r="D2358" s="9" t="s">
        <v>52</v>
      </c>
      <c r="E2358" s="9" t="s">
        <v>53</v>
      </c>
      <c r="F2358" s="9">
        <v>72697.0</v>
      </c>
      <c r="G2358" s="9">
        <v>4298653.0</v>
      </c>
      <c r="H2358" s="9">
        <v>4298653.0</v>
      </c>
      <c r="I2358" s="9">
        <v>4336095.69</v>
      </c>
      <c r="J2358" s="9">
        <v>0.0</v>
      </c>
      <c r="K2358" s="9">
        <v>0.0</v>
      </c>
      <c r="L2358" s="9" t="s">
        <v>59</v>
      </c>
      <c r="M2358" s="9" t="s">
        <v>55</v>
      </c>
      <c r="N2358" s="9">
        <v>4026203.69</v>
      </c>
      <c r="O2358" s="9">
        <v>4026203.69</v>
      </c>
      <c r="P2358" s="9">
        <v>151360.86</v>
      </c>
      <c r="Q2358" s="9">
        <v>151360.86</v>
      </c>
      <c r="R2358" s="9" t="s">
        <v>94</v>
      </c>
      <c r="S2358" s="9" t="s">
        <v>57</v>
      </c>
      <c r="T2358" s="9" t="s">
        <v>95</v>
      </c>
    </row>
    <row r="2359" ht="15.75" customHeight="1">
      <c r="A2359" s="9">
        <v>2069808.0</v>
      </c>
      <c r="B2359" s="9">
        <v>2720966.0</v>
      </c>
      <c r="C2359" s="9">
        <v>33965.0</v>
      </c>
      <c r="D2359" s="9" t="s">
        <v>52</v>
      </c>
      <c r="E2359" s="9" t="s">
        <v>53</v>
      </c>
      <c r="F2359" s="9">
        <v>72757.0</v>
      </c>
      <c r="G2359" s="9">
        <v>3719509.96</v>
      </c>
      <c r="H2359" s="9">
        <v>3719509.96</v>
      </c>
      <c r="I2359" s="9">
        <v>3639441.0</v>
      </c>
      <c r="J2359" s="9">
        <v>0.0</v>
      </c>
      <c r="K2359" s="9">
        <v>0.0</v>
      </c>
      <c r="L2359" s="9" t="s">
        <v>59</v>
      </c>
      <c r="M2359" s="9" t="s">
        <v>62</v>
      </c>
      <c r="N2359" s="9">
        <v>916550.34</v>
      </c>
      <c r="O2359" s="9">
        <v>916550.34</v>
      </c>
      <c r="P2359" s="9">
        <v>54993.02</v>
      </c>
      <c r="Q2359" s="9">
        <v>54993.02</v>
      </c>
      <c r="R2359" s="9" t="s">
        <v>60</v>
      </c>
      <c r="S2359" s="9" t="s">
        <v>57</v>
      </c>
      <c r="T2359" s="9" t="s">
        <v>61</v>
      </c>
      <c r="V2359" s="9">
        <v>905694.89</v>
      </c>
      <c r="W2359" s="9">
        <v>48698.13</v>
      </c>
      <c r="X2359" s="9">
        <v>0.0</v>
      </c>
    </row>
    <row r="2360" ht="15.75" customHeight="1">
      <c r="A2360" s="9">
        <v>2069890.0</v>
      </c>
      <c r="B2360" s="9">
        <v>1676514.0</v>
      </c>
      <c r="C2360" s="9">
        <v>30249.0</v>
      </c>
      <c r="D2360" s="9" t="s">
        <v>52</v>
      </c>
      <c r="E2360" s="9" t="s">
        <v>53</v>
      </c>
      <c r="F2360" s="9">
        <v>72976.0</v>
      </c>
      <c r="G2360" s="9">
        <v>1684454.17</v>
      </c>
      <c r="H2360" s="9">
        <v>1684454.17</v>
      </c>
      <c r="I2360" s="9">
        <v>1676514.0</v>
      </c>
      <c r="J2360" s="9">
        <v>0.0</v>
      </c>
      <c r="K2360" s="9">
        <v>0.0</v>
      </c>
      <c r="L2360" s="9" t="s">
        <v>59</v>
      </c>
      <c r="M2360" s="9" t="s">
        <v>55</v>
      </c>
      <c r="N2360" s="9">
        <v>1607479.0</v>
      </c>
      <c r="O2360" s="9">
        <v>1607479.0</v>
      </c>
      <c r="P2360" s="9">
        <v>1607479.0</v>
      </c>
      <c r="Q2360" s="9">
        <v>69035.0</v>
      </c>
      <c r="R2360" s="9" t="s">
        <v>60</v>
      </c>
      <c r="S2360" s="9" t="s">
        <v>57</v>
      </c>
      <c r="T2360" s="9" t="s">
        <v>61</v>
      </c>
      <c r="V2360" s="9">
        <v>1676514.3</v>
      </c>
      <c r="W2360" s="9">
        <v>0.0</v>
      </c>
      <c r="X2360" s="9">
        <v>0.0</v>
      </c>
    </row>
    <row r="2361" ht="15.75" customHeight="1">
      <c r="A2361" s="9">
        <v>2070608.0</v>
      </c>
      <c r="B2361" s="9">
        <v>4539087.0</v>
      </c>
      <c r="C2361" s="9">
        <v>30669.0</v>
      </c>
      <c r="D2361" s="9" t="s">
        <v>52</v>
      </c>
      <c r="E2361" s="9" t="s">
        <v>53</v>
      </c>
      <c r="F2361" s="9">
        <v>74936.0</v>
      </c>
      <c r="G2361" s="9">
        <v>4915324.32</v>
      </c>
      <c r="H2361" s="9">
        <v>4915324.32</v>
      </c>
      <c r="I2361" s="9">
        <v>4835166.42</v>
      </c>
      <c r="J2361" s="9">
        <v>0.0</v>
      </c>
      <c r="K2361" s="9">
        <v>0.0</v>
      </c>
      <c r="L2361" s="9" t="s">
        <v>69</v>
      </c>
      <c r="M2361" s="9" t="s">
        <v>55</v>
      </c>
      <c r="N2361" s="9">
        <v>4376739.4</v>
      </c>
      <c r="O2361" s="9">
        <v>4080000.0</v>
      </c>
      <c r="P2361" s="9">
        <v>336595.0</v>
      </c>
      <c r="Q2361" s="9">
        <v>285250.0</v>
      </c>
      <c r="R2361" s="9" t="s">
        <v>60</v>
      </c>
      <c r="S2361" s="9" t="s">
        <v>57</v>
      </c>
      <c r="T2361" s="9" t="s">
        <v>61</v>
      </c>
      <c r="V2361" s="9">
        <v>4492848.11</v>
      </c>
      <c r="W2361" s="9">
        <v>312692.45</v>
      </c>
      <c r="X2361" s="9">
        <v>0.0</v>
      </c>
    </row>
    <row r="2362" ht="15.75" customHeight="1">
      <c r="A2362" s="9">
        <v>2070658.0</v>
      </c>
      <c r="B2362" s="9">
        <v>5604228.0</v>
      </c>
      <c r="C2362" s="9">
        <v>30961.0</v>
      </c>
      <c r="D2362" s="9" t="s">
        <v>52</v>
      </c>
      <c r="E2362" s="9" t="s">
        <v>53</v>
      </c>
      <c r="F2362" s="9">
        <v>75067.0</v>
      </c>
      <c r="G2362" s="9">
        <v>5985164.25</v>
      </c>
      <c r="H2362" s="9">
        <v>5985164.25</v>
      </c>
      <c r="I2362" s="9">
        <v>10000.0</v>
      </c>
      <c r="J2362" s="9">
        <v>0.0</v>
      </c>
      <c r="K2362" s="9">
        <v>0.0</v>
      </c>
      <c r="L2362" s="9" t="s">
        <v>69</v>
      </c>
      <c r="M2362" s="9" t="s">
        <v>55</v>
      </c>
      <c r="N2362" s="9">
        <v>5664042.58</v>
      </c>
      <c r="O2362" s="9">
        <v>5211871.11</v>
      </c>
      <c r="P2362" s="9">
        <v>321121.67</v>
      </c>
      <c r="Q2362" s="9">
        <v>269850.14</v>
      </c>
      <c r="R2362" s="9" t="s">
        <v>60</v>
      </c>
      <c r="S2362" s="9" t="s">
        <v>57</v>
      </c>
      <c r="T2362" s="9" t="s">
        <v>61</v>
      </c>
      <c r="V2362" s="9">
        <v>5683922.05</v>
      </c>
      <c r="W2362" s="9">
        <v>191885.95</v>
      </c>
      <c r="X2362" s="9">
        <v>0.0</v>
      </c>
    </row>
    <row r="2363" ht="15.75" customHeight="1">
      <c r="A2363" s="9">
        <v>2071598.0</v>
      </c>
      <c r="B2363" s="9">
        <v>3636753.0</v>
      </c>
      <c r="C2363" s="9">
        <v>29545.0</v>
      </c>
      <c r="D2363" s="9" t="s">
        <v>52</v>
      </c>
      <c r="E2363" s="9" t="s">
        <v>53</v>
      </c>
      <c r="F2363" s="9">
        <v>77574.0</v>
      </c>
      <c r="G2363" s="9">
        <v>3636753.0</v>
      </c>
      <c r="H2363" s="9">
        <v>3636753.0</v>
      </c>
      <c r="I2363" s="9">
        <v>4362995.0</v>
      </c>
      <c r="J2363" s="9">
        <v>0.0</v>
      </c>
      <c r="K2363" s="9">
        <v>0.0</v>
      </c>
      <c r="L2363" s="9" t="s">
        <v>59</v>
      </c>
      <c r="M2363" s="9" t="s">
        <v>65</v>
      </c>
      <c r="N2363" s="9">
        <v>109000.0</v>
      </c>
      <c r="O2363" s="9">
        <v>109000.0</v>
      </c>
      <c r="R2363" s="9" t="s">
        <v>92</v>
      </c>
      <c r="S2363" s="9" t="s">
        <v>57</v>
      </c>
      <c r="T2363" s="9" t="s">
        <v>93</v>
      </c>
    </row>
    <row r="2364" ht="15.75" customHeight="1">
      <c r="A2364" s="9">
        <v>2072030.0</v>
      </c>
      <c r="B2364" s="9">
        <v>2644690.0</v>
      </c>
      <c r="C2364" s="9">
        <v>29556.0</v>
      </c>
      <c r="D2364" s="9" t="s">
        <v>52</v>
      </c>
      <c r="E2364" s="9" t="s">
        <v>53</v>
      </c>
      <c r="F2364" s="9">
        <v>78793.0</v>
      </c>
      <c r="G2364" s="9">
        <v>3193792.93</v>
      </c>
      <c r="H2364" s="9">
        <v>2664690.0</v>
      </c>
      <c r="I2364" s="9">
        <v>2256255.24</v>
      </c>
      <c r="J2364" s="9">
        <v>0.0</v>
      </c>
      <c r="K2364" s="9">
        <v>0.0</v>
      </c>
      <c r="L2364" s="9" t="s">
        <v>69</v>
      </c>
      <c r="M2364" s="9" t="s">
        <v>65</v>
      </c>
      <c r="N2364" s="9">
        <v>71000.0</v>
      </c>
      <c r="O2364" s="9">
        <v>65630.25</v>
      </c>
      <c r="R2364" s="9" t="s">
        <v>92</v>
      </c>
      <c r="S2364" s="9" t="s">
        <v>57</v>
      </c>
      <c r="T2364" s="9" t="s">
        <v>93</v>
      </c>
    </row>
    <row r="2365" ht="15.75" customHeight="1">
      <c r="A2365" s="9">
        <v>2073073.0</v>
      </c>
      <c r="B2365" s="9">
        <v>9856421.0</v>
      </c>
      <c r="C2365" s="9">
        <v>44726.0</v>
      </c>
      <c r="D2365" s="9" t="s">
        <v>52</v>
      </c>
      <c r="E2365" s="9" t="s">
        <v>53</v>
      </c>
      <c r="F2365" s="9">
        <v>81564.0</v>
      </c>
      <c r="G2365" s="9">
        <v>1.2535543E7</v>
      </c>
      <c r="H2365" s="9">
        <v>1.157923166E7</v>
      </c>
      <c r="I2365" s="9">
        <v>9998844.99</v>
      </c>
      <c r="J2365" s="9">
        <v>16000.0</v>
      </c>
      <c r="K2365" s="9">
        <v>16000.0</v>
      </c>
      <c r="L2365" s="9" t="s">
        <v>59</v>
      </c>
      <c r="M2365" s="9" t="s">
        <v>74</v>
      </c>
      <c r="N2365" s="9">
        <v>621556.68</v>
      </c>
      <c r="O2365" s="9">
        <v>621556.68</v>
      </c>
      <c r="P2365" s="9">
        <v>352492.79</v>
      </c>
      <c r="Q2365" s="9">
        <v>352492.79</v>
      </c>
      <c r="R2365" s="9" t="s">
        <v>63</v>
      </c>
      <c r="S2365" s="9" t="s">
        <v>63</v>
      </c>
    </row>
    <row r="2366" ht="15.75" customHeight="1">
      <c r="A2366" s="9">
        <v>2073502.0</v>
      </c>
      <c r="B2366" s="9">
        <v>117215.0</v>
      </c>
      <c r="C2366" s="9">
        <v>31149.0</v>
      </c>
      <c r="D2366" s="9" t="s">
        <v>52</v>
      </c>
      <c r="E2366" s="9" t="s">
        <v>53</v>
      </c>
      <c r="F2366" s="9">
        <v>82823.0</v>
      </c>
      <c r="G2366" s="9">
        <v>117215.0</v>
      </c>
      <c r="H2366" s="9">
        <v>117215.0</v>
      </c>
      <c r="I2366" s="9">
        <v>3950.0</v>
      </c>
      <c r="J2366" s="9">
        <v>0.0</v>
      </c>
      <c r="K2366" s="9">
        <v>0.0</v>
      </c>
      <c r="L2366" s="9" t="s">
        <v>59</v>
      </c>
      <c r="M2366" s="9" t="s">
        <v>55</v>
      </c>
      <c r="R2366" s="9" t="s">
        <v>60</v>
      </c>
      <c r="S2366" s="9" t="s">
        <v>57</v>
      </c>
      <c r="T2366" s="9" t="s">
        <v>61</v>
      </c>
      <c r="V2366" s="9">
        <v>113782.0</v>
      </c>
      <c r="W2366" s="9">
        <v>0.0</v>
      </c>
      <c r="X2366" s="9">
        <v>0.0</v>
      </c>
    </row>
    <row r="2367" ht="15.75" customHeight="1">
      <c r="A2367" s="9">
        <v>2074427.0</v>
      </c>
      <c r="B2367" s="9">
        <v>1306050.0</v>
      </c>
      <c r="C2367" s="9">
        <v>30537.0</v>
      </c>
      <c r="D2367" s="9" t="s">
        <v>52</v>
      </c>
      <c r="E2367" s="9" t="s">
        <v>53</v>
      </c>
      <c r="F2367" s="9">
        <v>85017.0</v>
      </c>
      <c r="G2367" s="9">
        <v>1420239.0</v>
      </c>
      <c r="H2367" s="9">
        <v>1420239.0</v>
      </c>
      <c r="I2367" s="9">
        <v>1520584.36</v>
      </c>
      <c r="J2367" s="9">
        <v>0.0</v>
      </c>
      <c r="K2367" s="9">
        <v>0.0</v>
      </c>
      <c r="L2367" s="9" t="s">
        <v>59</v>
      </c>
      <c r="M2367" s="9" t="s">
        <v>55</v>
      </c>
      <c r="N2367" s="9">
        <v>1295742.17</v>
      </c>
      <c r="O2367" s="9">
        <v>1295742.17</v>
      </c>
      <c r="P2367" s="9">
        <v>90738.26</v>
      </c>
      <c r="Q2367" s="9">
        <v>90738.26</v>
      </c>
      <c r="R2367" s="9" t="s">
        <v>56</v>
      </c>
      <c r="S2367" s="9" t="s">
        <v>57</v>
      </c>
      <c r="T2367" s="9" t="s">
        <v>58</v>
      </c>
      <c r="V2367" s="9">
        <v>1092817.03</v>
      </c>
      <c r="W2367" s="9">
        <v>90738.26</v>
      </c>
      <c r="X2367" s="9">
        <v>0.0</v>
      </c>
    </row>
    <row r="2368" ht="15.75" customHeight="1">
      <c r="A2368" s="9">
        <v>2075856.0</v>
      </c>
      <c r="B2368" s="9">
        <v>878781.0</v>
      </c>
      <c r="C2368" s="9">
        <v>29735.0</v>
      </c>
      <c r="D2368" s="9" t="s">
        <v>52</v>
      </c>
      <c r="E2368" s="9" t="s">
        <v>53</v>
      </c>
      <c r="F2368" s="9">
        <v>89214.0</v>
      </c>
      <c r="G2368" s="9">
        <v>882558.77</v>
      </c>
      <c r="H2368" s="9">
        <v>882558.77</v>
      </c>
      <c r="I2368" s="9">
        <v>26363.0</v>
      </c>
      <c r="J2368" s="9">
        <v>0.0</v>
      </c>
      <c r="K2368" s="9">
        <v>0.0</v>
      </c>
      <c r="L2368" s="9" t="s">
        <v>69</v>
      </c>
      <c r="M2368" s="9" t="s">
        <v>65</v>
      </c>
      <c r="N2368" s="9">
        <v>26363.0</v>
      </c>
      <c r="O2368" s="9">
        <v>26363.0</v>
      </c>
      <c r="R2368" s="9" t="s">
        <v>60</v>
      </c>
      <c r="S2368" s="9" t="s">
        <v>57</v>
      </c>
      <c r="T2368" s="9" t="s">
        <v>61</v>
      </c>
      <c r="V2368" s="9">
        <v>26363.0</v>
      </c>
      <c r="W2368" s="9">
        <v>0.0</v>
      </c>
    </row>
    <row r="2369" ht="15.75" customHeight="1">
      <c r="A2369" s="9">
        <v>2076560.0</v>
      </c>
      <c r="B2369" s="9">
        <v>4720270.0</v>
      </c>
      <c r="C2369" s="9">
        <v>30186.0</v>
      </c>
      <c r="D2369" s="9" t="s">
        <v>52</v>
      </c>
      <c r="E2369" s="9" t="s">
        <v>53</v>
      </c>
      <c r="F2369" s="9">
        <v>91182.0</v>
      </c>
      <c r="G2369" s="9">
        <v>5188477.96</v>
      </c>
      <c r="H2369" s="9">
        <v>5188477.96</v>
      </c>
      <c r="I2369" s="9">
        <v>4994393.39</v>
      </c>
      <c r="J2369" s="9">
        <v>0.0</v>
      </c>
      <c r="K2369" s="9">
        <v>0.0</v>
      </c>
      <c r="L2369" s="9" t="s">
        <v>59</v>
      </c>
      <c r="M2369" s="9" t="s">
        <v>55</v>
      </c>
      <c r="N2369" s="9">
        <v>4515394.0</v>
      </c>
      <c r="O2369" s="9">
        <v>4515394.0</v>
      </c>
      <c r="P2369" s="9">
        <v>330200.0</v>
      </c>
      <c r="Q2369" s="9">
        <v>326000.0</v>
      </c>
      <c r="R2369" s="9" t="s">
        <v>60</v>
      </c>
      <c r="S2369" s="9" t="s">
        <v>57</v>
      </c>
      <c r="T2369" s="9" t="s">
        <v>61</v>
      </c>
      <c r="V2369" s="9">
        <v>4515394.0</v>
      </c>
      <c r="W2369" s="9">
        <v>326000.0</v>
      </c>
      <c r="X2369" s="9">
        <v>0.0</v>
      </c>
    </row>
    <row r="2370" ht="15.75" customHeight="1">
      <c r="A2370" s="9">
        <v>2078482.0</v>
      </c>
      <c r="B2370" s="9">
        <v>4.21092389E8</v>
      </c>
      <c r="C2370" s="9">
        <v>46790.0</v>
      </c>
      <c r="D2370" s="9" t="s">
        <v>52</v>
      </c>
      <c r="E2370" s="9" t="s">
        <v>53</v>
      </c>
      <c r="F2370" s="9">
        <v>65891.0</v>
      </c>
      <c r="G2370" s="9">
        <v>33600.0</v>
      </c>
      <c r="H2370" s="9">
        <v>256666.0</v>
      </c>
      <c r="I2370" s="9">
        <v>7.3759440557E8</v>
      </c>
      <c r="J2370" s="9">
        <v>0.0</v>
      </c>
      <c r="K2370" s="9">
        <v>0.0</v>
      </c>
      <c r="L2370" s="9" t="s">
        <v>59</v>
      </c>
      <c r="M2370" s="9" t="s">
        <v>55</v>
      </c>
      <c r="O2370" s="9">
        <v>2.5505972284E8</v>
      </c>
      <c r="R2370" s="9" t="s">
        <v>109</v>
      </c>
      <c r="S2370" s="9" t="s">
        <v>78</v>
      </c>
      <c r="T2370" s="9" t="s">
        <v>79</v>
      </c>
      <c r="U2370" s="9" t="s">
        <v>110</v>
      </c>
    </row>
    <row r="2371" ht="15.75" customHeight="1">
      <c r="A2371" s="9">
        <v>2081322.0</v>
      </c>
      <c r="B2371" s="9">
        <v>5.6123852E7</v>
      </c>
      <c r="C2371" s="9">
        <v>31601.0</v>
      </c>
      <c r="D2371" s="9" t="s">
        <v>52</v>
      </c>
      <c r="E2371" s="9" t="s">
        <v>53</v>
      </c>
      <c r="F2371" s="9">
        <v>89319.0</v>
      </c>
      <c r="G2371" s="9">
        <v>6.73486224E7</v>
      </c>
      <c r="H2371" s="9">
        <v>6.73486224E7</v>
      </c>
      <c r="I2371" s="9">
        <v>6.067894549E7</v>
      </c>
      <c r="J2371" s="9">
        <v>0.0</v>
      </c>
      <c r="K2371" s="9">
        <v>34200.0</v>
      </c>
      <c r="L2371" s="9" t="s">
        <v>59</v>
      </c>
      <c r="M2371" s="9" t="s">
        <v>55</v>
      </c>
      <c r="N2371" s="9">
        <v>1.59549139E7</v>
      </c>
      <c r="O2371" s="9">
        <v>1.59400346E7</v>
      </c>
      <c r="P2371" s="9">
        <v>0.0</v>
      </c>
      <c r="Q2371" s="9">
        <v>0.0</v>
      </c>
      <c r="R2371" s="9" t="s">
        <v>60</v>
      </c>
      <c r="S2371" s="9" t="s">
        <v>57</v>
      </c>
      <c r="T2371" s="9" t="s">
        <v>61</v>
      </c>
      <c r="V2371" s="9">
        <v>1.66908876E7</v>
      </c>
      <c r="W2371" s="9">
        <v>321002.73</v>
      </c>
      <c r="X2371" s="9">
        <v>0.0</v>
      </c>
    </row>
    <row r="2372" ht="15.75" customHeight="1">
      <c r="A2372" s="9">
        <v>2081783.0</v>
      </c>
      <c r="B2372" s="9">
        <v>674684.0</v>
      </c>
      <c r="C2372" s="9">
        <v>30788.0</v>
      </c>
      <c r="D2372" s="9" t="s">
        <v>52</v>
      </c>
      <c r="E2372" s="9" t="s">
        <v>53</v>
      </c>
      <c r="F2372" s="9">
        <v>62191.0</v>
      </c>
      <c r="G2372" s="9">
        <v>716270.0</v>
      </c>
      <c r="H2372" s="9">
        <v>716270.0</v>
      </c>
      <c r="I2372" s="9">
        <v>1173402.32</v>
      </c>
      <c r="J2372" s="9">
        <v>0.0</v>
      </c>
      <c r="K2372" s="9">
        <v>0.0</v>
      </c>
      <c r="L2372" s="9" t="s">
        <v>59</v>
      </c>
      <c r="M2372" s="9" t="s">
        <v>55</v>
      </c>
      <c r="N2372" s="9">
        <v>401826.65</v>
      </c>
      <c r="O2372" s="9">
        <v>401826.65</v>
      </c>
      <c r="R2372" s="9" t="s">
        <v>56</v>
      </c>
      <c r="S2372" s="9" t="s">
        <v>57</v>
      </c>
      <c r="T2372" s="9" t="s">
        <v>58</v>
      </c>
      <c r="V2372" s="9">
        <v>398185.32</v>
      </c>
      <c r="W2372" s="9">
        <v>14725.0</v>
      </c>
      <c r="X2372" s="9">
        <v>0.0</v>
      </c>
    </row>
    <row r="2373" ht="15.75" customHeight="1">
      <c r="A2373" s="9">
        <v>2082651.0</v>
      </c>
      <c r="B2373" s="9">
        <v>922185.0</v>
      </c>
      <c r="C2373" s="9">
        <v>31547.0</v>
      </c>
      <c r="D2373" s="9" t="s">
        <v>52</v>
      </c>
      <c r="E2373" s="9" t="s">
        <v>53</v>
      </c>
      <c r="F2373" s="9">
        <v>82222.0</v>
      </c>
      <c r="G2373" s="9">
        <v>992473.28</v>
      </c>
      <c r="H2373" s="9">
        <v>992473.28</v>
      </c>
      <c r="I2373" s="9">
        <v>991444.07</v>
      </c>
      <c r="J2373" s="9">
        <v>0.0</v>
      </c>
      <c r="K2373" s="9">
        <v>0.0</v>
      </c>
      <c r="L2373" s="9" t="s">
        <v>69</v>
      </c>
      <c r="M2373" s="9" t="s">
        <v>55</v>
      </c>
      <c r="R2373" s="9" t="s">
        <v>60</v>
      </c>
      <c r="S2373" s="9" t="s">
        <v>57</v>
      </c>
      <c r="T2373" s="9" t="s">
        <v>61</v>
      </c>
      <c r="V2373" s="9">
        <v>988798.71</v>
      </c>
      <c r="W2373" s="9">
        <v>0.0</v>
      </c>
      <c r="X2373" s="9">
        <v>0.0</v>
      </c>
    </row>
    <row r="2374" ht="15.75" customHeight="1">
      <c r="A2374" s="9">
        <v>2082733.0</v>
      </c>
      <c r="B2374" s="9">
        <v>1735238.0</v>
      </c>
      <c r="C2374" s="9">
        <v>30883.0</v>
      </c>
      <c r="D2374" s="9" t="s">
        <v>52</v>
      </c>
      <c r="E2374" s="9" t="s">
        <v>53</v>
      </c>
      <c r="F2374" s="9">
        <v>88664.0</v>
      </c>
      <c r="G2374" s="9">
        <v>2384412.0</v>
      </c>
      <c r="H2374" s="9">
        <v>2384412.0</v>
      </c>
      <c r="I2374" s="9">
        <v>2242678.92</v>
      </c>
      <c r="J2374" s="9">
        <v>0.0</v>
      </c>
      <c r="K2374" s="9">
        <v>0.0</v>
      </c>
      <c r="L2374" s="9" t="s">
        <v>59</v>
      </c>
      <c r="M2374" s="9" t="s">
        <v>55</v>
      </c>
      <c r="N2374" s="9">
        <v>2314962.83</v>
      </c>
      <c r="O2374" s="9">
        <v>2158003.0</v>
      </c>
      <c r="P2374" s="9">
        <v>69449.0</v>
      </c>
      <c r="Q2374" s="9">
        <v>64740.59</v>
      </c>
      <c r="R2374" s="9" t="s">
        <v>60</v>
      </c>
      <c r="S2374" s="9" t="s">
        <v>57</v>
      </c>
      <c r="T2374" s="9" t="s">
        <v>61</v>
      </c>
      <c r="V2374" s="9">
        <v>2692290.06</v>
      </c>
      <c r="W2374" s="9">
        <v>64740.59</v>
      </c>
      <c r="X2374" s="9">
        <v>0.0</v>
      </c>
    </row>
    <row r="2375" ht="15.75" customHeight="1">
      <c r="A2375" s="9">
        <v>2084698.0</v>
      </c>
      <c r="B2375" s="9">
        <v>2.6489916E7</v>
      </c>
      <c r="C2375" s="9">
        <v>37489.0</v>
      </c>
      <c r="D2375" s="9" t="s">
        <v>52</v>
      </c>
      <c r="E2375" s="9" t="s">
        <v>53</v>
      </c>
      <c r="F2375" s="9">
        <v>53780.0</v>
      </c>
      <c r="G2375" s="9">
        <v>3.145973947E7</v>
      </c>
      <c r="H2375" s="9">
        <v>3.145973947E7</v>
      </c>
      <c r="I2375" s="9">
        <v>3.14597384E7</v>
      </c>
      <c r="J2375" s="9">
        <v>0.0</v>
      </c>
      <c r="K2375" s="9">
        <v>0.0</v>
      </c>
      <c r="L2375" s="9" t="s">
        <v>59</v>
      </c>
      <c r="M2375" s="9" t="s">
        <v>62</v>
      </c>
      <c r="N2375" s="9">
        <v>6091269.1</v>
      </c>
      <c r="O2375" s="9">
        <v>6091269.1</v>
      </c>
      <c r="P2375" s="9">
        <v>182728.94</v>
      </c>
      <c r="Q2375" s="9">
        <v>182728.0</v>
      </c>
      <c r="R2375" s="9" t="s">
        <v>56</v>
      </c>
      <c r="S2375" s="9" t="s">
        <v>57</v>
      </c>
      <c r="T2375" s="9" t="s">
        <v>58</v>
      </c>
      <c r="V2375" s="9">
        <v>6159016.56</v>
      </c>
      <c r="W2375" s="9">
        <v>182728.0</v>
      </c>
      <c r="X2375" s="9">
        <v>0.0</v>
      </c>
    </row>
    <row r="2376" ht="15.75" customHeight="1">
      <c r="A2376" s="9">
        <v>2084773.0</v>
      </c>
      <c r="B2376" s="9">
        <v>5971990.0</v>
      </c>
      <c r="C2376" s="9">
        <v>30960.0</v>
      </c>
      <c r="D2376" s="9" t="s">
        <v>52</v>
      </c>
      <c r="E2376" s="9" t="s">
        <v>53</v>
      </c>
      <c r="F2376" s="9">
        <v>81732.0</v>
      </c>
      <c r="G2376" s="9">
        <v>6569189.0</v>
      </c>
      <c r="H2376" s="9">
        <v>6569189.0</v>
      </c>
      <c r="I2376" s="9">
        <v>6090120.0</v>
      </c>
      <c r="J2376" s="9">
        <v>0.0</v>
      </c>
      <c r="K2376" s="9">
        <v>0.0</v>
      </c>
      <c r="L2376" s="9" t="s">
        <v>59</v>
      </c>
      <c r="M2376" s="9" t="s">
        <v>55</v>
      </c>
      <c r="N2376" s="9">
        <v>6256370.48</v>
      </c>
      <c r="O2376" s="9">
        <v>5629857.19</v>
      </c>
      <c r="P2376" s="9">
        <v>312818.53</v>
      </c>
      <c r="Q2376" s="9">
        <v>262872.71</v>
      </c>
      <c r="R2376" s="9" t="s">
        <v>75</v>
      </c>
      <c r="S2376" s="9" t="s">
        <v>57</v>
      </c>
      <c r="T2376" s="9" t="s">
        <v>76</v>
      </c>
    </row>
    <row r="2377" ht="15.75" customHeight="1">
      <c r="A2377" s="9">
        <v>2084780.0</v>
      </c>
      <c r="B2377" s="9">
        <v>4249081.0</v>
      </c>
      <c r="C2377" s="9">
        <v>26612.0</v>
      </c>
      <c r="D2377" s="9" t="s">
        <v>52</v>
      </c>
      <c r="E2377" s="9" t="s">
        <v>53</v>
      </c>
      <c r="F2377" s="9">
        <v>92170.0</v>
      </c>
      <c r="G2377" s="9">
        <v>4828488.64</v>
      </c>
      <c r="H2377" s="9">
        <v>4828488.64</v>
      </c>
      <c r="I2377" s="9">
        <v>4826326.37</v>
      </c>
      <c r="J2377" s="9">
        <v>0.0</v>
      </c>
      <c r="K2377" s="9">
        <v>0.0</v>
      </c>
      <c r="L2377" s="9" t="s">
        <v>59</v>
      </c>
      <c r="M2377" s="9" t="s">
        <v>55</v>
      </c>
      <c r="N2377" s="9">
        <v>3960454.99</v>
      </c>
      <c r="O2377" s="9">
        <v>3960454.99</v>
      </c>
      <c r="P2377" s="9">
        <v>190332.0</v>
      </c>
      <c r="Q2377" s="9">
        <v>190332.0</v>
      </c>
      <c r="R2377" s="9" t="s">
        <v>60</v>
      </c>
      <c r="S2377" s="9" t="s">
        <v>57</v>
      </c>
      <c r="T2377" s="9" t="s">
        <v>61</v>
      </c>
      <c r="V2377" s="9">
        <v>3960454.99</v>
      </c>
      <c r="W2377" s="9">
        <v>190332.0</v>
      </c>
      <c r="X2377" s="9">
        <v>0.0</v>
      </c>
    </row>
    <row r="2378" ht="15.75" customHeight="1">
      <c r="A2378" s="9">
        <v>2084798.0</v>
      </c>
      <c r="B2378" s="9">
        <v>2264244.0</v>
      </c>
      <c r="C2378" s="9">
        <v>30911.0</v>
      </c>
      <c r="D2378" s="9" t="s">
        <v>52</v>
      </c>
      <c r="E2378" s="9" t="s">
        <v>53</v>
      </c>
      <c r="F2378" s="9">
        <v>90792.0</v>
      </c>
      <c r="G2378" s="9">
        <v>2264244.0</v>
      </c>
      <c r="H2378" s="9">
        <v>2264244.0</v>
      </c>
      <c r="I2378" s="9">
        <v>0.0</v>
      </c>
      <c r="J2378" s="9">
        <v>0.0</v>
      </c>
      <c r="K2378" s="9">
        <v>0.0</v>
      </c>
      <c r="L2378" s="9" t="s">
        <v>54</v>
      </c>
      <c r="M2378" s="9" t="s">
        <v>55</v>
      </c>
      <c r="N2378" s="9">
        <v>2211175.75</v>
      </c>
      <c r="O2378" s="9">
        <v>1990058.18</v>
      </c>
      <c r="R2378" s="9" t="s">
        <v>60</v>
      </c>
      <c r="S2378" s="9" t="s">
        <v>57</v>
      </c>
      <c r="T2378" s="9" t="s">
        <v>61</v>
      </c>
      <c r="V2378" s="9">
        <v>2159137.37</v>
      </c>
      <c r="W2378" s="9">
        <v>0.0</v>
      </c>
      <c r="X2378" s="9">
        <v>0.0</v>
      </c>
    </row>
    <row r="2379" ht="15.75" customHeight="1">
      <c r="A2379" s="9">
        <v>2087281.0</v>
      </c>
      <c r="B2379" s="9">
        <v>1342806.0</v>
      </c>
      <c r="C2379" s="9">
        <v>30406.0</v>
      </c>
      <c r="D2379" s="9" t="s">
        <v>52</v>
      </c>
      <c r="E2379" s="9" t="s">
        <v>53</v>
      </c>
      <c r="F2379" s="9">
        <v>57092.0</v>
      </c>
      <c r="G2379" s="9">
        <v>2085850.0</v>
      </c>
      <c r="H2379" s="9">
        <v>2085850.0</v>
      </c>
      <c r="I2379" s="9">
        <v>14806.0</v>
      </c>
      <c r="J2379" s="9">
        <v>0.0</v>
      </c>
      <c r="K2379" s="9">
        <v>0.0</v>
      </c>
      <c r="L2379" s="9" t="s">
        <v>59</v>
      </c>
      <c r="M2379" s="9" t="s">
        <v>55</v>
      </c>
      <c r="N2379" s="9">
        <v>1988136.0</v>
      </c>
      <c r="O2379" s="9">
        <v>1988136.0</v>
      </c>
      <c r="P2379" s="9">
        <v>47733.0</v>
      </c>
      <c r="Q2379" s="9">
        <v>47733.0</v>
      </c>
      <c r="R2379" s="9" t="s">
        <v>60</v>
      </c>
      <c r="S2379" s="9" t="s">
        <v>57</v>
      </c>
      <c r="T2379" s="9" t="s">
        <v>61</v>
      </c>
      <c r="V2379" s="9">
        <v>1996136.0</v>
      </c>
      <c r="W2379" s="9">
        <v>47733.0</v>
      </c>
      <c r="X2379" s="9">
        <v>0.0</v>
      </c>
    </row>
    <row r="2380" ht="15.75" customHeight="1">
      <c r="A2380" s="9">
        <v>2087374.0</v>
      </c>
      <c r="B2380" s="9">
        <v>2918584.0</v>
      </c>
      <c r="C2380" s="9">
        <v>30710.0</v>
      </c>
      <c r="D2380" s="9" t="s">
        <v>52</v>
      </c>
      <c r="E2380" s="9" t="s">
        <v>53</v>
      </c>
      <c r="F2380" s="9">
        <v>37168.0</v>
      </c>
      <c r="G2380" s="9">
        <v>4084708.73</v>
      </c>
      <c r="H2380" s="9">
        <v>4084708.73</v>
      </c>
      <c r="I2380" s="9">
        <v>4084708.73</v>
      </c>
      <c r="J2380" s="9">
        <v>0.0</v>
      </c>
      <c r="K2380" s="9">
        <v>0.0</v>
      </c>
      <c r="L2380" s="9" t="s">
        <v>59</v>
      </c>
      <c r="M2380" s="9" t="s">
        <v>55</v>
      </c>
      <c r="N2380" s="9">
        <v>0.0</v>
      </c>
      <c r="O2380" s="9">
        <v>0.0</v>
      </c>
      <c r="R2380" s="9" t="s">
        <v>60</v>
      </c>
      <c r="S2380" s="9" t="s">
        <v>57</v>
      </c>
      <c r="T2380" s="9" t="s">
        <v>61</v>
      </c>
    </row>
    <row r="2381" ht="15.75" customHeight="1">
      <c r="A2381" s="9">
        <v>2087456.0</v>
      </c>
      <c r="B2381" s="9">
        <v>5395049.0</v>
      </c>
      <c r="C2381" s="9">
        <v>42902.0</v>
      </c>
      <c r="D2381" s="9" t="s">
        <v>52</v>
      </c>
      <c r="E2381" s="9" t="s">
        <v>53</v>
      </c>
      <c r="F2381" s="9">
        <v>10160.0</v>
      </c>
      <c r="G2381" s="9">
        <v>0.0</v>
      </c>
      <c r="H2381" s="9">
        <v>5396649.55</v>
      </c>
      <c r="I2381" s="9">
        <v>5384122.59</v>
      </c>
      <c r="J2381" s="9">
        <v>0.0</v>
      </c>
      <c r="K2381" s="9">
        <v>0.0</v>
      </c>
      <c r="L2381" s="9" t="s">
        <v>59</v>
      </c>
      <c r="M2381" s="9" t="s">
        <v>55</v>
      </c>
      <c r="N2381" s="9">
        <v>0.0</v>
      </c>
      <c r="O2381" s="9">
        <v>0.0</v>
      </c>
      <c r="R2381" s="9" t="s">
        <v>96</v>
      </c>
      <c r="S2381" s="9" t="s">
        <v>78</v>
      </c>
      <c r="T2381" s="9" t="s">
        <v>79</v>
      </c>
      <c r="U2381" s="9" t="s">
        <v>97</v>
      </c>
    </row>
    <row r="2382" ht="15.75" customHeight="1">
      <c r="A2382" s="9">
        <v>2087531.0</v>
      </c>
      <c r="B2382" s="9">
        <v>2.4846246E7</v>
      </c>
      <c r="C2382" s="9">
        <v>30670.0</v>
      </c>
      <c r="D2382" s="9" t="s">
        <v>52</v>
      </c>
      <c r="E2382" s="9" t="s">
        <v>53</v>
      </c>
      <c r="F2382" s="9">
        <v>6337.0</v>
      </c>
      <c r="G2382" s="9">
        <v>2.676586985E7</v>
      </c>
      <c r="H2382" s="9">
        <v>5.163864251E7</v>
      </c>
      <c r="I2382" s="9">
        <v>2.265944817E7</v>
      </c>
      <c r="J2382" s="9">
        <v>0.0</v>
      </c>
      <c r="K2382" s="9">
        <v>473560.0</v>
      </c>
      <c r="L2382" s="9" t="s">
        <v>59</v>
      </c>
      <c r="M2382" s="9" t="s">
        <v>55</v>
      </c>
      <c r="N2382" s="9">
        <v>2.550449522E7</v>
      </c>
      <c r="O2382" s="9">
        <v>2.377171501E7</v>
      </c>
      <c r="P2382" s="9">
        <v>1261374.63</v>
      </c>
      <c r="Q2382" s="9">
        <v>1068961.55</v>
      </c>
      <c r="R2382" s="9" t="s">
        <v>77</v>
      </c>
      <c r="S2382" s="9" t="s">
        <v>78</v>
      </c>
      <c r="T2382" s="9" t="s">
        <v>79</v>
      </c>
      <c r="U2382" s="9" t="s">
        <v>80</v>
      </c>
    </row>
    <row r="2383" ht="15.75" customHeight="1">
      <c r="A2383" s="9">
        <v>2088106.0</v>
      </c>
      <c r="B2383" s="9">
        <v>212322.0</v>
      </c>
      <c r="C2383" s="9">
        <v>30813.0</v>
      </c>
      <c r="D2383" s="9" t="s">
        <v>52</v>
      </c>
      <c r="E2383" s="9" t="s">
        <v>53</v>
      </c>
      <c r="F2383" s="9">
        <v>103926.0</v>
      </c>
      <c r="G2383" s="9">
        <v>244324.72</v>
      </c>
      <c r="H2383" s="9">
        <v>244324.72</v>
      </c>
      <c r="I2383" s="9">
        <v>0.0</v>
      </c>
      <c r="J2383" s="9">
        <v>0.0</v>
      </c>
      <c r="K2383" s="9">
        <v>0.0</v>
      </c>
      <c r="L2383" s="9" t="s">
        <v>54</v>
      </c>
      <c r="M2383" s="9" t="s">
        <v>55</v>
      </c>
      <c r="N2383" s="9">
        <v>233063.7</v>
      </c>
      <c r="O2383" s="9">
        <v>233063.7</v>
      </c>
      <c r="R2383" s="9" t="s">
        <v>60</v>
      </c>
      <c r="S2383" s="9" t="s">
        <v>57</v>
      </c>
      <c r="T2383" s="9" t="s">
        <v>61</v>
      </c>
      <c r="V2383" s="9">
        <v>235063.7</v>
      </c>
      <c r="W2383" s="9">
        <v>0.0</v>
      </c>
      <c r="X2383" s="9">
        <v>80367.52</v>
      </c>
    </row>
    <row r="2384" ht="15.75" customHeight="1">
      <c r="A2384" s="9">
        <v>2088828.0</v>
      </c>
      <c r="B2384" s="9">
        <v>1161281.0</v>
      </c>
      <c r="C2384" s="9">
        <v>30055.0</v>
      </c>
      <c r="D2384" s="9" t="s">
        <v>52</v>
      </c>
      <c r="E2384" s="9" t="s">
        <v>53</v>
      </c>
      <c r="F2384" s="9">
        <v>51990.0</v>
      </c>
      <c r="G2384" s="9">
        <v>1274052.17</v>
      </c>
      <c r="H2384" s="9">
        <v>1274052.17</v>
      </c>
      <c r="I2384" s="9">
        <v>1175722.05</v>
      </c>
      <c r="J2384" s="9">
        <v>0.0</v>
      </c>
      <c r="K2384" s="9">
        <v>0.0</v>
      </c>
      <c r="L2384" s="9" t="s">
        <v>69</v>
      </c>
      <c r="M2384" s="9" t="s">
        <v>55</v>
      </c>
      <c r="N2384" s="9">
        <v>1123997.17</v>
      </c>
      <c r="O2384" s="9">
        <v>1011597.46</v>
      </c>
      <c r="P2384" s="9">
        <v>44074.56</v>
      </c>
      <c r="Q2384" s="9">
        <v>44074.56</v>
      </c>
      <c r="R2384" s="9" t="s">
        <v>56</v>
      </c>
      <c r="S2384" s="9" t="s">
        <v>57</v>
      </c>
      <c r="T2384" s="9" t="s">
        <v>58</v>
      </c>
      <c r="V2384" s="9">
        <v>986851.3</v>
      </c>
      <c r="W2384" s="9">
        <v>44074.58</v>
      </c>
      <c r="X2384" s="9">
        <v>0.0</v>
      </c>
    </row>
    <row r="2385" ht="15.75" customHeight="1">
      <c r="A2385" s="9">
        <v>2088917.0</v>
      </c>
      <c r="B2385" s="9">
        <v>295823.0</v>
      </c>
      <c r="C2385" s="9">
        <v>31293.0</v>
      </c>
      <c r="D2385" s="9" t="s">
        <v>52</v>
      </c>
      <c r="E2385" s="9" t="s">
        <v>53</v>
      </c>
      <c r="F2385" s="9">
        <v>80015.0</v>
      </c>
      <c r="G2385" s="9">
        <v>295823.0</v>
      </c>
      <c r="H2385" s="9">
        <v>295823.0</v>
      </c>
      <c r="I2385" s="9">
        <v>0.0</v>
      </c>
      <c r="J2385" s="9">
        <v>0.0</v>
      </c>
      <c r="K2385" s="9">
        <v>0.0</v>
      </c>
      <c r="L2385" s="9" t="s">
        <v>69</v>
      </c>
      <c r="M2385" s="9" t="s">
        <v>55</v>
      </c>
      <c r="R2385" s="9" t="s">
        <v>60</v>
      </c>
      <c r="S2385" s="9" t="s">
        <v>57</v>
      </c>
      <c r="T2385" s="9" t="s">
        <v>61</v>
      </c>
      <c r="V2385" s="9">
        <v>325990.69</v>
      </c>
      <c r="W2385" s="9">
        <v>0.0</v>
      </c>
      <c r="X2385" s="9">
        <v>0.0</v>
      </c>
    </row>
    <row r="2386" ht="15.75" customHeight="1">
      <c r="A2386" s="9">
        <v>2089789.0</v>
      </c>
      <c r="B2386" s="9">
        <v>291066.0</v>
      </c>
      <c r="C2386" s="9">
        <v>30051.0</v>
      </c>
      <c r="D2386" s="9" t="s">
        <v>52</v>
      </c>
      <c r="E2386" s="9" t="s">
        <v>53</v>
      </c>
      <c r="F2386" s="9">
        <v>99921.0</v>
      </c>
      <c r="G2386" s="9">
        <v>301013.89</v>
      </c>
      <c r="H2386" s="9">
        <v>301013.89</v>
      </c>
      <c r="I2386" s="9">
        <v>415293.07</v>
      </c>
      <c r="J2386" s="9">
        <v>0.0</v>
      </c>
      <c r="K2386" s="9">
        <v>0.0</v>
      </c>
      <c r="L2386" s="9" t="s">
        <v>59</v>
      </c>
      <c r="M2386" s="9" t="s">
        <v>55</v>
      </c>
      <c r="N2386" s="9">
        <v>307438.8</v>
      </c>
      <c r="O2386" s="9">
        <v>99108.9</v>
      </c>
      <c r="P2386" s="9">
        <v>307438.8</v>
      </c>
      <c r="Q2386" s="9">
        <v>0.0</v>
      </c>
      <c r="R2386" s="9" t="s">
        <v>60</v>
      </c>
      <c r="S2386" s="9" t="s">
        <v>57</v>
      </c>
      <c r="T2386" s="9" t="s">
        <v>61</v>
      </c>
      <c r="V2386" s="9">
        <v>304364.41</v>
      </c>
      <c r="W2386" s="9">
        <v>0.0</v>
      </c>
      <c r="X2386" s="9">
        <v>0.0</v>
      </c>
    </row>
    <row r="2387" ht="15.75" customHeight="1">
      <c r="A2387" s="9">
        <v>2089864.0</v>
      </c>
      <c r="B2387" s="9">
        <v>1.2943674E7</v>
      </c>
      <c r="C2387" s="9">
        <v>30884.0</v>
      </c>
      <c r="D2387" s="9" t="s">
        <v>52</v>
      </c>
      <c r="E2387" s="9" t="s">
        <v>53</v>
      </c>
      <c r="F2387" s="9">
        <v>69704.0</v>
      </c>
      <c r="G2387" s="9">
        <v>1.552181181E7</v>
      </c>
      <c r="H2387" s="9">
        <v>1.552181181E7</v>
      </c>
      <c r="I2387" s="9">
        <v>1.538062681E7</v>
      </c>
      <c r="J2387" s="9">
        <v>0.0</v>
      </c>
      <c r="K2387" s="9">
        <v>0.0</v>
      </c>
      <c r="L2387" s="9" t="s">
        <v>69</v>
      </c>
      <c r="M2387" s="9" t="s">
        <v>55</v>
      </c>
      <c r="N2387" s="9">
        <v>1.482926301E7</v>
      </c>
      <c r="O2387" s="9">
        <v>1.482926301E7</v>
      </c>
      <c r="P2387" s="9">
        <v>368060.0</v>
      </c>
      <c r="Q2387" s="9">
        <v>368060.0</v>
      </c>
      <c r="R2387" s="9" t="s">
        <v>56</v>
      </c>
      <c r="S2387" s="9" t="s">
        <v>57</v>
      </c>
      <c r="T2387" s="9" t="s">
        <v>58</v>
      </c>
      <c r="V2387" s="9">
        <v>1.482926303E7</v>
      </c>
      <c r="W2387" s="9">
        <v>0.0</v>
      </c>
      <c r="X2387" s="9">
        <v>0.0</v>
      </c>
    </row>
    <row r="2388" ht="15.75" customHeight="1">
      <c r="A2388" s="9">
        <v>2090775.0</v>
      </c>
      <c r="B2388" s="9">
        <v>250089.0</v>
      </c>
      <c r="C2388" s="9">
        <v>30180.0</v>
      </c>
      <c r="D2388" s="9" t="s">
        <v>52</v>
      </c>
      <c r="E2388" s="9" t="s">
        <v>53</v>
      </c>
      <c r="F2388" s="9">
        <v>115676.0</v>
      </c>
      <c r="G2388" s="9">
        <v>250089.0</v>
      </c>
      <c r="H2388" s="9">
        <v>250089.0</v>
      </c>
      <c r="I2388" s="9">
        <v>0.0</v>
      </c>
      <c r="J2388" s="9">
        <v>0.0</v>
      </c>
      <c r="K2388" s="9">
        <v>0.0</v>
      </c>
      <c r="L2388" s="9" t="s">
        <v>69</v>
      </c>
      <c r="M2388" s="9" t="s">
        <v>55</v>
      </c>
      <c r="N2388" s="9">
        <v>240900.18</v>
      </c>
      <c r="O2388" s="9">
        <v>240900.18</v>
      </c>
      <c r="R2388" s="9" t="s">
        <v>60</v>
      </c>
      <c r="S2388" s="9" t="s">
        <v>57</v>
      </c>
      <c r="T2388" s="9" t="s">
        <v>61</v>
      </c>
      <c r="V2388" s="9">
        <v>240900.18</v>
      </c>
      <c r="W2388" s="9">
        <v>9241.94</v>
      </c>
      <c r="X2388" s="9">
        <v>0.0</v>
      </c>
    </row>
    <row r="2389" ht="15.75" customHeight="1">
      <c r="A2389" s="9">
        <v>2094115.0</v>
      </c>
      <c r="B2389" s="9">
        <v>4855834.0</v>
      </c>
      <c r="C2389" s="9">
        <v>40281.0</v>
      </c>
      <c r="D2389" s="9" t="s">
        <v>52</v>
      </c>
      <c r="E2389" s="9" t="s">
        <v>53</v>
      </c>
      <c r="F2389" s="9">
        <v>102412.0</v>
      </c>
      <c r="G2389" s="9">
        <v>6786879.0</v>
      </c>
      <c r="H2389" s="9">
        <v>6786879.0</v>
      </c>
      <c r="I2389" s="9">
        <v>6864521.13</v>
      </c>
      <c r="J2389" s="9">
        <v>0.0</v>
      </c>
      <c r="K2389" s="9">
        <v>0.0</v>
      </c>
      <c r="L2389" s="9" t="s">
        <v>59</v>
      </c>
      <c r="M2389" s="9" t="s">
        <v>55</v>
      </c>
      <c r="N2389" s="9">
        <v>6448553.57</v>
      </c>
      <c r="O2389" s="9">
        <v>6448553.57</v>
      </c>
      <c r="P2389" s="9">
        <v>225699.37</v>
      </c>
      <c r="Q2389" s="9">
        <v>225600.0</v>
      </c>
      <c r="R2389" s="9" t="s">
        <v>60</v>
      </c>
      <c r="S2389" s="9" t="s">
        <v>57</v>
      </c>
      <c r="T2389" s="9" t="s">
        <v>61</v>
      </c>
      <c r="V2389" s="9">
        <v>6663284.7</v>
      </c>
      <c r="W2389" s="9">
        <v>225600.0</v>
      </c>
      <c r="X2389" s="9">
        <v>0.0</v>
      </c>
    </row>
    <row r="2390" ht="15.75" customHeight="1">
      <c r="A2390" s="9">
        <v>2094533.0</v>
      </c>
      <c r="B2390" s="9">
        <v>290901.0</v>
      </c>
      <c r="C2390" s="9">
        <v>31299.0</v>
      </c>
      <c r="D2390" s="9" t="s">
        <v>52</v>
      </c>
      <c r="E2390" s="9" t="s">
        <v>53</v>
      </c>
      <c r="F2390" s="9">
        <v>95713.0</v>
      </c>
      <c r="G2390" s="9">
        <v>290901.0</v>
      </c>
      <c r="H2390" s="9">
        <v>290901.0</v>
      </c>
      <c r="I2390" s="9">
        <v>0.0</v>
      </c>
      <c r="J2390" s="9">
        <v>0.0</v>
      </c>
      <c r="K2390" s="9">
        <v>0.0</v>
      </c>
      <c r="L2390" s="9" t="s">
        <v>69</v>
      </c>
      <c r="M2390" s="9" t="s">
        <v>55</v>
      </c>
      <c r="R2390" s="9" t="s">
        <v>60</v>
      </c>
      <c r="S2390" s="9" t="s">
        <v>57</v>
      </c>
      <c r="T2390" s="9" t="s">
        <v>61</v>
      </c>
      <c r="V2390" s="9">
        <v>277664.05</v>
      </c>
      <c r="W2390" s="9">
        <v>0.0</v>
      </c>
      <c r="X2390" s="9">
        <v>0.0</v>
      </c>
    </row>
    <row r="2391" ht="15.75" customHeight="1">
      <c r="A2391" s="9">
        <v>2095687.0</v>
      </c>
      <c r="B2391" s="9">
        <v>9882882.0</v>
      </c>
      <c r="C2391" s="9">
        <v>30364.0</v>
      </c>
      <c r="D2391" s="9" t="s">
        <v>52</v>
      </c>
      <c r="E2391" s="9" t="s">
        <v>53</v>
      </c>
      <c r="F2391" s="9">
        <v>118306.0</v>
      </c>
      <c r="G2391" s="9">
        <v>9815078.3</v>
      </c>
      <c r="H2391" s="9">
        <v>1.084886502E7</v>
      </c>
      <c r="I2391" s="9">
        <v>1.073805851E7</v>
      </c>
      <c r="J2391" s="9">
        <v>0.0</v>
      </c>
      <c r="K2391" s="9">
        <v>0.0</v>
      </c>
      <c r="L2391" s="9" t="s">
        <v>69</v>
      </c>
      <c r="M2391" s="9" t="s">
        <v>55</v>
      </c>
      <c r="N2391" s="9">
        <v>9556469.32</v>
      </c>
      <c r="O2391" s="9">
        <v>9556469.32</v>
      </c>
      <c r="P2391" s="9">
        <v>228535.2</v>
      </c>
      <c r="Q2391" s="9">
        <v>226249.0</v>
      </c>
      <c r="R2391" s="9" t="s">
        <v>75</v>
      </c>
      <c r="S2391" s="9" t="s">
        <v>57</v>
      </c>
      <c r="T2391" s="9" t="s">
        <v>76</v>
      </c>
      <c r="V2391" s="9">
        <v>0.0</v>
      </c>
      <c r="W2391" s="9">
        <v>0.0</v>
      </c>
      <c r="X2391" s="9">
        <v>0.0</v>
      </c>
    </row>
    <row r="2392" ht="15.75" customHeight="1">
      <c r="A2392" s="9">
        <v>2096098.0</v>
      </c>
      <c r="B2392" s="9">
        <v>2403815.0</v>
      </c>
      <c r="C2392" s="9">
        <v>30912.0</v>
      </c>
      <c r="D2392" s="9" t="s">
        <v>52</v>
      </c>
      <c r="E2392" s="9" t="s">
        <v>53</v>
      </c>
      <c r="F2392" s="9">
        <v>125675.0</v>
      </c>
      <c r="G2392" s="9">
        <v>3118379.81</v>
      </c>
      <c r="H2392" s="9">
        <v>3118379.81</v>
      </c>
      <c r="I2392" s="9">
        <v>3107184.68</v>
      </c>
      <c r="J2392" s="9">
        <v>0.0</v>
      </c>
      <c r="K2392" s="9">
        <v>0.0</v>
      </c>
      <c r="L2392" s="9" t="s">
        <v>59</v>
      </c>
      <c r="M2392" s="9" t="s">
        <v>55</v>
      </c>
      <c r="N2392" s="9">
        <v>3005834.46</v>
      </c>
      <c r="O2392" s="9">
        <v>3005834.46</v>
      </c>
      <c r="P2392" s="9">
        <v>3005834.46</v>
      </c>
      <c r="Q2392" s="9">
        <v>92540.0</v>
      </c>
      <c r="R2392" s="9" t="s">
        <v>60</v>
      </c>
      <c r="S2392" s="9" t="s">
        <v>57</v>
      </c>
      <c r="T2392" s="9" t="s">
        <v>61</v>
      </c>
      <c r="V2392" s="9">
        <v>3155834.46</v>
      </c>
      <c r="W2392" s="9">
        <v>0.0</v>
      </c>
      <c r="X2392" s="9">
        <v>0.0</v>
      </c>
    </row>
    <row r="2393" ht="15.75" customHeight="1">
      <c r="A2393" s="9">
        <v>2099556.0</v>
      </c>
      <c r="B2393" s="9">
        <v>4014916.0</v>
      </c>
      <c r="C2393" s="9">
        <v>30367.0</v>
      </c>
      <c r="D2393" s="9" t="s">
        <v>52</v>
      </c>
      <c r="E2393" s="9" t="s">
        <v>53</v>
      </c>
      <c r="F2393" s="9">
        <v>116126.0</v>
      </c>
      <c r="G2393" s="9">
        <v>4073906.0</v>
      </c>
      <c r="H2393" s="9">
        <v>4073906.0</v>
      </c>
      <c r="I2393" s="9">
        <v>4025595.72</v>
      </c>
      <c r="J2393" s="9">
        <v>0.0</v>
      </c>
      <c r="K2393" s="9">
        <v>0.0</v>
      </c>
      <c r="L2393" s="9" t="s">
        <v>59</v>
      </c>
      <c r="M2393" s="9" t="s">
        <v>55</v>
      </c>
      <c r="N2393" s="9">
        <v>3879139.93</v>
      </c>
      <c r="O2393" s="9">
        <v>3879139.93</v>
      </c>
      <c r="P2393" s="9">
        <v>161891.28</v>
      </c>
      <c r="Q2393" s="9">
        <v>160000.0</v>
      </c>
      <c r="R2393" s="9" t="s">
        <v>60</v>
      </c>
      <c r="S2393" s="9" t="s">
        <v>57</v>
      </c>
      <c r="T2393" s="9" t="s">
        <v>61</v>
      </c>
      <c r="V2393" s="9">
        <v>3842791.72</v>
      </c>
      <c r="W2393" s="9">
        <v>119304.0</v>
      </c>
      <c r="X2393" s="9">
        <v>0.0</v>
      </c>
    </row>
    <row r="2394" ht="15.75" customHeight="1">
      <c r="A2394" s="9">
        <v>2102121.0</v>
      </c>
      <c r="B2394" s="9">
        <v>459189.0</v>
      </c>
      <c r="C2394" s="9">
        <v>30056.0</v>
      </c>
      <c r="D2394" s="9" t="s">
        <v>52</v>
      </c>
      <c r="E2394" s="9" t="s">
        <v>53</v>
      </c>
      <c r="F2394" s="9">
        <v>116362.0</v>
      </c>
      <c r="G2394" s="9">
        <v>458666.0</v>
      </c>
      <c r="H2394" s="9">
        <v>458666.0</v>
      </c>
      <c r="I2394" s="9">
        <v>458224.55</v>
      </c>
      <c r="J2394" s="9">
        <v>0.0</v>
      </c>
      <c r="K2394" s="9">
        <v>0.0</v>
      </c>
      <c r="L2394" s="9" t="s">
        <v>59</v>
      </c>
      <c r="M2394" s="9" t="s">
        <v>55</v>
      </c>
      <c r="N2394" s="9">
        <v>436824.95</v>
      </c>
      <c r="O2394" s="9">
        <v>443898.51</v>
      </c>
      <c r="P2394" s="9">
        <v>436824.95</v>
      </c>
      <c r="Q2394" s="9">
        <v>21400.0</v>
      </c>
      <c r="R2394" s="9" t="s">
        <v>60</v>
      </c>
      <c r="S2394" s="9" t="s">
        <v>57</v>
      </c>
      <c r="T2394" s="9" t="s">
        <v>61</v>
      </c>
      <c r="V2394" s="9">
        <v>459189.0</v>
      </c>
      <c r="W2394" s="9">
        <v>0.0</v>
      </c>
      <c r="X2394" s="9">
        <v>0.0</v>
      </c>
    </row>
    <row r="2395" ht="15.75" customHeight="1">
      <c r="A2395" s="9">
        <v>2104243.0</v>
      </c>
      <c r="B2395" s="9">
        <v>1961160.0</v>
      </c>
      <c r="C2395" s="9">
        <v>30683.0</v>
      </c>
      <c r="D2395" s="9" t="s">
        <v>52</v>
      </c>
      <c r="E2395" s="9" t="s">
        <v>53</v>
      </c>
      <c r="F2395" s="9">
        <v>117166.0</v>
      </c>
      <c r="G2395" s="9">
        <v>2153792.76</v>
      </c>
      <c r="H2395" s="9">
        <v>2153792.76</v>
      </c>
      <c r="I2395" s="9">
        <v>436600.0</v>
      </c>
      <c r="J2395" s="9">
        <v>0.0</v>
      </c>
      <c r="K2395" s="9">
        <v>0.0</v>
      </c>
      <c r="L2395" s="9" t="s">
        <v>69</v>
      </c>
      <c r="M2395" s="9" t="s">
        <v>55</v>
      </c>
      <c r="N2395" s="9">
        <v>2080381.32</v>
      </c>
      <c r="O2395" s="9">
        <v>2080381.32</v>
      </c>
      <c r="R2395" s="9" t="s">
        <v>56</v>
      </c>
      <c r="S2395" s="9" t="s">
        <v>57</v>
      </c>
      <c r="T2395" s="9" t="s">
        <v>58</v>
      </c>
      <c r="V2395" s="9">
        <v>2078455.03</v>
      </c>
      <c r="W2395" s="9">
        <v>0.0</v>
      </c>
      <c r="X2395" s="9">
        <v>0.0</v>
      </c>
    </row>
    <row r="2396" ht="15.75" customHeight="1">
      <c r="A2396" s="9">
        <v>2104250.0</v>
      </c>
      <c r="B2396" s="9">
        <v>1815654.0</v>
      </c>
      <c r="C2396" s="9">
        <v>30612.0</v>
      </c>
      <c r="D2396" s="9" t="s">
        <v>52</v>
      </c>
      <c r="E2396" s="9" t="s">
        <v>53</v>
      </c>
      <c r="F2396" s="9">
        <v>102218.0</v>
      </c>
      <c r="G2396" s="9">
        <v>1815654.0</v>
      </c>
      <c r="H2396" s="9">
        <v>1815654.0</v>
      </c>
      <c r="I2396" s="9">
        <v>1756519.99</v>
      </c>
      <c r="J2396" s="9">
        <v>0.0</v>
      </c>
      <c r="K2396" s="9">
        <v>0.0</v>
      </c>
      <c r="L2396" s="9" t="s">
        <v>69</v>
      </c>
      <c r="M2396" s="9" t="s">
        <v>55</v>
      </c>
      <c r="N2396" s="9">
        <v>1557251.07</v>
      </c>
      <c r="O2396" s="9">
        <v>1557251.07</v>
      </c>
      <c r="P2396" s="9">
        <v>157199.49</v>
      </c>
      <c r="Q2396" s="9">
        <v>155725.1</v>
      </c>
      <c r="R2396" s="9" t="s">
        <v>56</v>
      </c>
      <c r="S2396" s="9" t="s">
        <v>57</v>
      </c>
      <c r="T2396" s="9" t="s">
        <v>58</v>
      </c>
      <c r="V2396" s="9">
        <v>1557251.07</v>
      </c>
      <c r="W2396" s="9">
        <v>0.0</v>
      </c>
      <c r="X2396" s="9">
        <v>0.0</v>
      </c>
    </row>
    <row r="2397" ht="15.75" customHeight="1">
      <c r="A2397" s="9">
        <v>2104736.0</v>
      </c>
      <c r="B2397" s="9">
        <v>4726543.0</v>
      </c>
      <c r="C2397" s="9">
        <v>29877.0</v>
      </c>
      <c r="D2397" s="9" t="s">
        <v>52</v>
      </c>
      <c r="E2397" s="9" t="s">
        <v>53</v>
      </c>
      <c r="F2397" s="9">
        <v>104934.0</v>
      </c>
      <c r="G2397" s="9">
        <v>4726543.0</v>
      </c>
      <c r="H2397" s="9">
        <v>4679681.33</v>
      </c>
      <c r="I2397" s="9">
        <v>4679681.33</v>
      </c>
      <c r="J2397" s="9">
        <v>0.0</v>
      </c>
      <c r="K2397" s="9">
        <v>0.0</v>
      </c>
      <c r="L2397" s="9" t="s">
        <v>59</v>
      </c>
      <c r="M2397" s="9" t="s">
        <v>55</v>
      </c>
      <c r="N2397" s="9">
        <v>4446552.91</v>
      </c>
      <c r="O2397" s="9">
        <v>4446552.91</v>
      </c>
      <c r="P2397" s="9">
        <v>222327.65</v>
      </c>
      <c r="Q2397" s="9">
        <v>222327.65</v>
      </c>
      <c r="R2397" s="9" t="s">
        <v>56</v>
      </c>
      <c r="S2397" s="9" t="s">
        <v>57</v>
      </c>
      <c r="T2397" s="9" t="s">
        <v>58</v>
      </c>
      <c r="V2397" s="9">
        <v>4446552.91</v>
      </c>
      <c r="W2397" s="9">
        <v>0.0</v>
      </c>
      <c r="X2397" s="9">
        <v>0.0</v>
      </c>
    </row>
    <row r="2398" ht="15.75" customHeight="1">
      <c r="A2398" s="9">
        <v>2104754.0</v>
      </c>
      <c r="B2398" s="9">
        <v>1214867.0</v>
      </c>
      <c r="C2398" s="9">
        <v>30259.0</v>
      </c>
      <c r="D2398" s="9" t="s">
        <v>52</v>
      </c>
      <c r="E2398" s="9" t="s">
        <v>53</v>
      </c>
      <c r="F2398" s="9">
        <v>105177.0</v>
      </c>
      <c r="G2398" s="9">
        <v>1531840.11</v>
      </c>
      <c r="H2398" s="9">
        <v>1531840.11</v>
      </c>
      <c r="I2398" s="9">
        <v>1530515.0</v>
      </c>
      <c r="J2398" s="9">
        <v>0.0</v>
      </c>
      <c r="K2398" s="9">
        <v>0.0</v>
      </c>
      <c r="L2398" s="9" t="s">
        <v>59</v>
      </c>
      <c r="M2398" s="9" t="s">
        <v>55</v>
      </c>
      <c r="N2398" s="9">
        <v>1501804.03</v>
      </c>
      <c r="O2398" s="9">
        <v>1500514.93</v>
      </c>
      <c r="R2398" s="9" t="s">
        <v>60</v>
      </c>
      <c r="S2398" s="9" t="s">
        <v>57</v>
      </c>
      <c r="T2398" s="9" t="s">
        <v>61</v>
      </c>
      <c r="V2398" s="9">
        <v>1563093.03</v>
      </c>
      <c r="W2398" s="9">
        <v>0.0</v>
      </c>
      <c r="X2398" s="9">
        <v>0.0</v>
      </c>
    </row>
    <row r="2399" ht="15.75" customHeight="1">
      <c r="A2399" s="9">
        <v>2104947.0</v>
      </c>
      <c r="B2399" s="9">
        <v>5986912.0</v>
      </c>
      <c r="C2399" s="9">
        <v>30940.0</v>
      </c>
      <c r="D2399" s="9" t="s">
        <v>52</v>
      </c>
      <c r="E2399" s="9" t="s">
        <v>53</v>
      </c>
      <c r="F2399" s="9">
        <v>116115.0</v>
      </c>
      <c r="G2399" s="9">
        <v>6317229.86</v>
      </c>
      <c r="H2399" s="9">
        <v>6317229.86</v>
      </c>
      <c r="I2399" s="9">
        <v>6288684.32</v>
      </c>
      <c r="J2399" s="9">
        <v>0.0</v>
      </c>
      <c r="K2399" s="9">
        <v>0.0</v>
      </c>
      <c r="L2399" s="9" t="s">
        <v>59</v>
      </c>
      <c r="M2399" s="9" t="s">
        <v>55</v>
      </c>
      <c r="N2399" s="9">
        <v>5986912.0</v>
      </c>
      <c r="O2399" s="9">
        <v>5986912.0</v>
      </c>
      <c r="P2399" s="9">
        <v>5986912.0</v>
      </c>
      <c r="Q2399" s="9">
        <v>239323.04</v>
      </c>
      <c r="R2399" s="9" t="s">
        <v>63</v>
      </c>
      <c r="S2399" s="9" t="s">
        <v>63</v>
      </c>
      <c r="V2399" s="9">
        <v>6326848.4</v>
      </c>
      <c r="W2399" s="9">
        <v>239323.04</v>
      </c>
      <c r="X2399" s="9">
        <v>0.0</v>
      </c>
    </row>
    <row r="2400" ht="15.75" customHeight="1">
      <c r="A2400" s="9">
        <v>2105922.0</v>
      </c>
      <c r="B2400" s="9">
        <v>5957021.0</v>
      </c>
      <c r="C2400" s="9">
        <v>30785.0</v>
      </c>
      <c r="D2400" s="9" t="s">
        <v>52</v>
      </c>
      <c r="E2400" s="9" t="s">
        <v>53</v>
      </c>
      <c r="F2400" s="9">
        <v>115859.0</v>
      </c>
      <c r="G2400" s="9">
        <v>8640180.0</v>
      </c>
      <c r="H2400" s="9">
        <v>8640180.0</v>
      </c>
      <c r="I2400" s="9">
        <v>658173.0</v>
      </c>
      <c r="J2400" s="9">
        <v>0.0</v>
      </c>
      <c r="K2400" s="9">
        <v>0.0</v>
      </c>
      <c r="L2400" s="9" t="s">
        <v>59</v>
      </c>
      <c r="M2400" s="9" t="s">
        <v>55</v>
      </c>
      <c r="N2400" s="9">
        <v>7239024.19</v>
      </c>
      <c r="O2400" s="9">
        <v>7236007.94</v>
      </c>
      <c r="P2400" s="9">
        <v>115187.0</v>
      </c>
      <c r="Q2400" s="9">
        <v>115187.0</v>
      </c>
      <c r="R2400" s="9" t="s">
        <v>60</v>
      </c>
      <c r="S2400" s="9" t="s">
        <v>57</v>
      </c>
      <c r="T2400" s="9" t="s">
        <v>61</v>
      </c>
      <c r="V2400" s="9">
        <v>7371588.32</v>
      </c>
      <c r="W2400" s="9">
        <v>115187.0</v>
      </c>
      <c r="X2400" s="9">
        <v>0.0</v>
      </c>
    </row>
    <row r="2401" ht="15.75" customHeight="1">
      <c r="A2401" s="9">
        <v>2106401.0</v>
      </c>
      <c r="B2401" s="9">
        <v>5938353.0</v>
      </c>
      <c r="C2401" s="9">
        <v>40589.0</v>
      </c>
      <c r="D2401" s="9" t="s">
        <v>52</v>
      </c>
      <c r="E2401" s="9" t="s">
        <v>53</v>
      </c>
      <c r="F2401" s="9">
        <v>99900.0</v>
      </c>
      <c r="G2401" s="9">
        <v>7457311.51</v>
      </c>
      <c r="H2401" s="9">
        <v>9562421.17</v>
      </c>
      <c r="I2401" s="9">
        <v>9208288.99</v>
      </c>
      <c r="J2401" s="9">
        <v>0.0</v>
      </c>
      <c r="K2401" s="9">
        <v>0.0</v>
      </c>
      <c r="L2401" s="9" t="s">
        <v>59</v>
      </c>
      <c r="M2401" s="9" t="s">
        <v>55</v>
      </c>
      <c r="N2401" s="9">
        <v>7033111.51</v>
      </c>
      <c r="O2401" s="9">
        <v>7033111.51</v>
      </c>
      <c r="P2401" s="9">
        <v>235200.0</v>
      </c>
      <c r="Q2401" s="9">
        <v>199321.5</v>
      </c>
      <c r="R2401" s="9" t="s">
        <v>75</v>
      </c>
      <c r="S2401" s="9" t="s">
        <v>57</v>
      </c>
      <c r="T2401" s="9" t="s">
        <v>76</v>
      </c>
      <c r="V2401" s="9">
        <v>7851359.88</v>
      </c>
      <c r="W2401" s="9">
        <v>0.0</v>
      </c>
      <c r="X2401" s="9">
        <v>0.0</v>
      </c>
    </row>
    <row r="2402" ht="15.75" customHeight="1">
      <c r="A2402" s="9">
        <v>2109491.0</v>
      </c>
      <c r="B2402" s="9">
        <v>3.2091647E7</v>
      </c>
      <c r="C2402" s="9">
        <v>30550.0</v>
      </c>
      <c r="D2402" s="9" t="s">
        <v>52</v>
      </c>
      <c r="E2402" s="9" t="s">
        <v>53</v>
      </c>
      <c r="F2402" s="9">
        <v>126296.0</v>
      </c>
      <c r="G2402" s="9">
        <v>2.941953382E7</v>
      </c>
      <c r="H2402" s="9">
        <v>1.938339563E7</v>
      </c>
      <c r="I2402" s="9">
        <v>1.913927754E7</v>
      </c>
      <c r="J2402" s="9">
        <v>155600.0</v>
      </c>
      <c r="K2402" s="9">
        <v>399718.0</v>
      </c>
      <c r="L2402" s="9" t="s">
        <v>59</v>
      </c>
      <c r="M2402" s="9" t="s">
        <v>55</v>
      </c>
      <c r="N2402" s="9">
        <v>2.856265419E7</v>
      </c>
      <c r="O2402" s="9">
        <v>2.855948475E7</v>
      </c>
      <c r="P2402" s="9">
        <v>856879.63</v>
      </c>
      <c r="Q2402" s="9">
        <v>856879.63</v>
      </c>
      <c r="R2402" s="9" t="s">
        <v>96</v>
      </c>
      <c r="S2402" s="9" t="s">
        <v>78</v>
      </c>
      <c r="T2402" s="9" t="s">
        <v>79</v>
      </c>
      <c r="U2402" s="9" t="s">
        <v>97</v>
      </c>
    </row>
    <row r="2403" ht="15.75" customHeight="1">
      <c r="A2403" s="9">
        <v>2111106.0</v>
      </c>
      <c r="B2403" s="9">
        <v>8805609.0</v>
      </c>
      <c r="C2403" s="9">
        <v>38062.0</v>
      </c>
      <c r="D2403" s="9" t="s">
        <v>52</v>
      </c>
      <c r="E2403" s="9" t="s">
        <v>88</v>
      </c>
      <c r="F2403" s="9">
        <v>139406.0</v>
      </c>
      <c r="G2403" s="9">
        <v>9856176.23</v>
      </c>
      <c r="H2403" s="9">
        <v>9542248.35</v>
      </c>
      <c r="I2403" s="9">
        <v>9542248.35</v>
      </c>
      <c r="J2403" s="9">
        <v>0.0</v>
      </c>
      <c r="K2403" s="9">
        <v>0.0</v>
      </c>
      <c r="L2403" s="9" t="s">
        <v>69</v>
      </c>
      <c r="M2403" s="9" t="s">
        <v>55</v>
      </c>
      <c r="N2403" s="9">
        <v>9339839.26</v>
      </c>
      <c r="O2403" s="9">
        <v>8405855.34</v>
      </c>
      <c r="P2403" s="9">
        <v>670777.49</v>
      </c>
      <c r="Q2403" s="9">
        <v>603699.75</v>
      </c>
      <c r="R2403" s="9" t="s">
        <v>115</v>
      </c>
      <c r="S2403" s="9" t="s">
        <v>115</v>
      </c>
      <c r="V2403" s="9">
        <v>8534437.17</v>
      </c>
      <c r="W2403" s="9">
        <v>648875.11</v>
      </c>
    </row>
    <row r="2404" ht="15.75" customHeight="1">
      <c r="A2404" s="9">
        <v>2111445.0</v>
      </c>
      <c r="B2404" s="9">
        <v>2.6076248E7</v>
      </c>
      <c r="C2404" s="9">
        <v>30539.0</v>
      </c>
      <c r="D2404" s="9" t="s">
        <v>52</v>
      </c>
      <c r="E2404" s="9" t="s">
        <v>53</v>
      </c>
      <c r="F2404" s="9">
        <v>146742.0</v>
      </c>
      <c r="G2404" s="9">
        <v>2.958367847E7</v>
      </c>
      <c r="H2404" s="9">
        <v>2.958367847E7</v>
      </c>
      <c r="I2404" s="9">
        <v>1.152694E7</v>
      </c>
      <c r="J2404" s="9">
        <v>0.0</v>
      </c>
      <c r="K2404" s="9">
        <v>0.0</v>
      </c>
      <c r="L2404" s="9" t="s">
        <v>69</v>
      </c>
      <c r="M2404" s="9" t="s">
        <v>55</v>
      </c>
      <c r="N2404" s="9">
        <v>2.422904416E7</v>
      </c>
      <c r="O2404" s="9">
        <v>2.422904416E7</v>
      </c>
      <c r="P2404" s="9">
        <v>2.422904416E7</v>
      </c>
      <c r="Q2404" s="9">
        <v>1216035.2</v>
      </c>
      <c r="R2404" s="9" t="s">
        <v>56</v>
      </c>
      <c r="S2404" s="9" t="s">
        <v>57</v>
      </c>
      <c r="T2404" s="9" t="s">
        <v>58</v>
      </c>
      <c r="V2404" s="9">
        <v>2.453545913E7</v>
      </c>
      <c r="W2404" s="9">
        <v>0.0</v>
      </c>
      <c r="X2404" s="9">
        <v>0.0</v>
      </c>
    </row>
    <row r="2405" ht="15.75" customHeight="1">
      <c r="A2405" s="9">
        <v>2115643.0</v>
      </c>
      <c r="B2405" s="9">
        <v>913517.0</v>
      </c>
      <c r="C2405" s="9">
        <v>26690.0</v>
      </c>
      <c r="D2405" s="9" t="s">
        <v>52</v>
      </c>
      <c r="E2405" s="9" t="s">
        <v>53</v>
      </c>
      <c r="F2405" s="9">
        <v>130621.0</v>
      </c>
      <c r="G2405" s="9">
        <v>1074579.78</v>
      </c>
      <c r="H2405" s="9">
        <v>1074579.78</v>
      </c>
      <c r="I2405" s="9">
        <v>1074425.49</v>
      </c>
      <c r="J2405" s="9">
        <v>0.0</v>
      </c>
      <c r="K2405" s="9">
        <v>0.0</v>
      </c>
      <c r="L2405" s="9" t="s">
        <v>69</v>
      </c>
      <c r="M2405" s="9" t="s">
        <v>55</v>
      </c>
      <c r="N2405" s="9">
        <v>1004238.66</v>
      </c>
      <c r="O2405" s="9">
        <v>1004238.66</v>
      </c>
      <c r="P2405" s="9">
        <v>50256.35</v>
      </c>
      <c r="Q2405" s="9">
        <v>50256.35</v>
      </c>
      <c r="R2405" s="9" t="s">
        <v>72</v>
      </c>
      <c r="S2405" s="9" t="s">
        <v>57</v>
      </c>
      <c r="T2405" s="9" t="s">
        <v>73</v>
      </c>
      <c r="V2405" s="9">
        <v>1036865.5</v>
      </c>
      <c r="W2405" s="9">
        <v>50230.35</v>
      </c>
      <c r="X2405" s="9">
        <v>0.0</v>
      </c>
    </row>
    <row r="2406" ht="15.75" customHeight="1">
      <c r="A2406" s="9">
        <v>2116368.0</v>
      </c>
      <c r="B2406" s="9">
        <v>1.070861E7</v>
      </c>
      <c r="C2406" s="9">
        <v>30568.0</v>
      </c>
      <c r="D2406" s="9" t="s">
        <v>52</v>
      </c>
      <c r="E2406" s="9" t="s">
        <v>53</v>
      </c>
      <c r="F2406" s="9">
        <v>112994.0</v>
      </c>
      <c r="G2406" s="9">
        <v>7891608.0</v>
      </c>
      <c r="H2406" s="9">
        <v>7891608.0</v>
      </c>
      <c r="I2406" s="9">
        <v>5918706.0</v>
      </c>
      <c r="J2406" s="9">
        <v>0.0</v>
      </c>
      <c r="K2406" s="9">
        <v>0.0</v>
      </c>
      <c r="L2406" s="9" t="s">
        <v>59</v>
      </c>
      <c r="M2406" s="9" t="s">
        <v>55</v>
      </c>
      <c r="N2406" s="9">
        <v>0.0</v>
      </c>
      <c r="O2406" s="9">
        <v>0.0</v>
      </c>
      <c r="P2406" s="9">
        <v>303523.4</v>
      </c>
      <c r="Q2406" s="9">
        <v>303523.4</v>
      </c>
      <c r="R2406" s="9" t="s">
        <v>60</v>
      </c>
      <c r="S2406" s="9" t="s">
        <v>57</v>
      </c>
      <c r="T2406" s="9" t="s">
        <v>61</v>
      </c>
      <c r="V2406" s="9">
        <v>0.0</v>
      </c>
      <c r="W2406" s="9">
        <v>0.0</v>
      </c>
      <c r="X2406" s="9">
        <v>0.0</v>
      </c>
    </row>
    <row r="2407" ht="15.75" customHeight="1">
      <c r="A2407" s="9">
        <v>2116411.0</v>
      </c>
      <c r="B2407" s="9">
        <v>1412543.0</v>
      </c>
      <c r="C2407" s="9">
        <v>30711.0</v>
      </c>
      <c r="D2407" s="9" t="s">
        <v>52</v>
      </c>
      <c r="E2407" s="9" t="s">
        <v>53</v>
      </c>
      <c r="F2407" s="9">
        <v>121592.0</v>
      </c>
      <c r="G2407" s="9">
        <v>1679125.75</v>
      </c>
      <c r="H2407" s="9">
        <v>1679125.75</v>
      </c>
      <c r="I2407" s="9">
        <v>1512845.72</v>
      </c>
      <c r="J2407" s="9">
        <v>0.0</v>
      </c>
      <c r="K2407" s="9">
        <v>0.0</v>
      </c>
      <c r="L2407" s="9" t="s">
        <v>69</v>
      </c>
      <c r="M2407" s="9" t="s">
        <v>55</v>
      </c>
      <c r="N2407" s="9">
        <v>1420911.38</v>
      </c>
      <c r="O2407" s="9">
        <v>1420839.9</v>
      </c>
      <c r="P2407" s="9">
        <v>62158.0</v>
      </c>
      <c r="Q2407" s="9">
        <v>62158.0</v>
      </c>
      <c r="R2407" s="9" t="s">
        <v>60</v>
      </c>
      <c r="S2407" s="9" t="s">
        <v>57</v>
      </c>
      <c r="T2407" s="9" t="s">
        <v>61</v>
      </c>
      <c r="V2407" s="9">
        <v>1298667.8</v>
      </c>
      <c r="W2407" s="9">
        <v>43460.87</v>
      </c>
      <c r="X2407" s="9">
        <v>0.0</v>
      </c>
    </row>
    <row r="2408" ht="15.75" customHeight="1">
      <c r="A2408" s="9">
        <v>2117079.0</v>
      </c>
      <c r="B2408" s="9">
        <v>98104.02</v>
      </c>
      <c r="C2408" s="9">
        <v>31212.0</v>
      </c>
      <c r="D2408" s="9" t="s">
        <v>52</v>
      </c>
      <c r="E2408" s="9" t="s">
        <v>53</v>
      </c>
      <c r="F2408" s="9">
        <v>144356.0</v>
      </c>
      <c r="G2408" s="9">
        <v>99872.38</v>
      </c>
      <c r="H2408" s="9">
        <v>99872.38</v>
      </c>
      <c r="I2408" s="9">
        <v>0.0</v>
      </c>
      <c r="J2408" s="9">
        <v>0.0</v>
      </c>
      <c r="K2408" s="9">
        <v>0.0</v>
      </c>
      <c r="L2408" s="9" t="s">
        <v>69</v>
      </c>
      <c r="M2408" s="9" t="s">
        <v>55</v>
      </c>
      <c r="R2408" s="9" t="s">
        <v>60</v>
      </c>
      <c r="S2408" s="9" t="s">
        <v>57</v>
      </c>
      <c r="T2408" s="9" t="s">
        <v>61</v>
      </c>
      <c r="V2408" s="9">
        <v>100598.94</v>
      </c>
      <c r="W2408" s="9">
        <v>0.0</v>
      </c>
      <c r="X2408" s="9">
        <v>0.0</v>
      </c>
    </row>
    <row r="2409" ht="15.75" customHeight="1">
      <c r="A2409" s="9">
        <v>2124192.0</v>
      </c>
      <c r="B2409" s="9">
        <v>1413526.0</v>
      </c>
      <c r="C2409" s="9">
        <v>30304.0</v>
      </c>
      <c r="D2409" s="9" t="s">
        <v>52</v>
      </c>
      <c r="E2409" s="9" t="s">
        <v>53</v>
      </c>
      <c r="F2409" s="9">
        <v>146918.0</v>
      </c>
      <c r="G2409" s="9">
        <v>1413526.0</v>
      </c>
      <c r="H2409" s="9">
        <v>1413526.0</v>
      </c>
      <c r="I2409" s="9">
        <v>1352831.12</v>
      </c>
      <c r="J2409" s="9">
        <v>0.0</v>
      </c>
      <c r="K2409" s="9">
        <v>0.0</v>
      </c>
      <c r="L2409" s="9" t="s">
        <v>69</v>
      </c>
      <c r="M2409" s="9" t="s">
        <v>55</v>
      </c>
      <c r="N2409" s="9">
        <v>1256814.83</v>
      </c>
      <c r="O2409" s="9">
        <v>1255721.95</v>
      </c>
      <c r="P2409" s="9">
        <v>97109.17</v>
      </c>
      <c r="Q2409" s="9">
        <v>97109.17</v>
      </c>
      <c r="R2409" s="9" t="s">
        <v>56</v>
      </c>
      <c r="S2409" s="9" t="s">
        <v>57</v>
      </c>
      <c r="T2409" s="9" t="s">
        <v>58</v>
      </c>
      <c r="V2409" s="9">
        <v>1260438.3</v>
      </c>
      <c r="W2409" s="9">
        <v>0.0</v>
      </c>
      <c r="X2409" s="9">
        <v>0.0</v>
      </c>
    </row>
    <row r="2410" ht="15.75" customHeight="1">
      <c r="A2410" s="9">
        <v>2126657.0</v>
      </c>
      <c r="B2410" s="9">
        <v>4277639.0</v>
      </c>
      <c r="C2410" s="9">
        <v>30562.0</v>
      </c>
      <c r="D2410" s="9" t="s">
        <v>52</v>
      </c>
      <c r="E2410" s="9" t="s">
        <v>53</v>
      </c>
      <c r="F2410" s="9">
        <v>106454.0</v>
      </c>
      <c r="G2410" s="9">
        <v>3908339.44</v>
      </c>
      <c r="H2410" s="9">
        <v>3908339.44</v>
      </c>
      <c r="I2410" s="9">
        <v>3908228.0</v>
      </c>
      <c r="J2410" s="9">
        <v>0.0</v>
      </c>
      <c r="K2410" s="9">
        <v>0.0</v>
      </c>
      <c r="L2410" s="9" t="s">
        <v>59</v>
      </c>
      <c r="M2410" s="9" t="s">
        <v>55</v>
      </c>
      <c r="N2410" s="9">
        <v>3722228.04</v>
      </c>
      <c r="O2410" s="9">
        <v>3722228.04</v>
      </c>
      <c r="P2410" s="9">
        <v>3722228.04</v>
      </c>
      <c r="Q2410" s="9">
        <v>186000.0</v>
      </c>
      <c r="R2410" s="9" t="s">
        <v>60</v>
      </c>
      <c r="S2410" s="9" t="s">
        <v>57</v>
      </c>
      <c r="T2410" s="9" t="s">
        <v>61</v>
      </c>
      <c r="V2410" s="9">
        <v>3722228.0</v>
      </c>
      <c r="W2410" s="9">
        <v>186000.0</v>
      </c>
      <c r="X2410" s="9">
        <v>0.0</v>
      </c>
    </row>
    <row r="2411" ht="15.75" customHeight="1">
      <c r="A2411" s="9">
        <v>2128511.0</v>
      </c>
      <c r="B2411" s="9">
        <v>832942.0</v>
      </c>
      <c r="C2411" s="9">
        <v>30088.0</v>
      </c>
      <c r="D2411" s="9" t="s">
        <v>52</v>
      </c>
      <c r="E2411" s="9" t="s">
        <v>53</v>
      </c>
      <c r="F2411" s="9">
        <v>134069.0</v>
      </c>
      <c r="G2411" s="9">
        <v>1164013.6</v>
      </c>
      <c r="H2411" s="9">
        <v>1164013.6</v>
      </c>
      <c r="I2411" s="9">
        <v>1160013.4</v>
      </c>
      <c r="J2411" s="9">
        <v>0.0</v>
      </c>
      <c r="K2411" s="9">
        <v>0.0</v>
      </c>
      <c r="L2411" s="9" t="s">
        <v>69</v>
      </c>
      <c r="M2411" s="9" t="s">
        <v>55</v>
      </c>
      <c r="N2411" s="9">
        <v>1094352.4</v>
      </c>
      <c r="O2411" s="9">
        <v>1.726711404E7</v>
      </c>
      <c r="P2411" s="9">
        <v>1094352.4</v>
      </c>
      <c r="Q2411" s="9">
        <v>65661.2</v>
      </c>
      <c r="R2411" s="9" t="s">
        <v>60</v>
      </c>
      <c r="S2411" s="9" t="s">
        <v>57</v>
      </c>
      <c r="T2411" s="9" t="s">
        <v>61</v>
      </c>
      <c r="V2411" s="9">
        <v>1094352.41</v>
      </c>
      <c r="W2411" s="9">
        <v>65681.2</v>
      </c>
      <c r="X2411" s="9">
        <v>0.0</v>
      </c>
    </row>
    <row r="2412" ht="15.75" customHeight="1">
      <c r="A2412" s="9">
        <v>2129272.0</v>
      </c>
      <c r="B2412" s="9">
        <v>1328263.0</v>
      </c>
      <c r="C2412" s="9">
        <v>26602.0</v>
      </c>
      <c r="D2412" s="9" t="s">
        <v>52</v>
      </c>
      <c r="E2412" s="9" t="s">
        <v>53</v>
      </c>
      <c r="F2412" s="9">
        <v>160537.0</v>
      </c>
      <c r="G2412" s="9">
        <v>60000.0</v>
      </c>
      <c r="H2412" s="9">
        <v>60000.0</v>
      </c>
      <c r="I2412" s="9">
        <v>1409292.06</v>
      </c>
      <c r="J2412" s="9">
        <v>0.0</v>
      </c>
      <c r="K2412" s="9">
        <v>0.0</v>
      </c>
      <c r="L2412" s="9" t="s">
        <v>59</v>
      </c>
      <c r="M2412" s="9" t="s">
        <v>55</v>
      </c>
      <c r="N2412" s="9">
        <v>1269000.33</v>
      </c>
      <c r="O2412" s="9">
        <v>1269000.33</v>
      </c>
      <c r="P2412" s="9">
        <v>44750.0</v>
      </c>
      <c r="Q2412" s="9">
        <v>44750.0</v>
      </c>
      <c r="R2412" s="9" t="s">
        <v>60</v>
      </c>
      <c r="S2412" s="9" t="s">
        <v>57</v>
      </c>
      <c r="T2412" s="9" t="s">
        <v>61</v>
      </c>
      <c r="V2412" s="9">
        <v>1336512.3</v>
      </c>
      <c r="W2412" s="9">
        <v>31454.79</v>
      </c>
      <c r="X2412" s="9">
        <v>0.0</v>
      </c>
    </row>
    <row r="2413" ht="15.75" customHeight="1">
      <c r="A2413" s="9">
        <v>2131951.0</v>
      </c>
      <c r="B2413" s="9">
        <v>1.0722984E7</v>
      </c>
      <c r="C2413" s="9">
        <v>30247.0</v>
      </c>
      <c r="D2413" s="9" t="s">
        <v>52</v>
      </c>
      <c r="E2413" s="9" t="s">
        <v>53</v>
      </c>
      <c r="F2413" s="9">
        <v>82692.0</v>
      </c>
      <c r="G2413" s="9">
        <v>1.174355119E7</v>
      </c>
      <c r="H2413" s="9">
        <v>1.174355119E7</v>
      </c>
      <c r="I2413" s="9">
        <v>1.144878648E7</v>
      </c>
      <c r="J2413" s="9">
        <v>0.0</v>
      </c>
      <c r="K2413" s="9">
        <v>0.0</v>
      </c>
      <c r="L2413" s="9" t="s">
        <v>69</v>
      </c>
      <c r="M2413" s="9" t="s">
        <v>55</v>
      </c>
      <c r="N2413" s="9">
        <v>1.898834175E7</v>
      </c>
      <c r="O2413" s="9">
        <v>1.126318795E7</v>
      </c>
      <c r="P2413" s="9">
        <v>215181.12</v>
      </c>
      <c r="Q2413" s="9">
        <v>215181.12</v>
      </c>
      <c r="R2413" s="9" t="s">
        <v>60</v>
      </c>
      <c r="S2413" s="9" t="s">
        <v>57</v>
      </c>
      <c r="T2413" s="9" t="s">
        <v>61</v>
      </c>
      <c r="V2413" s="9">
        <v>1.147977003E7</v>
      </c>
      <c r="W2413" s="9">
        <v>178600.33</v>
      </c>
      <c r="X2413" s="9">
        <v>0.0</v>
      </c>
    </row>
    <row r="2414" ht="15.75" customHeight="1">
      <c r="A2414" s="9">
        <v>2132673.0</v>
      </c>
      <c r="B2414" s="9">
        <v>5.392465E7</v>
      </c>
      <c r="C2414" s="9">
        <v>39329.0</v>
      </c>
      <c r="D2414" s="9" t="s">
        <v>52</v>
      </c>
      <c r="E2414" s="9" t="s">
        <v>53</v>
      </c>
      <c r="F2414" s="9">
        <v>112136.0</v>
      </c>
      <c r="G2414" s="9">
        <v>6.84327349E7</v>
      </c>
      <c r="H2414" s="9">
        <v>6.419378821E7</v>
      </c>
      <c r="I2414" s="9">
        <v>2.812326554E7</v>
      </c>
      <c r="J2414" s="9">
        <v>0.0</v>
      </c>
      <c r="K2414" s="9">
        <v>10000.0</v>
      </c>
      <c r="L2414" s="9" t="s">
        <v>59</v>
      </c>
      <c r="M2414" s="9" t="s">
        <v>55</v>
      </c>
      <c r="N2414" s="9">
        <v>6.054225848E7</v>
      </c>
      <c r="O2414" s="9">
        <v>5.643769857E7</v>
      </c>
      <c r="P2414" s="9">
        <v>2508180.0</v>
      </c>
      <c r="Q2414" s="9">
        <v>2458022.6</v>
      </c>
      <c r="R2414" s="9" t="s">
        <v>77</v>
      </c>
      <c r="S2414" s="9" t="s">
        <v>78</v>
      </c>
      <c r="T2414" s="9" t="s">
        <v>79</v>
      </c>
      <c r="U2414" s="9" t="s">
        <v>80</v>
      </c>
    </row>
    <row r="2415" ht="15.75" customHeight="1">
      <c r="A2415" s="9">
        <v>2133298.0</v>
      </c>
      <c r="B2415" s="9">
        <v>5780304.0</v>
      </c>
      <c r="C2415" s="9">
        <v>42648.0</v>
      </c>
      <c r="D2415" s="9" t="s">
        <v>52</v>
      </c>
      <c r="E2415" s="9" t="s">
        <v>88</v>
      </c>
      <c r="F2415" s="9">
        <v>129371.0</v>
      </c>
      <c r="G2415" s="9">
        <v>1.0895237E7</v>
      </c>
      <c r="H2415" s="9">
        <v>1.426897548E7</v>
      </c>
      <c r="I2415" s="9">
        <v>1.352841599E7</v>
      </c>
      <c r="J2415" s="9">
        <v>0.0</v>
      </c>
      <c r="K2415" s="9">
        <v>50000.0</v>
      </c>
      <c r="L2415" s="9" t="s">
        <v>59</v>
      </c>
      <c r="M2415" s="9" t="s">
        <v>62</v>
      </c>
      <c r="N2415" s="9">
        <v>3669503.89</v>
      </c>
      <c r="O2415" s="9">
        <v>3669504.0</v>
      </c>
      <c r="P2415" s="9">
        <v>361280.6</v>
      </c>
      <c r="Q2415" s="9">
        <v>325152.54</v>
      </c>
      <c r="R2415" s="9" t="s">
        <v>115</v>
      </c>
      <c r="S2415" s="9" t="s">
        <v>115</v>
      </c>
      <c r="V2415" s="9">
        <v>4154756.79</v>
      </c>
      <c r="W2415" s="9">
        <v>341592.81</v>
      </c>
    </row>
    <row r="2416" ht="15.75" customHeight="1">
      <c r="A2416" s="9">
        <v>2134241.0</v>
      </c>
      <c r="B2416" s="9">
        <v>1.1337879E7</v>
      </c>
      <c r="C2416" s="9">
        <v>30466.0</v>
      </c>
      <c r="D2416" s="9" t="s">
        <v>52</v>
      </c>
      <c r="E2416" s="9" t="s">
        <v>53</v>
      </c>
      <c r="F2416" s="9">
        <v>128384.0</v>
      </c>
      <c r="G2416" s="9">
        <v>1.2777029E7</v>
      </c>
      <c r="H2416" s="9">
        <v>1.2777029E7</v>
      </c>
      <c r="I2416" s="9">
        <v>926545.0</v>
      </c>
      <c r="J2416" s="9">
        <v>0.0</v>
      </c>
      <c r="K2416" s="9">
        <v>0.0</v>
      </c>
      <c r="L2416" s="9" t="s">
        <v>54</v>
      </c>
      <c r="M2416" s="9" t="s">
        <v>55</v>
      </c>
      <c r="N2416" s="9">
        <v>1.022328697E7</v>
      </c>
      <c r="O2416" s="9">
        <v>9804132.0</v>
      </c>
      <c r="P2416" s="9">
        <v>182648.55</v>
      </c>
      <c r="Q2416" s="9">
        <v>164383.7</v>
      </c>
      <c r="R2416" s="9" t="s">
        <v>60</v>
      </c>
      <c r="S2416" s="9" t="s">
        <v>57</v>
      </c>
      <c r="T2416" s="9" t="s">
        <v>61</v>
      </c>
      <c r="V2416" s="9">
        <v>1.150533517E7</v>
      </c>
      <c r="W2416" s="9">
        <v>164383.7</v>
      </c>
      <c r="X2416" s="9">
        <v>0.0</v>
      </c>
    </row>
    <row r="2417" ht="15.75" customHeight="1">
      <c r="A2417" s="9">
        <v>2134759.0</v>
      </c>
      <c r="B2417" s="9">
        <v>4152935.0</v>
      </c>
      <c r="C2417" s="9">
        <v>30365.0</v>
      </c>
      <c r="D2417" s="9" t="s">
        <v>52</v>
      </c>
      <c r="E2417" s="9" t="s">
        <v>53</v>
      </c>
      <c r="F2417" s="9">
        <v>88800.0</v>
      </c>
      <c r="G2417" s="9">
        <v>4546339.36</v>
      </c>
      <c r="H2417" s="9">
        <v>4546339.36</v>
      </c>
      <c r="I2417" s="9">
        <v>4017532.92</v>
      </c>
      <c r="J2417" s="9">
        <v>0.0</v>
      </c>
      <c r="K2417" s="9">
        <v>0.0</v>
      </c>
      <c r="L2417" s="9" t="s">
        <v>59</v>
      </c>
      <c r="M2417" s="9" t="s">
        <v>55</v>
      </c>
      <c r="N2417" s="9">
        <v>4323403.23</v>
      </c>
      <c r="O2417" s="9">
        <v>3891062.91</v>
      </c>
      <c r="P2417" s="9">
        <v>147635.7</v>
      </c>
      <c r="Q2417" s="9">
        <v>132872.13</v>
      </c>
      <c r="R2417" s="9" t="s">
        <v>60</v>
      </c>
      <c r="S2417" s="9" t="s">
        <v>57</v>
      </c>
      <c r="T2417" s="9" t="s">
        <v>61</v>
      </c>
      <c r="V2417" s="9">
        <v>3899425.25</v>
      </c>
      <c r="W2417" s="9">
        <v>0.0</v>
      </c>
      <c r="X2417" s="9">
        <v>0.0</v>
      </c>
    </row>
    <row r="2418" ht="15.75" customHeight="1">
      <c r="A2418" s="9">
        <v>2140586.0</v>
      </c>
      <c r="B2418" s="9">
        <v>2088832.0</v>
      </c>
      <c r="C2418" s="9">
        <v>29980.0</v>
      </c>
      <c r="D2418" s="9" t="s">
        <v>52</v>
      </c>
      <c r="E2418" s="9" t="s">
        <v>53</v>
      </c>
      <c r="F2418" s="9">
        <v>169183.0</v>
      </c>
      <c r="G2418" s="9">
        <v>2879163.43</v>
      </c>
      <c r="H2418" s="9">
        <v>2879163.43</v>
      </c>
      <c r="I2418" s="9">
        <v>2790020.36</v>
      </c>
      <c r="J2418" s="9">
        <v>0.0</v>
      </c>
      <c r="K2418" s="9">
        <v>0.0</v>
      </c>
      <c r="L2418" s="9" t="s">
        <v>69</v>
      </c>
      <c r="M2418" s="9" t="s">
        <v>55</v>
      </c>
      <c r="N2418" s="9">
        <v>2725197.48</v>
      </c>
      <c r="O2418" s="9">
        <v>2725197.48</v>
      </c>
      <c r="P2418" s="9">
        <v>2725197.48</v>
      </c>
      <c r="Q2418" s="9">
        <v>57500.0</v>
      </c>
      <c r="R2418" s="9" t="s">
        <v>60</v>
      </c>
      <c r="S2418" s="9" t="s">
        <v>57</v>
      </c>
      <c r="T2418" s="9" t="s">
        <v>61</v>
      </c>
      <c r="V2418" s="9">
        <v>2725198.0</v>
      </c>
      <c r="W2418" s="9">
        <v>57500.0</v>
      </c>
      <c r="X2418" s="9">
        <v>0.0</v>
      </c>
    </row>
    <row r="2419" ht="15.75" customHeight="1">
      <c r="A2419" s="9">
        <v>2140718.0</v>
      </c>
      <c r="B2419" s="9">
        <v>2279422.0</v>
      </c>
      <c r="C2419" s="9">
        <v>30189.0</v>
      </c>
      <c r="D2419" s="9" t="s">
        <v>52</v>
      </c>
      <c r="E2419" s="9" t="s">
        <v>53</v>
      </c>
      <c r="F2419" s="9">
        <v>169675.0</v>
      </c>
      <c r="G2419" s="9">
        <v>2279422.0</v>
      </c>
      <c r="H2419" s="9">
        <v>2279422.0</v>
      </c>
      <c r="I2419" s="9">
        <v>2279422.0</v>
      </c>
      <c r="J2419" s="9">
        <v>0.0</v>
      </c>
      <c r="K2419" s="9">
        <v>0.0</v>
      </c>
      <c r="L2419" s="9" t="s">
        <v>69</v>
      </c>
      <c r="M2419" s="9" t="s">
        <v>55</v>
      </c>
      <c r="N2419" s="9">
        <v>2165450.9</v>
      </c>
      <c r="O2419" s="9">
        <v>2165450.9</v>
      </c>
      <c r="P2419" s="9">
        <v>113971.1</v>
      </c>
      <c r="Q2419" s="9">
        <v>113971.1</v>
      </c>
      <c r="R2419" s="9" t="s">
        <v>60</v>
      </c>
      <c r="S2419" s="9" t="s">
        <v>57</v>
      </c>
      <c r="T2419" s="9" t="s">
        <v>61</v>
      </c>
      <c r="V2419" s="9">
        <v>2165450.9</v>
      </c>
      <c r="W2419" s="9">
        <v>113971.1</v>
      </c>
      <c r="X2419" s="9">
        <v>0.0</v>
      </c>
    </row>
    <row r="2420" ht="15.75" customHeight="1">
      <c r="A2420" s="9">
        <v>2439229.0</v>
      </c>
      <c r="B2420" s="9">
        <v>221289.53</v>
      </c>
      <c r="C2420" s="9">
        <v>43162.0</v>
      </c>
      <c r="D2420" s="9" t="s">
        <v>52</v>
      </c>
      <c r="E2420" s="9" t="s">
        <v>111</v>
      </c>
      <c r="F2420" s="9">
        <v>2439229.0</v>
      </c>
      <c r="G2420" s="9">
        <v>221289.53</v>
      </c>
      <c r="H2420" s="9">
        <v>229091.53</v>
      </c>
      <c r="I2420" s="9">
        <v>0.0</v>
      </c>
      <c r="J2420" s="9">
        <v>0.0</v>
      </c>
      <c r="K2420" s="9">
        <v>0.0</v>
      </c>
      <c r="L2420" s="9" t="s">
        <v>59</v>
      </c>
      <c r="M2420" s="9" t="s">
        <v>55</v>
      </c>
      <c r="R2420" s="9" t="s">
        <v>141</v>
      </c>
      <c r="S2420" s="9" t="s">
        <v>101</v>
      </c>
      <c r="T2420" s="9" t="s">
        <v>142</v>
      </c>
    </row>
    <row r="2421" ht="15.75" customHeight="1">
      <c r="A2421" s="9">
        <v>2439247.0</v>
      </c>
      <c r="B2421" s="9">
        <v>75664.2</v>
      </c>
      <c r="C2421" s="9">
        <v>43419.0</v>
      </c>
      <c r="D2421" s="9" t="s">
        <v>52</v>
      </c>
      <c r="E2421" s="9" t="s">
        <v>111</v>
      </c>
      <c r="F2421" s="9">
        <v>2439247.0</v>
      </c>
      <c r="G2421" s="9">
        <v>75664.2</v>
      </c>
      <c r="H2421" s="9">
        <v>78579.56</v>
      </c>
      <c r="I2421" s="9">
        <v>4869.61</v>
      </c>
      <c r="J2421" s="9">
        <v>0.0</v>
      </c>
      <c r="K2421" s="9">
        <v>0.0</v>
      </c>
      <c r="L2421" s="9" t="s">
        <v>59</v>
      </c>
      <c r="M2421" s="9" t="s">
        <v>55</v>
      </c>
      <c r="R2421" s="9" t="s">
        <v>56</v>
      </c>
      <c r="S2421" s="9" t="s">
        <v>57</v>
      </c>
      <c r="T2421" s="9" t="s">
        <v>58</v>
      </c>
    </row>
    <row r="2422" ht="15.75" customHeight="1">
      <c r="A2422" s="9">
        <v>2439286.0</v>
      </c>
      <c r="B2422" s="9">
        <v>875775.79</v>
      </c>
      <c r="C2422" s="9">
        <v>43170.0</v>
      </c>
      <c r="D2422" s="9" t="s">
        <v>52</v>
      </c>
      <c r="E2422" s="9" t="s">
        <v>111</v>
      </c>
      <c r="F2422" s="9">
        <v>2439286.0</v>
      </c>
      <c r="G2422" s="9">
        <v>875775.79</v>
      </c>
      <c r="H2422" s="9">
        <v>889318.79</v>
      </c>
      <c r="I2422" s="9">
        <v>0.0</v>
      </c>
      <c r="J2422" s="9">
        <v>0.0</v>
      </c>
      <c r="K2422" s="9">
        <v>0.0</v>
      </c>
      <c r="L2422" s="9" t="s">
        <v>59</v>
      </c>
      <c r="M2422" s="9" t="s">
        <v>55</v>
      </c>
      <c r="R2422" s="9" t="s">
        <v>70</v>
      </c>
      <c r="S2422" s="9" t="s">
        <v>57</v>
      </c>
      <c r="T2422" s="9" t="s">
        <v>71</v>
      </c>
    </row>
    <row r="2423" ht="15.75" customHeight="1">
      <c r="A2423" s="9">
        <v>2439322.0</v>
      </c>
      <c r="B2423" s="9">
        <v>95772.82</v>
      </c>
      <c r="C2423" s="9">
        <v>43146.0</v>
      </c>
      <c r="D2423" s="9" t="s">
        <v>52</v>
      </c>
      <c r="E2423" s="9" t="s">
        <v>111</v>
      </c>
      <c r="F2423" s="9">
        <v>2439322.0</v>
      </c>
      <c r="G2423" s="9">
        <v>95772.82</v>
      </c>
      <c r="H2423" s="9">
        <v>100296.32</v>
      </c>
      <c r="I2423" s="9">
        <v>0.0</v>
      </c>
      <c r="J2423" s="9">
        <v>0.0</v>
      </c>
      <c r="K2423" s="9">
        <v>0.0</v>
      </c>
      <c r="L2423" s="9" t="s">
        <v>59</v>
      </c>
      <c r="M2423" s="9" t="s">
        <v>55</v>
      </c>
      <c r="R2423" s="9" t="s">
        <v>94</v>
      </c>
      <c r="S2423" s="9" t="s">
        <v>57</v>
      </c>
      <c r="T2423" s="9" t="s">
        <v>95</v>
      </c>
    </row>
    <row r="2424" ht="15.75" customHeight="1">
      <c r="A2424" s="9">
        <v>2439336.0</v>
      </c>
      <c r="B2424" s="9">
        <v>143606.78</v>
      </c>
      <c r="C2424" s="9">
        <v>43307.0</v>
      </c>
      <c r="D2424" s="9" t="s">
        <v>52</v>
      </c>
      <c r="E2424" s="9" t="s">
        <v>111</v>
      </c>
      <c r="F2424" s="9">
        <v>2439336.0</v>
      </c>
      <c r="G2424" s="9">
        <v>143606.78</v>
      </c>
      <c r="H2424" s="9">
        <v>148093.38</v>
      </c>
      <c r="I2424" s="9">
        <v>0.0</v>
      </c>
      <c r="J2424" s="9">
        <v>0.0</v>
      </c>
      <c r="K2424" s="9">
        <v>0.0</v>
      </c>
      <c r="L2424" s="9" t="s">
        <v>59</v>
      </c>
      <c r="M2424" s="9" t="s">
        <v>55</v>
      </c>
      <c r="R2424" s="9" t="s">
        <v>94</v>
      </c>
      <c r="S2424" s="9" t="s">
        <v>57</v>
      </c>
      <c r="T2424" s="9" t="s">
        <v>95</v>
      </c>
    </row>
    <row r="2425" ht="15.75" customHeight="1">
      <c r="A2425" s="9">
        <v>2439447.0</v>
      </c>
      <c r="B2425" s="9">
        <v>114576.02</v>
      </c>
      <c r="C2425" s="9">
        <v>43282.0</v>
      </c>
      <c r="D2425" s="9" t="s">
        <v>52</v>
      </c>
      <c r="E2425" s="9" t="s">
        <v>111</v>
      </c>
      <c r="F2425" s="9">
        <v>2439447.0</v>
      </c>
      <c r="G2425" s="9">
        <v>114576.02</v>
      </c>
      <c r="H2425" s="9">
        <v>119281.4</v>
      </c>
      <c r="I2425" s="9">
        <v>0.0</v>
      </c>
      <c r="J2425" s="9">
        <v>0.0</v>
      </c>
      <c r="K2425" s="9">
        <v>0.0</v>
      </c>
      <c r="L2425" s="9" t="s">
        <v>59</v>
      </c>
      <c r="M2425" s="9" t="s">
        <v>55</v>
      </c>
      <c r="R2425" s="9" t="s">
        <v>75</v>
      </c>
      <c r="S2425" s="9" t="s">
        <v>57</v>
      </c>
      <c r="T2425" s="9" t="s">
        <v>76</v>
      </c>
    </row>
    <row r="2426" ht="15.75" customHeight="1">
      <c r="A2426" s="9">
        <v>2439990.0</v>
      </c>
      <c r="B2426" s="9">
        <v>119126.96</v>
      </c>
      <c r="C2426" s="9">
        <v>43264.0</v>
      </c>
      <c r="D2426" s="9" t="s">
        <v>52</v>
      </c>
      <c r="E2426" s="9" t="s">
        <v>111</v>
      </c>
      <c r="F2426" s="9">
        <v>2439990.0</v>
      </c>
      <c r="G2426" s="9">
        <v>119126.96</v>
      </c>
      <c r="H2426" s="9">
        <v>122475.32</v>
      </c>
      <c r="I2426" s="9">
        <v>0.0</v>
      </c>
      <c r="J2426" s="9">
        <v>0.0</v>
      </c>
      <c r="K2426" s="9">
        <v>0.0</v>
      </c>
      <c r="L2426" s="9" t="s">
        <v>59</v>
      </c>
      <c r="M2426" s="9" t="s">
        <v>55</v>
      </c>
      <c r="R2426" s="9" t="s">
        <v>106</v>
      </c>
      <c r="S2426" s="9" t="s">
        <v>82</v>
      </c>
      <c r="T2426" s="9" t="s">
        <v>107</v>
      </c>
      <c r="U2426" s="9" t="s">
        <v>108</v>
      </c>
    </row>
    <row r="2427" ht="15.75" customHeight="1">
      <c r="A2427" s="9">
        <v>2440029.0</v>
      </c>
      <c r="B2427" s="9">
        <v>224616.47</v>
      </c>
      <c r="C2427" s="9">
        <v>43231.0</v>
      </c>
      <c r="D2427" s="9" t="s">
        <v>52</v>
      </c>
      <c r="E2427" s="9" t="s">
        <v>111</v>
      </c>
      <c r="F2427" s="9">
        <v>2440029.0</v>
      </c>
      <c r="G2427" s="9">
        <v>224616.47</v>
      </c>
      <c r="H2427" s="9">
        <v>228818.97</v>
      </c>
      <c r="I2427" s="9">
        <v>0.0</v>
      </c>
      <c r="J2427" s="9">
        <v>0.0</v>
      </c>
      <c r="K2427" s="9">
        <v>0.0</v>
      </c>
      <c r="L2427" s="9" t="s">
        <v>59</v>
      </c>
      <c r="M2427" s="9" t="s">
        <v>55</v>
      </c>
      <c r="R2427" s="9" t="s">
        <v>94</v>
      </c>
      <c r="S2427" s="9" t="s">
        <v>57</v>
      </c>
      <c r="T2427" s="9" t="s">
        <v>95</v>
      </c>
    </row>
    <row r="2428" ht="15.75" customHeight="1">
      <c r="A2428" s="9">
        <v>2440422.0</v>
      </c>
      <c r="B2428" s="9">
        <v>91899.99</v>
      </c>
      <c r="C2428" s="9">
        <v>43144.0</v>
      </c>
      <c r="D2428" s="9" t="s">
        <v>52</v>
      </c>
      <c r="E2428" s="9" t="s">
        <v>111</v>
      </c>
      <c r="F2428" s="9">
        <v>2440422.0</v>
      </c>
      <c r="G2428" s="9">
        <v>91899.99</v>
      </c>
      <c r="H2428" s="9">
        <v>95678.99</v>
      </c>
      <c r="I2428" s="9">
        <v>3896.0</v>
      </c>
      <c r="J2428" s="9">
        <v>0.0</v>
      </c>
      <c r="K2428" s="9">
        <v>0.0</v>
      </c>
      <c r="L2428" s="9" t="s">
        <v>59</v>
      </c>
      <c r="M2428" s="9" t="s">
        <v>55</v>
      </c>
      <c r="R2428" s="9" t="s">
        <v>56</v>
      </c>
      <c r="S2428" s="9" t="s">
        <v>57</v>
      </c>
      <c r="T2428" s="9" t="s">
        <v>58</v>
      </c>
    </row>
    <row r="2429" ht="15.75" customHeight="1">
      <c r="A2429" s="9">
        <v>2440483.0</v>
      </c>
      <c r="B2429" s="9">
        <v>330400.24</v>
      </c>
      <c r="C2429" s="9">
        <v>43228.0</v>
      </c>
      <c r="D2429" s="9" t="s">
        <v>52</v>
      </c>
      <c r="E2429" s="9" t="s">
        <v>111</v>
      </c>
      <c r="F2429" s="9">
        <v>2440483.0</v>
      </c>
      <c r="G2429" s="9">
        <v>330400.24</v>
      </c>
      <c r="H2429" s="9">
        <v>336093.24</v>
      </c>
      <c r="I2429" s="9">
        <v>13919.0</v>
      </c>
      <c r="J2429" s="9">
        <v>0.0</v>
      </c>
      <c r="K2429" s="9">
        <v>0.0</v>
      </c>
      <c r="L2429" s="9" t="s">
        <v>59</v>
      </c>
      <c r="M2429" s="9" t="s">
        <v>55</v>
      </c>
      <c r="R2429" s="9" t="s">
        <v>94</v>
      </c>
      <c r="S2429" s="9" t="s">
        <v>57</v>
      </c>
      <c r="T2429" s="9" t="s">
        <v>95</v>
      </c>
    </row>
    <row r="2430" ht="15.75" customHeight="1">
      <c r="A2430" s="9">
        <v>2440490.0</v>
      </c>
      <c r="B2430" s="9">
        <v>97082.63</v>
      </c>
      <c r="C2430" s="9">
        <v>43089.0</v>
      </c>
      <c r="D2430" s="9" t="s">
        <v>52</v>
      </c>
      <c r="E2430" s="9" t="s">
        <v>111</v>
      </c>
      <c r="F2430" s="9">
        <v>2440490.0</v>
      </c>
      <c r="G2430" s="9">
        <v>97082.63</v>
      </c>
      <c r="H2430" s="9">
        <v>100237.13</v>
      </c>
      <c r="I2430" s="9">
        <v>0.0</v>
      </c>
      <c r="J2430" s="9">
        <v>0.0</v>
      </c>
      <c r="K2430" s="9">
        <v>0.0</v>
      </c>
      <c r="L2430" s="9" t="s">
        <v>59</v>
      </c>
      <c r="M2430" s="9" t="s">
        <v>55</v>
      </c>
      <c r="R2430" s="9" t="s">
        <v>75</v>
      </c>
      <c r="S2430" s="9" t="s">
        <v>57</v>
      </c>
      <c r="T2430" s="9" t="s">
        <v>76</v>
      </c>
    </row>
    <row r="2431" ht="15.75" customHeight="1">
      <c r="A2431" s="9">
        <v>2441726.0</v>
      </c>
      <c r="B2431" s="9">
        <v>698522.88</v>
      </c>
      <c r="C2431" s="9">
        <v>43250.0</v>
      </c>
      <c r="D2431" s="9" t="s">
        <v>52</v>
      </c>
      <c r="E2431" s="9" t="s">
        <v>111</v>
      </c>
      <c r="F2431" s="9">
        <v>2441726.0</v>
      </c>
      <c r="G2431" s="9">
        <v>698522.88</v>
      </c>
      <c r="H2431" s="9">
        <v>707402.0</v>
      </c>
      <c r="I2431" s="9">
        <v>7276.92</v>
      </c>
      <c r="J2431" s="9">
        <v>0.0</v>
      </c>
      <c r="K2431" s="9">
        <v>0.0</v>
      </c>
      <c r="L2431" s="9" t="s">
        <v>59</v>
      </c>
      <c r="M2431" s="9" t="s">
        <v>55</v>
      </c>
      <c r="R2431" s="9" t="s">
        <v>106</v>
      </c>
      <c r="S2431" s="9" t="s">
        <v>82</v>
      </c>
      <c r="T2431" s="9" t="s">
        <v>107</v>
      </c>
      <c r="U2431" s="9" t="s">
        <v>108</v>
      </c>
    </row>
    <row r="2432" ht="15.75" customHeight="1">
      <c r="A2432" s="9">
        <v>2442237.0</v>
      </c>
      <c r="B2432" s="9">
        <v>297767.93</v>
      </c>
      <c r="C2432" s="9">
        <v>43093.0</v>
      </c>
      <c r="D2432" s="9" t="s">
        <v>52</v>
      </c>
      <c r="E2432" s="9" t="s">
        <v>111</v>
      </c>
      <c r="F2432" s="9">
        <v>2442237.0</v>
      </c>
      <c r="G2432" s="9">
        <v>297767.93</v>
      </c>
      <c r="H2432" s="9">
        <v>304042.93</v>
      </c>
      <c r="I2432" s="9">
        <v>9730.08</v>
      </c>
      <c r="J2432" s="9">
        <v>0.0</v>
      </c>
      <c r="K2432" s="9">
        <v>0.0</v>
      </c>
      <c r="L2432" s="9" t="s">
        <v>59</v>
      </c>
      <c r="M2432" s="9" t="s">
        <v>55</v>
      </c>
      <c r="R2432" s="9" t="s">
        <v>75</v>
      </c>
      <c r="S2432" s="9" t="s">
        <v>57</v>
      </c>
      <c r="T2432" s="9" t="s">
        <v>76</v>
      </c>
    </row>
    <row r="2433" ht="15.75" customHeight="1">
      <c r="A2433" s="9">
        <v>2446692.0</v>
      </c>
      <c r="B2433" s="9">
        <v>3692805.84</v>
      </c>
      <c r="C2433" s="9">
        <v>47208.0</v>
      </c>
      <c r="D2433" s="9" t="s">
        <v>52</v>
      </c>
      <c r="E2433" s="9" t="s">
        <v>53</v>
      </c>
      <c r="F2433" s="9">
        <v>2446692.0</v>
      </c>
      <c r="G2433" s="9">
        <v>9941182.11</v>
      </c>
      <c r="H2433" s="9">
        <v>9891960.62</v>
      </c>
      <c r="I2433" s="9">
        <v>9710056.57</v>
      </c>
      <c r="J2433" s="9">
        <v>0.0</v>
      </c>
      <c r="K2433" s="9">
        <v>0.0</v>
      </c>
      <c r="L2433" s="9" t="s">
        <v>59</v>
      </c>
      <c r="M2433" s="9" t="s">
        <v>55</v>
      </c>
      <c r="N2433" s="9">
        <v>1.010844803E7</v>
      </c>
      <c r="O2433" s="9">
        <v>9413260.62</v>
      </c>
      <c r="P2433" s="9">
        <v>497335.64</v>
      </c>
      <c r="Q2433" s="9">
        <v>460700.0</v>
      </c>
      <c r="R2433" s="9" t="s">
        <v>94</v>
      </c>
      <c r="S2433" s="9" t="s">
        <v>57</v>
      </c>
      <c r="T2433" s="9" t="s">
        <v>95</v>
      </c>
    </row>
    <row r="2434" ht="15.75" customHeight="1">
      <c r="A2434" s="9">
        <v>2459017.0</v>
      </c>
      <c r="B2434" s="9">
        <v>2.1357977614E8</v>
      </c>
      <c r="C2434" s="9">
        <v>47919.0</v>
      </c>
      <c r="D2434" s="9" t="s">
        <v>52</v>
      </c>
      <c r="E2434" s="9" t="s">
        <v>154</v>
      </c>
      <c r="F2434" s="9">
        <v>2459017.0</v>
      </c>
      <c r="H2434" s="9">
        <v>3.5776900299E8</v>
      </c>
      <c r="I2434" s="9">
        <v>1.1843871952E8</v>
      </c>
      <c r="J2434" s="9">
        <v>7.905748235E7</v>
      </c>
      <c r="K2434" s="9">
        <v>9.139165E7</v>
      </c>
      <c r="L2434" s="9" t="s">
        <v>59</v>
      </c>
      <c r="M2434" s="9" t="s">
        <v>55</v>
      </c>
      <c r="N2434" s="9">
        <v>1.827924509E8</v>
      </c>
      <c r="O2434" s="9">
        <v>1.9924070784E8</v>
      </c>
      <c r="P2434" s="9">
        <v>0.0</v>
      </c>
      <c r="Q2434" s="9">
        <v>8559519.52</v>
      </c>
      <c r="R2434" s="9" t="s">
        <v>135</v>
      </c>
      <c r="S2434" s="9" t="s">
        <v>82</v>
      </c>
      <c r="T2434" s="9" t="s">
        <v>83</v>
      </c>
      <c r="U2434" s="9" t="s">
        <v>136</v>
      </c>
    </row>
    <row r="2435" ht="15.75" customHeight="1">
      <c r="A2435" s="9">
        <v>2459317.0</v>
      </c>
      <c r="B2435" s="9">
        <v>4.10327348E8</v>
      </c>
      <c r="C2435" s="9">
        <v>46419.0</v>
      </c>
      <c r="D2435" s="9" t="s">
        <v>52</v>
      </c>
      <c r="E2435" s="9" t="s">
        <v>154</v>
      </c>
      <c r="F2435" s="9">
        <v>2459317.0</v>
      </c>
      <c r="H2435" s="9">
        <v>4.67843648E7</v>
      </c>
      <c r="I2435" s="9">
        <v>2.440154932E7</v>
      </c>
      <c r="J2435" s="9">
        <v>5290920.78</v>
      </c>
      <c r="K2435" s="9">
        <v>8353666.0</v>
      </c>
      <c r="L2435" s="9" t="s">
        <v>59</v>
      </c>
      <c r="M2435" s="9" t="s">
        <v>65</v>
      </c>
      <c r="N2435" s="9">
        <v>6930519.0</v>
      </c>
      <c r="O2435" s="9">
        <v>6416108.74</v>
      </c>
      <c r="R2435" s="9" t="s">
        <v>66</v>
      </c>
      <c r="S2435" s="9" t="s">
        <v>67</v>
      </c>
      <c r="T2435" s="9" t="s">
        <v>68</v>
      </c>
    </row>
    <row r="2436" ht="15.75" customHeight="1">
      <c r="A2436" s="9">
        <v>2488029.0</v>
      </c>
      <c r="B2436" s="9">
        <v>2327451.92</v>
      </c>
      <c r="C2436" s="9">
        <v>46857.0</v>
      </c>
      <c r="D2436" s="9" t="s">
        <v>52</v>
      </c>
      <c r="E2436" s="9" t="s">
        <v>53</v>
      </c>
      <c r="F2436" s="9">
        <v>2488029.0</v>
      </c>
      <c r="G2436" s="9">
        <v>3436999.94</v>
      </c>
      <c r="H2436" s="9">
        <v>7540331.35</v>
      </c>
      <c r="I2436" s="9">
        <v>7122389.87</v>
      </c>
      <c r="J2436" s="9">
        <v>0.0</v>
      </c>
      <c r="K2436" s="9">
        <v>0.0</v>
      </c>
      <c r="L2436" s="9" t="s">
        <v>59</v>
      </c>
      <c r="M2436" s="9" t="s">
        <v>55</v>
      </c>
      <c r="R2436" s="9" t="s">
        <v>75</v>
      </c>
      <c r="S2436" s="9" t="s">
        <v>57</v>
      </c>
      <c r="T2436" s="9" t="s">
        <v>76</v>
      </c>
    </row>
    <row r="2437" ht="15.75" customHeight="1">
      <c r="A2437" s="9">
        <v>2497921.0</v>
      </c>
      <c r="B2437" s="9">
        <v>1.823389338E7</v>
      </c>
      <c r="C2437" s="9">
        <v>46661.0</v>
      </c>
      <c r="D2437" s="9" t="s">
        <v>52</v>
      </c>
      <c r="E2437" s="9" t="s">
        <v>126</v>
      </c>
      <c r="F2437" s="9">
        <v>2497921.0</v>
      </c>
      <c r="H2437" s="9">
        <v>1.942054416E7</v>
      </c>
      <c r="I2437" s="9">
        <v>1559180.86</v>
      </c>
      <c r="J2437" s="9">
        <v>0.0</v>
      </c>
      <c r="K2437" s="9">
        <v>0.0</v>
      </c>
      <c r="L2437" s="9" t="s">
        <v>59</v>
      </c>
      <c r="M2437" s="9" t="s">
        <v>65</v>
      </c>
      <c r="N2437" s="9">
        <v>1031018.04</v>
      </c>
      <c r="O2437" s="9">
        <v>1077733.42</v>
      </c>
      <c r="P2437" s="9">
        <v>229549.09</v>
      </c>
      <c r="Q2437" s="9">
        <v>222875.45</v>
      </c>
      <c r="R2437" s="9" t="s">
        <v>66</v>
      </c>
      <c r="S2437" s="9" t="s">
        <v>67</v>
      </c>
      <c r="T2437" s="9" t="s">
        <v>68</v>
      </c>
    </row>
    <row r="2438" ht="15.75" customHeight="1">
      <c r="A2438" s="9">
        <v>2507567.0</v>
      </c>
      <c r="B2438" s="9">
        <v>1.409552045E7</v>
      </c>
      <c r="C2438" s="9">
        <v>47563.0</v>
      </c>
      <c r="D2438" s="9" t="s">
        <v>52</v>
      </c>
      <c r="E2438" s="9" t="s">
        <v>64</v>
      </c>
      <c r="F2438" s="9">
        <v>2507567.0</v>
      </c>
      <c r="H2438" s="9">
        <v>1.581846157E7</v>
      </c>
      <c r="I2438" s="9">
        <v>757835.31</v>
      </c>
      <c r="J2438" s="9">
        <v>704885.31</v>
      </c>
      <c r="K2438" s="9">
        <v>1025000.0</v>
      </c>
      <c r="L2438" s="9" t="s">
        <v>59</v>
      </c>
      <c r="M2438" s="9" t="s">
        <v>65</v>
      </c>
      <c r="N2438" s="9">
        <v>3319546.5</v>
      </c>
      <c r="O2438" s="9">
        <v>2531857.5</v>
      </c>
      <c r="R2438" s="9" t="s">
        <v>122</v>
      </c>
      <c r="S2438" s="9" t="s">
        <v>101</v>
      </c>
      <c r="T2438" s="9" t="s">
        <v>123</v>
      </c>
    </row>
    <row r="2439" ht="15.75" customHeight="1">
      <c r="A2439" s="9">
        <v>2508735.0</v>
      </c>
      <c r="B2439" s="9">
        <v>2088279.27</v>
      </c>
      <c r="C2439" s="9">
        <v>47223.0</v>
      </c>
      <c r="D2439" s="9" t="s">
        <v>52</v>
      </c>
      <c r="E2439" s="9" t="s">
        <v>53</v>
      </c>
      <c r="F2439" s="9">
        <v>2508735.0</v>
      </c>
      <c r="G2439" s="9">
        <v>3296535.06</v>
      </c>
      <c r="H2439" s="9">
        <v>3245599.98</v>
      </c>
      <c r="I2439" s="9">
        <v>3205545.62</v>
      </c>
      <c r="J2439" s="9">
        <v>0.0</v>
      </c>
      <c r="K2439" s="9">
        <v>0.0</v>
      </c>
      <c r="L2439" s="9" t="s">
        <v>59</v>
      </c>
      <c r="M2439" s="9" t="s">
        <v>55</v>
      </c>
      <c r="N2439" s="9">
        <v>2955226.62</v>
      </c>
      <c r="O2439" s="9">
        <v>2504429.34</v>
      </c>
      <c r="P2439" s="9">
        <v>155252.52</v>
      </c>
      <c r="Q2439" s="9">
        <v>131569.93</v>
      </c>
      <c r="R2439" s="9" t="s">
        <v>60</v>
      </c>
      <c r="S2439" s="9" t="s">
        <v>57</v>
      </c>
      <c r="T2439" s="9" t="s">
        <v>61</v>
      </c>
      <c r="V2439" s="9">
        <v>2816727.15</v>
      </c>
      <c r="W2439" s="9">
        <v>253697.92</v>
      </c>
      <c r="X2439" s="9">
        <v>0.0</v>
      </c>
    </row>
    <row r="2440" ht="15.75" customHeight="1">
      <c r="A2440" s="9">
        <v>2536554.0</v>
      </c>
      <c r="B2440" s="9">
        <v>9.08853918E7</v>
      </c>
      <c r="C2440" s="9">
        <v>46842.0</v>
      </c>
      <c r="D2440" s="9" t="s">
        <v>52</v>
      </c>
      <c r="E2440" s="9" t="s">
        <v>64</v>
      </c>
      <c r="F2440" s="9">
        <v>2536554.0</v>
      </c>
      <c r="H2440" s="9">
        <v>9.09853918E7</v>
      </c>
      <c r="I2440" s="9">
        <v>116677.96</v>
      </c>
      <c r="J2440" s="9">
        <v>0.0</v>
      </c>
      <c r="K2440" s="9">
        <v>0.0</v>
      </c>
      <c r="L2440" s="9" t="s">
        <v>59</v>
      </c>
      <c r="M2440" s="9" t="s">
        <v>65</v>
      </c>
      <c r="R2440" s="9" t="s">
        <v>63</v>
      </c>
      <c r="S2440" s="9" t="s">
        <v>63</v>
      </c>
    </row>
    <row r="2441" ht="15.75" customHeight="1">
      <c r="A2441" s="9">
        <v>2544074.0</v>
      </c>
      <c r="B2441" s="9">
        <v>1.464830118E7</v>
      </c>
      <c r="C2441" s="9">
        <v>47227.0</v>
      </c>
      <c r="D2441" s="9" t="s">
        <v>52</v>
      </c>
      <c r="E2441" s="9" t="s">
        <v>53</v>
      </c>
      <c r="F2441" s="9">
        <v>2544074.0</v>
      </c>
      <c r="G2441" s="9">
        <v>1.909273721E7</v>
      </c>
      <c r="H2441" s="9">
        <v>1.658722596E7</v>
      </c>
      <c r="I2441" s="9">
        <v>1.620343671E7</v>
      </c>
      <c r="J2441" s="9">
        <v>0.0</v>
      </c>
      <c r="K2441" s="9">
        <v>0.0</v>
      </c>
      <c r="L2441" s="9" t="s">
        <v>59</v>
      </c>
      <c r="M2441" s="9" t="s">
        <v>55</v>
      </c>
      <c r="N2441" s="9">
        <v>1.542224646E7</v>
      </c>
      <c r="O2441" s="9">
        <v>1.542224E7</v>
      </c>
      <c r="P2441" s="9">
        <v>771112.32</v>
      </c>
      <c r="Q2441" s="9">
        <v>715600.0</v>
      </c>
      <c r="R2441" s="9" t="s">
        <v>56</v>
      </c>
      <c r="S2441" s="9" t="s">
        <v>57</v>
      </c>
      <c r="T2441" s="9" t="s">
        <v>58</v>
      </c>
    </row>
    <row r="2442" ht="15.75" customHeight="1">
      <c r="A2442" s="9">
        <v>2142497.0</v>
      </c>
      <c r="B2442" s="9">
        <v>5333605.0</v>
      </c>
      <c r="C2442" s="9">
        <v>41815.0</v>
      </c>
      <c r="D2442" s="9" t="s">
        <v>52</v>
      </c>
      <c r="E2442" s="9" t="s">
        <v>53</v>
      </c>
      <c r="F2442" s="9">
        <v>177169.0</v>
      </c>
      <c r="G2442" s="9">
        <v>6271291.74</v>
      </c>
      <c r="H2442" s="9">
        <v>6590526.29</v>
      </c>
      <c r="I2442" s="9">
        <v>5857646.4</v>
      </c>
      <c r="J2442" s="9">
        <v>44700.0</v>
      </c>
      <c r="K2442" s="9">
        <v>54700.0</v>
      </c>
      <c r="L2442" s="9" t="s">
        <v>59</v>
      </c>
      <c r="M2442" s="9" t="s">
        <v>62</v>
      </c>
      <c r="N2442" s="9">
        <v>1799947.28</v>
      </c>
      <c r="O2442" s="9">
        <v>1799947.28</v>
      </c>
      <c r="P2442" s="9">
        <v>25000.0</v>
      </c>
      <c r="Q2442" s="9">
        <v>25000.0</v>
      </c>
      <c r="R2442" s="9" t="s">
        <v>109</v>
      </c>
      <c r="S2442" s="9" t="s">
        <v>78</v>
      </c>
      <c r="T2442" s="9" t="s">
        <v>79</v>
      </c>
      <c r="U2442" s="9" t="s">
        <v>110</v>
      </c>
    </row>
    <row r="2443" ht="15.75" customHeight="1">
      <c r="A2443" s="9">
        <v>2142933.0</v>
      </c>
      <c r="B2443" s="9">
        <v>5403322.0</v>
      </c>
      <c r="C2443" s="9">
        <v>47487.0</v>
      </c>
      <c r="D2443" s="9" t="s">
        <v>52</v>
      </c>
      <c r="E2443" s="9" t="s">
        <v>53</v>
      </c>
      <c r="F2443" s="9">
        <v>176489.0</v>
      </c>
      <c r="G2443" s="9">
        <v>7088041.45</v>
      </c>
      <c r="H2443" s="9">
        <v>1.190128301E7</v>
      </c>
      <c r="I2443" s="9">
        <v>6972441.02</v>
      </c>
      <c r="J2443" s="9">
        <v>0.0</v>
      </c>
      <c r="K2443" s="9">
        <v>0.0</v>
      </c>
      <c r="L2443" s="9" t="s">
        <v>59</v>
      </c>
      <c r="M2443" s="9" t="s">
        <v>74</v>
      </c>
      <c r="N2443" s="9">
        <v>82356.92</v>
      </c>
      <c r="O2443" s="9">
        <v>74121.23</v>
      </c>
      <c r="R2443" s="9" t="s">
        <v>127</v>
      </c>
      <c r="S2443" s="9" t="s">
        <v>57</v>
      </c>
      <c r="T2443" s="9" t="s">
        <v>128</v>
      </c>
    </row>
    <row r="2444" ht="15.75" customHeight="1">
      <c r="A2444" s="9">
        <v>2143040.0</v>
      </c>
      <c r="B2444" s="9">
        <v>2271377.0</v>
      </c>
      <c r="C2444" s="9">
        <v>30089.0</v>
      </c>
      <c r="D2444" s="9" t="s">
        <v>52</v>
      </c>
      <c r="E2444" s="9" t="s">
        <v>53</v>
      </c>
      <c r="F2444" s="9">
        <v>178151.0</v>
      </c>
      <c r="G2444" s="9">
        <v>3174300.3</v>
      </c>
      <c r="H2444" s="9">
        <v>3174300.3</v>
      </c>
      <c r="I2444" s="9">
        <v>3166196.8</v>
      </c>
      <c r="J2444" s="9">
        <v>0.0</v>
      </c>
      <c r="K2444" s="9">
        <v>0.0</v>
      </c>
      <c r="L2444" s="9" t="s">
        <v>69</v>
      </c>
      <c r="M2444" s="9" t="s">
        <v>55</v>
      </c>
      <c r="N2444" s="9">
        <v>3081844.95</v>
      </c>
      <c r="O2444" s="9">
        <v>1.4874424E7</v>
      </c>
      <c r="P2444" s="9">
        <v>0.0</v>
      </c>
      <c r="Q2444" s="9">
        <v>78351.99</v>
      </c>
      <c r="R2444" s="9" t="s">
        <v>60</v>
      </c>
      <c r="S2444" s="9" t="s">
        <v>57</v>
      </c>
      <c r="T2444" s="9" t="s">
        <v>61</v>
      </c>
      <c r="V2444" s="9">
        <v>3081845.0</v>
      </c>
      <c r="W2444" s="9">
        <v>78351.99</v>
      </c>
      <c r="X2444" s="9">
        <v>0.0</v>
      </c>
    </row>
    <row r="2445" ht="15.75" customHeight="1">
      <c r="A2445" s="9">
        <v>2143126.0</v>
      </c>
      <c r="B2445" s="9">
        <v>1178128.53</v>
      </c>
      <c r="C2445" s="9">
        <v>30366.0</v>
      </c>
      <c r="D2445" s="9" t="s">
        <v>52</v>
      </c>
      <c r="E2445" s="9" t="s">
        <v>53</v>
      </c>
      <c r="F2445" s="9">
        <v>174719.0</v>
      </c>
      <c r="G2445" s="9">
        <v>1057041.7</v>
      </c>
      <c r="H2445" s="9">
        <v>1057041.7</v>
      </c>
      <c r="I2445" s="9">
        <v>1057040.7</v>
      </c>
      <c r="J2445" s="9">
        <v>0.0</v>
      </c>
      <c r="K2445" s="9">
        <v>0.0</v>
      </c>
      <c r="L2445" s="9" t="s">
        <v>59</v>
      </c>
      <c r="M2445" s="9" t="s">
        <v>55</v>
      </c>
      <c r="N2445" s="9">
        <v>1021041.7</v>
      </c>
      <c r="O2445" s="9">
        <v>1021041.7</v>
      </c>
      <c r="P2445" s="9">
        <v>36000.0</v>
      </c>
      <c r="Q2445" s="9">
        <v>36000.0</v>
      </c>
      <c r="R2445" s="9" t="s">
        <v>60</v>
      </c>
      <c r="S2445" s="9" t="s">
        <v>57</v>
      </c>
      <c r="T2445" s="9" t="s">
        <v>61</v>
      </c>
      <c r="V2445" s="9">
        <v>1021041.7</v>
      </c>
      <c r="W2445" s="9">
        <v>35999.0</v>
      </c>
      <c r="X2445" s="9">
        <v>0.0</v>
      </c>
    </row>
    <row r="2446" ht="15.75" customHeight="1">
      <c r="A2446" s="9">
        <v>2143694.0</v>
      </c>
      <c r="B2446" s="9">
        <v>8547965.0</v>
      </c>
      <c r="C2446" s="9">
        <v>30673.0</v>
      </c>
      <c r="D2446" s="9" t="s">
        <v>52</v>
      </c>
      <c r="E2446" s="9" t="s">
        <v>53</v>
      </c>
      <c r="F2446" s="9">
        <v>83192.0</v>
      </c>
      <c r="G2446" s="9">
        <v>8547965.0</v>
      </c>
      <c r="H2446" s="9">
        <v>9745994.56</v>
      </c>
      <c r="I2446" s="9">
        <v>2251497.36</v>
      </c>
      <c r="J2446" s="9">
        <v>0.0</v>
      </c>
      <c r="K2446" s="9">
        <v>347265.0</v>
      </c>
      <c r="L2446" s="9" t="s">
        <v>59</v>
      </c>
      <c r="M2446" s="9" t="s">
        <v>55</v>
      </c>
      <c r="N2446" s="9">
        <v>8909167.56</v>
      </c>
      <c r="O2446" s="9">
        <v>8267405.49</v>
      </c>
      <c r="P2446" s="9">
        <v>397627.0</v>
      </c>
      <c r="Q2446" s="9">
        <v>394257.28</v>
      </c>
      <c r="R2446" s="9" t="s">
        <v>109</v>
      </c>
      <c r="S2446" s="9" t="s">
        <v>78</v>
      </c>
      <c r="T2446" s="9" t="s">
        <v>79</v>
      </c>
      <c r="U2446" s="9" t="s">
        <v>110</v>
      </c>
      <c r="V2446" s="9">
        <v>9169662.61</v>
      </c>
      <c r="W2446" s="9">
        <v>394257.28</v>
      </c>
      <c r="X2446" s="9">
        <v>0.0</v>
      </c>
    </row>
    <row r="2447" ht="15.75" customHeight="1">
      <c r="A2447" s="9">
        <v>2144137.0</v>
      </c>
      <c r="B2447" s="9">
        <v>7770396.0</v>
      </c>
      <c r="C2447" s="9">
        <v>29958.0</v>
      </c>
      <c r="D2447" s="9" t="s">
        <v>52</v>
      </c>
      <c r="E2447" s="9" t="s">
        <v>53</v>
      </c>
      <c r="F2447" s="9">
        <v>31452.0</v>
      </c>
      <c r="G2447" s="9">
        <v>2.51520904E7</v>
      </c>
      <c r="H2447" s="9">
        <v>2.51520904E7</v>
      </c>
      <c r="I2447" s="9">
        <v>7296723.43</v>
      </c>
      <c r="J2447" s="9">
        <v>15000.0</v>
      </c>
      <c r="K2447" s="9">
        <v>15000.0</v>
      </c>
      <c r="L2447" s="9" t="s">
        <v>59</v>
      </c>
      <c r="M2447" s="9" t="s">
        <v>55</v>
      </c>
      <c r="N2447" s="9">
        <v>7976307.88</v>
      </c>
      <c r="O2447" s="9">
        <v>7976307.88</v>
      </c>
      <c r="P2447" s="9">
        <v>7677551.59</v>
      </c>
      <c r="Q2447" s="9">
        <v>92844.81</v>
      </c>
      <c r="R2447" s="9" t="s">
        <v>96</v>
      </c>
      <c r="S2447" s="9" t="s">
        <v>78</v>
      </c>
      <c r="T2447" s="9" t="s">
        <v>79</v>
      </c>
      <c r="U2447" s="9" t="s">
        <v>97</v>
      </c>
    </row>
    <row r="2448" ht="15.75" customHeight="1">
      <c r="A2448" s="9">
        <v>2145416.0</v>
      </c>
      <c r="B2448" s="9">
        <v>3147080.0</v>
      </c>
      <c r="C2448" s="9">
        <v>30303.0</v>
      </c>
      <c r="D2448" s="9" t="s">
        <v>52</v>
      </c>
      <c r="E2448" s="9" t="s">
        <v>53</v>
      </c>
      <c r="F2448" s="9">
        <v>129298.0</v>
      </c>
      <c r="G2448" s="9">
        <v>2694758.04</v>
      </c>
      <c r="H2448" s="9">
        <v>2694758.04</v>
      </c>
      <c r="I2448" s="9">
        <v>27097.0</v>
      </c>
      <c r="J2448" s="9">
        <v>0.0</v>
      </c>
      <c r="K2448" s="9">
        <v>0.0</v>
      </c>
      <c r="L2448" s="9" t="s">
        <v>59</v>
      </c>
      <c r="M2448" s="9" t="s">
        <v>55</v>
      </c>
      <c r="N2448" s="9">
        <v>2959038.2</v>
      </c>
      <c r="O2448" s="9">
        <v>2663134.38</v>
      </c>
      <c r="P2448" s="9">
        <v>110000.0</v>
      </c>
      <c r="Q2448" s="9">
        <v>108000.0</v>
      </c>
      <c r="R2448" s="9" t="s">
        <v>56</v>
      </c>
      <c r="S2448" s="9" t="s">
        <v>57</v>
      </c>
      <c r="T2448" s="9" t="s">
        <v>58</v>
      </c>
      <c r="V2448" s="9">
        <v>2694758.04</v>
      </c>
      <c r="W2448" s="9">
        <v>0.0</v>
      </c>
      <c r="X2448" s="9">
        <v>0.0</v>
      </c>
    </row>
    <row r="2449" ht="15.75" customHeight="1">
      <c r="A2449" s="9">
        <v>2145759.0</v>
      </c>
      <c r="B2449" s="9">
        <v>5113407.0</v>
      </c>
      <c r="C2449" s="9">
        <v>38498.0</v>
      </c>
      <c r="D2449" s="9" t="s">
        <v>52</v>
      </c>
      <c r="E2449" s="9" t="s">
        <v>52</v>
      </c>
      <c r="F2449" s="9">
        <v>29722.0</v>
      </c>
      <c r="G2449" s="9">
        <v>7060981.0</v>
      </c>
      <c r="H2449" s="9">
        <v>7060981.15</v>
      </c>
      <c r="I2449" s="9">
        <v>396605.32</v>
      </c>
      <c r="J2449" s="9">
        <v>0.0</v>
      </c>
      <c r="K2449" s="9">
        <v>0.0</v>
      </c>
      <c r="L2449" s="9" t="s">
        <v>59</v>
      </c>
      <c r="M2449" s="9" t="s">
        <v>65</v>
      </c>
      <c r="R2449" s="9" t="s">
        <v>63</v>
      </c>
      <c r="S2449" s="9" t="s">
        <v>63</v>
      </c>
    </row>
    <row r="2450" ht="15.75" customHeight="1">
      <c r="A2450" s="9">
        <v>2146566.0</v>
      </c>
      <c r="B2450" s="9">
        <v>257899.89</v>
      </c>
      <c r="C2450" s="9">
        <v>31073.0</v>
      </c>
      <c r="D2450" s="9" t="s">
        <v>52</v>
      </c>
      <c r="E2450" s="9" t="s">
        <v>53</v>
      </c>
      <c r="F2450" s="9">
        <v>187526.0</v>
      </c>
      <c r="G2450" s="9">
        <v>257899.88</v>
      </c>
      <c r="H2450" s="9">
        <v>257899.88</v>
      </c>
      <c r="I2450" s="9">
        <v>247899.86</v>
      </c>
      <c r="J2450" s="9">
        <v>0.0</v>
      </c>
      <c r="K2450" s="9">
        <v>0.0</v>
      </c>
      <c r="L2450" s="9" t="s">
        <v>69</v>
      </c>
      <c r="M2450" s="9" t="s">
        <v>55</v>
      </c>
      <c r="R2450" s="9" t="s">
        <v>60</v>
      </c>
      <c r="S2450" s="9" t="s">
        <v>57</v>
      </c>
      <c r="T2450" s="9" t="s">
        <v>61</v>
      </c>
      <c r="V2450" s="9">
        <v>247900.0</v>
      </c>
      <c r="W2450" s="9">
        <v>0.0</v>
      </c>
      <c r="X2450" s="9">
        <v>0.0</v>
      </c>
    </row>
    <row r="2451" ht="15.75" customHeight="1">
      <c r="A2451" s="9">
        <v>2147838.0</v>
      </c>
      <c r="B2451" s="9">
        <v>1465648.0</v>
      </c>
      <c r="C2451" s="9">
        <v>30260.0</v>
      </c>
      <c r="D2451" s="9" t="s">
        <v>52</v>
      </c>
      <c r="E2451" s="9" t="s">
        <v>53</v>
      </c>
      <c r="F2451" s="9">
        <v>188117.0</v>
      </c>
      <c r="G2451" s="9">
        <v>1610959.96</v>
      </c>
      <c r="H2451" s="9">
        <v>1610959.96</v>
      </c>
      <c r="I2451" s="9">
        <v>1651459.93</v>
      </c>
      <c r="J2451" s="9">
        <v>0.0</v>
      </c>
      <c r="K2451" s="9">
        <v>0.0</v>
      </c>
      <c r="L2451" s="9" t="s">
        <v>59</v>
      </c>
      <c r="M2451" s="9" t="s">
        <v>55</v>
      </c>
      <c r="N2451" s="9">
        <v>1464509.06</v>
      </c>
      <c r="O2451" s="9">
        <v>1464509.06</v>
      </c>
      <c r="P2451" s="9">
        <v>73225.45</v>
      </c>
      <c r="Q2451" s="9">
        <v>73225.45</v>
      </c>
      <c r="R2451" s="9" t="s">
        <v>60</v>
      </c>
      <c r="S2451" s="9" t="s">
        <v>57</v>
      </c>
      <c r="T2451" s="9" t="s">
        <v>61</v>
      </c>
      <c r="V2451" s="9">
        <v>1495179.72</v>
      </c>
      <c r="W2451" s="9">
        <v>73225.45</v>
      </c>
      <c r="X2451" s="9">
        <v>0.0</v>
      </c>
    </row>
    <row r="2452" ht="15.75" customHeight="1">
      <c r="A2452" s="9">
        <v>2148113.0</v>
      </c>
      <c r="B2452" s="9">
        <v>9883008.0</v>
      </c>
      <c r="C2452" s="9">
        <v>30807.0</v>
      </c>
      <c r="D2452" s="9" t="s">
        <v>52</v>
      </c>
      <c r="E2452" s="9" t="s">
        <v>53</v>
      </c>
      <c r="F2452" s="9">
        <v>186346.0</v>
      </c>
      <c r="G2452" s="9">
        <v>1.590836448E7</v>
      </c>
      <c r="H2452" s="9">
        <v>1.876462674E7</v>
      </c>
      <c r="I2452" s="9">
        <v>1.584371261E7</v>
      </c>
      <c r="J2452" s="9">
        <v>0.0</v>
      </c>
      <c r="K2452" s="9">
        <v>0.0</v>
      </c>
      <c r="L2452" s="9" t="s">
        <v>59</v>
      </c>
      <c r="M2452" s="9" t="s">
        <v>55</v>
      </c>
      <c r="N2452" s="9">
        <v>1.124174325E7</v>
      </c>
      <c r="O2452" s="9">
        <v>1.124174325E7</v>
      </c>
      <c r="P2452" s="9">
        <v>299500.0</v>
      </c>
      <c r="Q2452" s="9">
        <v>299500.0</v>
      </c>
      <c r="R2452" s="9" t="s">
        <v>109</v>
      </c>
      <c r="S2452" s="9" t="s">
        <v>78</v>
      </c>
      <c r="T2452" s="9" t="s">
        <v>79</v>
      </c>
      <c r="U2452" s="9" t="s">
        <v>110</v>
      </c>
    </row>
    <row r="2453" ht="15.75" customHeight="1">
      <c r="A2453" s="9">
        <v>2148917.0</v>
      </c>
      <c r="B2453" s="9">
        <v>9993343.0</v>
      </c>
      <c r="C2453" s="9">
        <v>30816.0</v>
      </c>
      <c r="D2453" s="9" t="s">
        <v>52</v>
      </c>
      <c r="E2453" s="9" t="s">
        <v>53</v>
      </c>
      <c r="F2453" s="9">
        <v>130461.0</v>
      </c>
      <c r="G2453" s="9">
        <v>1.5392149E7</v>
      </c>
      <c r="H2453" s="9">
        <v>1.5392149E7</v>
      </c>
      <c r="I2453" s="9">
        <v>1.52056401E7</v>
      </c>
      <c r="J2453" s="9">
        <v>0.0</v>
      </c>
      <c r="K2453" s="9">
        <v>0.0</v>
      </c>
      <c r="L2453" s="9" t="s">
        <v>59</v>
      </c>
      <c r="M2453" s="9" t="s">
        <v>55</v>
      </c>
      <c r="N2453" s="9">
        <v>1.20873656E7</v>
      </c>
      <c r="O2453" s="9">
        <v>1.20873656E7</v>
      </c>
      <c r="P2453" s="9">
        <v>482383.0</v>
      </c>
      <c r="Q2453" s="9">
        <v>482383.0</v>
      </c>
      <c r="R2453" s="9" t="s">
        <v>72</v>
      </c>
      <c r="S2453" s="9" t="s">
        <v>57</v>
      </c>
      <c r="T2453" s="9" t="s">
        <v>73</v>
      </c>
      <c r="V2453" s="9">
        <v>1.246257104E7</v>
      </c>
      <c r="W2453" s="9">
        <v>482383.0</v>
      </c>
      <c r="X2453" s="9">
        <v>0.0</v>
      </c>
    </row>
    <row r="2454" ht="15.75" customHeight="1">
      <c r="A2454" s="9">
        <v>2148924.0</v>
      </c>
      <c r="B2454" s="9">
        <v>191727.53</v>
      </c>
      <c r="C2454" s="9">
        <v>31072.0</v>
      </c>
      <c r="D2454" s="9" t="s">
        <v>52</v>
      </c>
      <c r="E2454" s="9" t="s">
        <v>53</v>
      </c>
      <c r="F2454" s="9">
        <v>188940.0</v>
      </c>
      <c r="G2454" s="9">
        <v>232168.66</v>
      </c>
      <c r="H2454" s="9">
        <v>232168.66</v>
      </c>
      <c r="I2454" s="9">
        <v>249660.88</v>
      </c>
      <c r="J2454" s="9">
        <v>0.0</v>
      </c>
      <c r="K2454" s="9">
        <v>0.0</v>
      </c>
      <c r="L2454" s="9" t="s">
        <v>69</v>
      </c>
      <c r="M2454" s="9" t="s">
        <v>55</v>
      </c>
      <c r="R2454" s="9" t="s">
        <v>60</v>
      </c>
      <c r="S2454" s="9" t="s">
        <v>57</v>
      </c>
      <c r="T2454" s="9" t="s">
        <v>61</v>
      </c>
      <c r="V2454" s="9">
        <v>226168.66</v>
      </c>
      <c r="W2454" s="9">
        <v>6237.9</v>
      </c>
      <c r="X2454" s="9">
        <v>0.0</v>
      </c>
    </row>
    <row r="2455" ht="15.75" customHeight="1">
      <c r="A2455" s="9">
        <v>2148931.0</v>
      </c>
      <c r="B2455" s="9">
        <v>1337785.0</v>
      </c>
      <c r="C2455" s="9">
        <v>30460.0</v>
      </c>
      <c r="D2455" s="9" t="s">
        <v>52</v>
      </c>
      <c r="E2455" s="9" t="s">
        <v>53</v>
      </c>
      <c r="F2455" s="9">
        <v>187703.0</v>
      </c>
      <c r="G2455" s="9">
        <v>1532866.97</v>
      </c>
      <c r="H2455" s="9">
        <v>1532866.97</v>
      </c>
      <c r="I2455" s="9">
        <v>1521922.77</v>
      </c>
      <c r="J2455" s="9">
        <v>0.0</v>
      </c>
      <c r="K2455" s="9">
        <v>0.0</v>
      </c>
      <c r="L2455" s="9" t="s">
        <v>59</v>
      </c>
      <c r="M2455" s="9" t="s">
        <v>55</v>
      </c>
      <c r="N2455" s="9">
        <v>1472066.97</v>
      </c>
      <c r="O2455" s="9">
        <v>1472066.97</v>
      </c>
      <c r="P2455" s="9">
        <v>62000.0</v>
      </c>
      <c r="Q2455" s="9">
        <v>0.0</v>
      </c>
      <c r="R2455" s="9" t="s">
        <v>56</v>
      </c>
      <c r="S2455" s="9" t="s">
        <v>57</v>
      </c>
      <c r="T2455" s="9" t="s">
        <v>58</v>
      </c>
      <c r="V2455" s="9">
        <v>1472066.97</v>
      </c>
      <c r="W2455" s="9">
        <v>0.0</v>
      </c>
      <c r="X2455" s="9">
        <v>0.0</v>
      </c>
    </row>
    <row r="2456" ht="15.75" customHeight="1">
      <c r="A2456" s="9">
        <v>2150528.0</v>
      </c>
      <c r="B2456" s="9">
        <v>285661.66</v>
      </c>
      <c r="C2456" s="9">
        <v>29818.0</v>
      </c>
      <c r="D2456" s="9" t="s">
        <v>52</v>
      </c>
      <c r="E2456" s="9" t="s">
        <v>53</v>
      </c>
      <c r="F2456" s="9">
        <v>184418.0</v>
      </c>
      <c r="G2456" s="9">
        <v>285661.66</v>
      </c>
      <c r="H2456" s="9">
        <v>285661.66</v>
      </c>
      <c r="I2456" s="9">
        <v>28000.0</v>
      </c>
      <c r="J2456" s="9">
        <v>0.0</v>
      </c>
      <c r="K2456" s="9">
        <v>0.0</v>
      </c>
      <c r="L2456" s="9" t="s">
        <v>69</v>
      </c>
      <c r="M2456" s="9" t="s">
        <v>65</v>
      </c>
      <c r="N2456" s="9">
        <v>20000.0</v>
      </c>
      <c r="O2456" s="9">
        <v>20000.0</v>
      </c>
      <c r="R2456" s="9" t="s">
        <v>92</v>
      </c>
      <c r="S2456" s="9" t="s">
        <v>57</v>
      </c>
      <c r="T2456" s="9" t="s">
        <v>93</v>
      </c>
    </row>
    <row r="2457" ht="15.75" customHeight="1">
      <c r="A2457" s="9">
        <v>2156362.0</v>
      </c>
      <c r="B2457" s="9">
        <v>4760916.0</v>
      </c>
      <c r="C2457" s="9">
        <v>31272.0</v>
      </c>
      <c r="D2457" s="9" t="s">
        <v>52</v>
      </c>
      <c r="E2457" s="9" t="s">
        <v>53</v>
      </c>
      <c r="F2457" s="9">
        <v>211471.0</v>
      </c>
      <c r="G2457" s="9">
        <v>4310285.0</v>
      </c>
      <c r="H2457" s="9">
        <v>4310285.0</v>
      </c>
      <c r="I2457" s="9">
        <v>4194527.86</v>
      </c>
      <c r="J2457" s="9">
        <v>0.0</v>
      </c>
      <c r="K2457" s="9">
        <v>0.0</v>
      </c>
      <c r="L2457" s="9" t="s">
        <v>69</v>
      </c>
      <c r="M2457" s="9" t="s">
        <v>55</v>
      </c>
      <c r="R2457" s="9" t="s">
        <v>60</v>
      </c>
      <c r="S2457" s="9" t="s">
        <v>57</v>
      </c>
      <c r="T2457" s="9" t="s">
        <v>61</v>
      </c>
      <c r="V2457" s="9">
        <v>4192260.86</v>
      </c>
      <c r="W2457" s="9">
        <v>0.0</v>
      </c>
      <c r="X2457" s="9">
        <v>0.0</v>
      </c>
    </row>
    <row r="2458" ht="15.75" customHeight="1">
      <c r="A2458" s="9">
        <v>2159252.0</v>
      </c>
      <c r="B2458" s="9">
        <v>4757033.0</v>
      </c>
      <c r="C2458" s="9">
        <v>32199.0</v>
      </c>
      <c r="D2458" s="9" t="s">
        <v>52</v>
      </c>
      <c r="E2458" s="9" t="s">
        <v>53</v>
      </c>
      <c r="F2458" s="9">
        <v>198536.0</v>
      </c>
      <c r="G2458" s="9">
        <v>5816678.85</v>
      </c>
      <c r="H2458" s="9">
        <v>5816678.85</v>
      </c>
      <c r="I2458" s="9">
        <v>5816660.3</v>
      </c>
      <c r="J2458" s="9">
        <v>0.0</v>
      </c>
      <c r="K2458" s="9">
        <v>0.0</v>
      </c>
      <c r="L2458" s="9" t="s">
        <v>59</v>
      </c>
      <c r="M2458" s="9" t="s">
        <v>55</v>
      </c>
      <c r="N2458" s="9">
        <v>5574132.42</v>
      </c>
      <c r="O2458" s="9">
        <v>5574132.42</v>
      </c>
      <c r="P2458" s="9">
        <v>144046.44</v>
      </c>
      <c r="Q2458" s="9">
        <v>144046.44</v>
      </c>
      <c r="R2458" s="9" t="s">
        <v>60</v>
      </c>
      <c r="S2458" s="9" t="s">
        <v>57</v>
      </c>
      <c r="T2458" s="9" t="s">
        <v>61</v>
      </c>
      <c r="V2458" s="9">
        <v>5574132.42</v>
      </c>
      <c r="W2458" s="9">
        <v>144046.44</v>
      </c>
      <c r="X2458" s="9">
        <v>0.0</v>
      </c>
    </row>
    <row r="2459" ht="15.75" customHeight="1">
      <c r="A2459" s="9">
        <v>2161474.0</v>
      </c>
      <c r="B2459" s="9">
        <v>3183726.0</v>
      </c>
      <c r="C2459" s="9">
        <v>37243.0</v>
      </c>
      <c r="D2459" s="9" t="s">
        <v>52</v>
      </c>
      <c r="E2459" s="9" t="s">
        <v>53</v>
      </c>
      <c r="F2459" s="9">
        <v>109770.0</v>
      </c>
      <c r="G2459" s="9">
        <v>4311409.59</v>
      </c>
      <c r="H2459" s="9">
        <v>4311409.59</v>
      </c>
      <c r="I2459" s="9">
        <v>4054577.84</v>
      </c>
      <c r="J2459" s="9">
        <v>0.0</v>
      </c>
      <c r="K2459" s="9">
        <v>0.0</v>
      </c>
      <c r="L2459" s="9" t="s">
        <v>59</v>
      </c>
      <c r="M2459" s="9" t="s">
        <v>55</v>
      </c>
      <c r="R2459" s="9" t="s">
        <v>60</v>
      </c>
      <c r="S2459" s="9" t="s">
        <v>57</v>
      </c>
      <c r="T2459" s="9" t="s">
        <v>61</v>
      </c>
      <c r="V2459" s="9">
        <v>3273390.18</v>
      </c>
      <c r="W2459" s="9">
        <v>0.0</v>
      </c>
      <c r="X2459" s="9">
        <v>0.0</v>
      </c>
    </row>
    <row r="2460" ht="15.75" customHeight="1">
      <c r="A2460" s="9">
        <v>2163775.0</v>
      </c>
      <c r="B2460" s="9">
        <v>2541594.0</v>
      </c>
      <c r="C2460" s="9">
        <v>40169.0</v>
      </c>
      <c r="D2460" s="9" t="s">
        <v>52</v>
      </c>
      <c r="E2460" s="9" t="s">
        <v>53</v>
      </c>
      <c r="F2460" s="9">
        <v>177244.0</v>
      </c>
      <c r="G2460" s="9">
        <v>6164738.0</v>
      </c>
      <c r="H2460" s="9">
        <v>6197495.5</v>
      </c>
      <c r="I2460" s="9">
        <v>5424020.05</v>
      </c>
      <c r="J2460" s="9">
        <v>0.0</v>
      </c>
      <c r="K2460" s="9">
        <v>0.0</v>
      </c>
      <c r="L2460" s="9" t="s">
        <v>69</v>
      </c>
      <c r="M2460" s="9" t="s">
        <v>62</v>
      </c>
      <c r="N2460" s="9">
        <v>2483736.59</v>
      </c>
      <c r="O2460" s="9">
        <v>2482909.52</v>
      </c>
      <c r="P2460" s="9">
        <v>124187.0</v>
      </c>
      <c r="Q2460" s="9">
        <v>124180.2</v>
      </c>
      <c r="R2460" s="9" t="s">
        <v>60</v>
      </c>
      <c r="S2460" s="9" t="s">
        <v>57</v>
      </c>
      <c r="T2460" s="9" t="s">
        <v>61</v>
      </c>
      <c r="V2460" s="9">
        <v>2557627.72</v>
      </c>
      <c r="W2460" s="9">
        <v>124180.2</v>
      </c>
      <c r="X2460" s="9">
        <v>0.0</v>
      </c>
    </row>
    <row r="2461" ht="15.75" customHeight="1">
      <c r="A2461" s="9">
        <v>2164368.0</v>
      </c>
      <c r="B2461" s="9">
        <v>1.881915E7</v>
      </c>
      <c r="C2461" s="9">
        <v>37540.0</v>
      </c>
      <c r="D2461" s="9" t="s">
        <v>52</v>
      </c>
      <c r="E2461" s="9" t="s">
        <v>53</v>
      </c>
      <c r="F2461" s="9">
        <v>232521.0</v>
      </c>
      <c r="G2461" s="9">
        <v>2.189189568E7</v>
      </c>
      <c r="H2461" s="9">
        <v>2.178689136E7</v>
      </c>
      <c r="I2461" s="9">
        <v>2.176478982E7</v>
      </c>
      <c r="J2461" s="9">
        <v>0.0</v>
      </c>
      <c r="K2461" s="9">
        <v>0.0</v>
      </c>
      <c r="L2461" s="9" t="s">
        <v>59</v>
      </c>
      <c r="M2461" s="9" t="s">
        <v>55</v>
      </c>
      <c r="N2461" s="9">
        <v>1.909390534E7</v>
      </c>
      <c r="O2461" s="9">
        <v>1.909390534E7</v>
      </c>
      <c r="P2461" s="9">
        <v>695279.76</v>
      </c>
      <c r="Q2461" s="9">
        <v>695279.76</v>
      </c>
      <c r="R2461" s="9" t="s">
        <v>56</v>
      </c>
      <c r="S2461" s="9" t="s">
        <v>57</v>
      </c>
      <c r="T2461" s="9" t="s">
        <v>58</v>
      </c>
    </row>
    <row r="2462" ht="15.75" customHeight="1">
      <c r="A2462" s="9">
        <v>2167694.0</v>
      </c>
      <c r="B2462" s="9">
        <v>2243552.0</v>
      </c>
      <c r="C2462" s="9">
        <v>37242.0</v>
      </c>
      <c r="D2462" s="9" t="s">
        <v>52</v>
      </c>
      <c r="E2462" s="9" t="s">
        <v>53</v>
      </c>
      <c r="F2462" s="9">
        <v>97079.0</v>
      </c>
      <c r="G2462" s="9">
        <v>2930652.66</v>
      </c>
      <c r="H2462" s="9">
        <v>2930652.66</v>
      </c>
      <c r="I2462" s="9">
        <v>2194043.86</v>
      </c>
      <c r="J2462" s="9">
        <v>0.0</v>
      </c>
      <c r="K2462" s="9">
        <v>0.0</v>
      </c>
      <c r="L2462" s="9" t="s">
        <v>59</v>
      </c>
      <c r="M2462" s="9" t="s">
        <v>55</v>
      </c>
      <c r="R2462" s="9" t="s">
        <v>60</v>
      </c>
      <c r="S2462" s="9" t="s">
        <v>57</v>
      </c>
      <c r="T2462" s="9" t="s">
        <v>61</v>
      </c>
      <c r="V2462" s="9">
        <v>789346.93</v>
      </c>
      <c r="W2462" s="9">
        <v>0.0</v>
      </c>
      <c r="X2462" s="9">
        <v>0.0</v>
      </c>
    </row>
    <row r="2463" ht="15.75" customHeight="1">
      <c r="A2463" s="9">
        <v>2172713.0</v>
      </c>
      <c r="B2463" s="9">
        <v>768372.0</v>
      </c>
      <c r="C2463" s="9">
        <v>30331.0</v>
      </c>
      <c r="D2463" s="9" t="s">
        <v>52</v>
      </c>
      <c r="E2463" s="9" t="s">
        <v>53</v>
      </c>
      <c r="F2463" s="9">
        <v>29951.0</v>
      </c>
      <c r="G2463" s="9">
        <v>768372.0</v>
      </c>
      <c r="H2463" s="9">
        <v>768372.0</v>
      </c>
      <c r="I2463" s="9">
        <v>0.0</v>
      </c>
      <c r="J2463" s="9">
        <v>0.0</v>
      </c>
      <c r="K2463" s="9">
        <v>0.0</v>
      </c>
      <c r="L2463" s="9" t="s">
        <v>54</v>
      </c>
      <c r="M2463" s="9" t="s">
        <v>55</v>
      </c>
      <c r="N2463" s="9">
        <v>768372.05</v>
      </c>
      <c r="O2463" s="9">
        <v>768372.05</v>
      </c>
      <c r="R2463" s="9" t="s">
        <v>60</v>
      </c>
      <c r="S2463" s="9" t="s">
        <v>57</v>
      </c>
      <c r="T2463" s="9" t="s">
        <v>61</v>
      </c>
      <c r="V2463" s="9">
        <v>855196.59</v>
      </c>
      <c r="W2463" s="9">
        <v>0.0</v>
      </c>
      <c r="X2463" s="9">
        <v>0.0</v>
      </c>
    </row>
    <row r="2464" ht="15.75" customHeight="1">
      <c r="A2464" s="9">
        <v>2174896.0</v>
      </c>
      <c r="B2464" s="9">
        <v>3358848.0</v>
      </c>
      <c r="C2464" s="9">
        <v>40012.0</v>
      </c>
      <c r="D2464" s="9" t="s">
        <v>52</v>
      </c>
      <c r="E2464" s="9" t="s">
        <v>111</v>
      </c>
      <c r="F2464" s="9">
        <v>238910.0</v>
      </c>
      <c r="G2464" s="9">
        <v>4400061.7</v>
      </c>
      <c r="H2464" s="9">
        <v>3357148.74</v>
      </c>
      <c r="I2464" s="9">
        <v>3357148.74</v>
      </c>
      <c r="J2464" s="9">
        <v>0.0</v>
      </c>
      <c r="K2464" s="9">
        <v>0.0</v>
      </c>
      <c r="L2464" s="9" t="s">
        <v>59</v>
      </c>
      <c r="M2464" s="9" t="s">
        <v>55</v>
      </c>
      <c r="N2464" s="9">
        <v>4019526.32</v>
      </c>
      <c r="O2464" s="9">
        <v>3960107.25</v>
      </c>
      <c r="P2464" s="9">
        <v>0.0</v>
      </c>
      <c r="Q2464" s="9">
        <v>0.0</v>
      </c>
      <c r="R2464" s="9" t="s">
        <v>72</v>
      </c>
      <c r="S2464" s="9" t="s">
        <v>57</v>
      </c>
      <c r="T2464" s="9" t="s">
        <v>73</v>
      </c>
      <c r="V2464" s="9">
        <v>3169798.33</v>
      </c>
      <c r="W2464" s="9">
        <v>0.0</v>
      </c>
    </row>
    <row r="2465" ht="15.75" customHeight="1">
      <c r="A2465" s="9">
        <v>2182866.0</v>
      </c>
      <c r="B2465" s="9">
        <v>4480596.0</v>
      </c>
      <c r="C2465" s="9">
        <v>40313.0</v>
      </c>
      <c r="D2465" s="9" t="s">
        <v>52</v>
      </c>
      <c r="E2465" s="9" t="s">
        <v>53</v>
      </c>
      <c r="F2465" s="9">
        <v>258277.0</v>
      </c>
      <c r="G2465" s="9">
        <v>5575322.48</v>
      </c>
      <c r="H2465" s="9">
        <v>5623909.16</v>
      </c>
      <c r="I2465" s="9">
        <v>5289777.13</v>
      </c>
      <c r="J2465" s="9">
        <v>0.0</v>
      </c>
      <c r="K2465" s="9">
        <v>0.0</v>
      </c>
      <c r="L2465" s="9" t="s">
        <v>59</v>
      </c>
      <c r="M2465" s="9" t="s">
        <v>55</v>
      </c>
      <c r="N2465" s="9">
        <v>5382060.66</v>
      </c>
      <c r="O2465" s="9">
        <v>5382060.66</v>
      </c>
      <c r="P2465" s="9">
        <v>161461.34</v>
      </c>
      <c r="Q2465" s="9">
        <v>161461.34</v>
      </c>
      <c r="R2465" s="9" t="s">
        <v>94</v>
      </c>
      <c r="S2465" s="9" t="s">
        <v>57</v>
      </c>
      <c r="T2465" s="9" t="s">
        <v>95</v>
      </c>
    </row>
    <row r="2466" ht="15.75" customHeight="1">
      <c r="A2466" s="9">
        <v>2185406.0</v>
      </c>
      <c r="B2466" s="9">
        <v>8.570496E7</v>
      </c>
      <c r="C2466" s="9">
        <v>40096.0</v>
      </c>
      <c r="D2466" s="9" t="s">
        <v>52</v>
      </c>
      <c r="E2466" s="9" t="s">
        <v>53</v>
      </c>
      <c r="F2466" s="9">
        <v>252830.0</v>
      </c>
      <c r="G2466" s="9">
        <v>9.628464992E7</v>
      </c>
      <c r="H2466" s="9">
        <v>1.2231442069E8</v>
      </c>
      <c r="I2466" s="9">
        <v>8.862196489E7</v>
      </c>
      <c r="J2466" s="9">
        <v>698100.03</v>
      </c>
      <c r="K2466" s="9">
        <v>1.6297835E7</v>
      </c>
      <c r="L2466" s="9" t="s">
        <v>59</v>
      </c>
      <c r="M2466" s="9" t="s">
        <v>55</v>
      </c>
      <c r="N2466" s="9">
        <v>9.137341674E7</v>
      </c>
      <c r="O2466" s="9">
        <v>9.137341674E7</v>
      </c>
      <c r="P2466" s="9">
        <v>3393918.78</v>
      </c>
      <c r="Q2466" s="9">
        <v>3377000.0</v>
      </c>
      <c r="R2466" s="9" t="s">
        <v>109</v>
      </c>
      <c r="S2466" s="9" t="s">
        <v>78</v>
      </c>
      <c r="T2466" s="9" t="s">
        <v>79</v>
      </c>
      <c r="U2466" s="9" t="s">
        <v>110</v>
      </c>
    </row>
    <row r="2467" ht="15.75" customHeight="1">
      <c r="A2467" s="9">
        <v>2186753.0</v>
      </c>
      <c r="B2467" s="9">
        <v>9993016.0</v>
      </c>
      <c r="C2467" s="9">
        <v>32081.0</v>
      </c>
      <c r="D2467" s="9" t="s">
        <v>52</v>
      </c>
      <c r="E2467" s="9" t="s">
        <v>53</v>
      </c>
      <c r="F2467" s="9">
        <v>264459.0</v>
      </c>
      <c r="G2467" s="9">
        <v>8997806.03</v>
      </c>
      <c r="H2467" s="9">
        <v>8997806.03</v>
      </c>
      <c r="I2467" s="9">
        <v>8893477.07</v>
      </c>
      <c r="J2467" s="9">
        <v>0.0</v>
      </c>
      <c r="K2467" s="9">
        <v>0.0</v>
      </c>
      <c r="L2467" s="9" t="s">
        <v>59</v>
      </c>
      <c r="M2467" s="9" t="s">
        <v>55</v>
      </c>
      <c r="N2467" s="9">
        <v>8595763.41</v>
      </c>
      <c r="O2467" s="9">
        <v>8012000.0</v>
      </c>
      <c r="P2467" s="9">
        <v>259600.0</v>
      </c>
      <c r="Q2467" s="9">
        <v>220000.0</v>
      </c>
      <c r="R2467" s="9" t="s">
        <v>60</v>
      </c>
      <c r="S2467" s="9" t="s">
        <v>57</v>
      </c>
      <c r="T2467" s="9" t="s">
        <v>61</v>
      </c>
      <c r="V2467" s="9">
        <v>8588017.43</v>
      </c>
      <c r="W2467" s="9">
        <v>225077.1</v>
      </c>
      <c r="X2467" s="9">
        <v>0.0</v>
      </c>
    </row>
    <row r="2468" ht="15.75" customHeight="1">
      <c r="A2468" s="9">
        <v>2188543.0</v>
      </c>
      <c r="B2468" s="9">
        <v>5.52067E7</v>
      </c>
      <c r="C2468" s="9">
        <v>38501.0</v>
      </c>
      <c r="D2468" s="9" t="s">
        <v>52</v>
      </c>
      <c r="E2468" s="9" t="s">
        <v>64</v>
      </c>
      <c r="F2468" s="9">
        <v>160111.0</v>
      </c>
      <c r="G2468" s="9">
        <v>5.586285197E7</v>
      </c>
      <c r="H2468" s="9">
        <v>5.6784438E7</v>
      </c>
      <c r="I2468" s="9">
        <v>3332934.97</v>
      </c>
      <c r="J2468" s="9">
        <v>31807.92</v>
      </c>
      <c r="K2468" s="9">
        <v>1957418.0</v>
      </c>
      <c r="L2468" s="9" t="s">
        <v>59</v>
      </c>
      <c r="M2468" s="9" t="s">
        <v>65</v>
      </c>
      <c r="N2468" s="9">
        <v>301030.87</v>
      </c>
      <c r="O2468" s="9">
        <v>225000.0</v>
      </c>
      <c r="R2468" s="9" t="s">
        <v>85</v>
      </c>
      <c r="S2468" s="9" t="s">
        <v>67</v>
      </c>
      <c r="T2468" s="9" t="s">
        <v>86</v>
      </c>
    </row>
    <row r="2469" ht="15.75" customHeight="1">
      <c r="A2469" s="9">
        <v>2188775.0</v>
      </c>
      <c r="B2469" s="9">
        <v>9950980.0</v>
      </c>
      <c r="C2469" s="9">
        <v>45529.0</v>
      </c>
      <c r="D2469" s="9" t="s">
        <v>52</v>
      </c>
      <c r="E2469" s="9" t="s">
        <v>88</v>
      </c>
      <c r="F2469" s="9">
        <v>252016.0</v>
      </c>
      <c r="H2469" s="9">
        <v>8.830752055E7</v>
      </c>
      <c r="I2469" s="9">
        <v>8.282063656E7</v>
      </c>
      <c r="J2469" s="9">
        <v>509417.27</v>
      </c>
      <c r="K2469" s="9">
        <v>2000000.0</v>
      </c>
      <c r="L2469" s="9" t="s">
        <v>59</v>
      </c>
      <c r="M2469" s="9" t="s">
        <v>55</v>
      </c>
      <c r="N2469" s="9">
        <v>2.546566668E7</v>
      </c>
      <c r="O2469" s="9">
        <v>2.546566668E7</v>
      </c>
      <c r="P2469" s="9">
        <v>2998236.24</v>
      </c>
      <c r="Q2469" s="9">
        <v>2698412.62</v>
      </c>
      <c r="R2469" s="9" t="s">
        <v>77</v>
      </c>
      <c r="S2469" s="9" t="s">
        <v>78</v>
      </c>
      <c r="T2469" s="9" t="s">
        <v>79</v>
      </c>
      <c r="U2469" s="9" t="s">
        <v>80</v>
      </c>
    </row>
    <row r="2470" ht="15.75" customHeight="1">
      <c r="A2470" s="9">
        <v>2188775.0</v>
      </c>
      <c r="B2470" s="9">
        <v>4.126921008E7</v>
      </c>
      <c r="C2470" s="9">
        <v>42856.0</v>
      </c>
      <c r="D2470" s="9" t="s">
        <v>52</v>
      </c>
      <c r="E2470" s="9" t="s">
        <v>88</v>
      </c>
      <c r="F2470" s="9">
        <v>252016.0</v>
      </c>
      <c r="H2470" s="9">
        <v>8.830752055E7</v>
      </c>
      <c r="I2470" s="9">
        <v>8.282063656E7</v>
      </c>
      <c r="J2470" s="9">
        <v>509417.27</v>
      </c>
      <c r="K2470" s="9">
        <v>2000000.0</v>
      </c>
      <c r="L2470" s="9" t="s">
        <v>59</v>
      </c>
      <c r="M2470" s="9" t="s">
        <v>55</v>
      </c>
      <c r="N2470" s="9">
        <v>3.787944629E7</v>
      </c>
      <c r="O2470" s="9">
        <v>3.409150167E7</v>
      </c>
      <c r="P2470" s="9">
        <v>3079663.4</v>
      </c>
      <c r="Q2470" s="9">
        <v>2771697.06</v>
      </c>
      <c r="R2470" s="9" t="s">
        <v>115</v>
      </c>
      <c r="S2470" s="9" t="s">
        <v>115</v>
      </c>
      <c r="V2470" s="9">
        <v>4.017415412E7</v>
      </c>
    </row>
    <row r="2471" ht="15.75" customHeight="1">
      <c r="A2471" s="9">
        <v>2190715.0</v>
      </c>
      <c r="B2471" s="9">
        <v>1018636.62</v>
      </c>
      <c r="C2471" s="9">
        <v>31455.0</v>
      </c>
      <c r="D2471" s="9" t="s">
        <v>52</v>
      </c>
      <c r="E2471" s="9" t="s">
        <v>53</v>
      </c>
      <c r="F2471" s="9">
        <v>253416.0</v>
      </c>
      <c r="G2471" s="9">
        <v>1018636.62</v>
      </c>
      <c r="H2471" s="9">
        <v>1018636.62</v>
      </c>
      <c r="I2471" s="9">
        <v>1018637.0</v>
      </c>
      <c r="J2471" s="9">
        <v>0.0</v>
      </c>
      <c r="K2471" s="9">
        <v>0.0</v>
      </c>
      <c r="L2471" s="9" t="s">
        <v>54</v>
      </c>
      <c r="M2471" s="9" t="s">
        <v>55</v>
      </c>
      <c r="R2471" s="9" t="s">
        <v>60</v>
      </c>
      <c r="S2471" s="9" t="s">
        <v>57</v>
      </c>
      <c r="T2471" s="9" t="s">
        <v>61</v>
      </c>
      <c r="V2471" s="9">
        <v>0.0</v>
      </c>
      <c r="W2471" s="9">
        <v>0.0</v>
      </c>
      <c r="X2471" s="9">
        <v>0.0</v>
      </c>
    </row>
    <row r="2472" ht="15.75" customHeight="1">
      <c r="A2472" s="9">
        <v>2192712.0</v>
      </c>
      <c r="B2472" s="9">
        <v>7007396.0</v>
      </c>
      <c r="C2472" s="9">
        <v>31598.0</v>
      </c>
      <c r="D2472" s="9" t="s">
        <v>52</v>
      </c>
      <c r="E2472" s="9" t="s">
        <v>53</v>
      </c>
      <c r="F2472" s="9">
        <v>289778.0</v>
      </c>
      <c r="G2472" s="9">
        <v>8402299.23</v>
      </c>
      <c r="H2472" s="9">
        <v>8402299.23</v>
      </c>
      <c r="I2472" s="9">
        <v>8402245.69</v>
      </c>
      <c r="J2472" s="9">
        <v>0.0</v>
      </c>
      <c r="K2472" s="9">
        <v>0.0</v>
      </c>
      <c r="L2472" s="9" t="s">
        <v>69</v>
      </c>
      <c r="M2472" s="9" t="s">
        <v>55</v>
      </c>
      <c r="N2472" s="9">
        <v>8064710.8</v>
      </c>
      <c r="O2472" s="9">
        <v>8064710.8</v>
      </c>
      <c r="P2472" s="9">
        <v>322588.43</v>
      </c>
      <c r="Q2472" s="9">
        <v>322588.43</v>
      </c>
      <c r="R2472" s="9" t="s">
        <v>60</v>
      </c>
      <c r="S2472" s="9" t="s">
        <v>57</v>
      </c>
      <c r="T2472" s="9" t="s">
        <v>61</v>
      </c>
      <c r="V2472" s="9">
        <v>8387299.19</v>
      </c>
      <c r="W2472" s="9">
        <v>0.0</v>
      </c>
      <c r="X2472" s="9">
        <v>0.0</v>
      </c>
    </row>
    <row r="2473" ht="15.75" customHeight="1">
      <c r="A2473" s="9">
        <v>2192905.0</v>
      </c>
      <c r="B2473" s="9">
        <v>9086597.0</v>
      </c>
      <c r="C2473" s="9">
        <v>32256.0</v>
      </c>
      <c r="D2473" s="9" t="s">
        <v>52</v>
      </c>
      <c r="E2473" s="9" t="s">
        <v>53</v>
      </c>
      <c r="F2473" s="9">
        <v>285687.0</v>
      </c>
      <c r="G2473" s="9">
        <v>8927754.19</v>
      </c>
      <c r="H2473" s="9">
        <v>8927753.41</v>
      </c>
      <c r="I2473" s="9">
        <v>8927753.39</v>
      </c>
      <c r="J2473" s="9">
        <v>0.0</v>
      </c>
      <c r="K2473" s="9">
        <v>0.0</v>
      </c>
      <c r="L2473" s="9" t="s">
        <v>69</v>
      </c>
      <c r="M2473" s="9" t="s">
        <v>55</v>
      </c>
      <c r="N2473" s="9">
        <v>8492146.85</v>
      </c>
      <c r="O2473" s="9">
        <v>8492146.85</v>
      </c>
      <c r="P2473" s="9">
        <v>424607.34</v>
      </c>
      <c r="Q2473" s="9">
        <v>424607.34</v>
      </c>
      <c r="R2473" s="9" t="s">
        <v>60</v>
      </c>
      <c r="S2473" s="9" t="s">
        <v>57</v>
      </c>
      <c r="T2473" s="9" t="s">
        <v>61</v>
      </c>
      <c r="V2473" s="9">
        <v>8492146.85</v>
      </c>
      <c r="W2473" s="9">
        <v>424607.34</v>
      </c>
      <c r="X2473" s="9">
        <v>0.0</v>
      </c>
    </row>
    <row r="2474" ht="15.75" customHeight="1">
      <c r="A2474" s="9">
        <v>2193105.0</v>
      </c>
      <c r="B2474" s="9">
        <v>2.0732018E7</v>
      </c>
      <c r="C2474" s="9">
        <v>46494.0</v>
      </c>
      <c r="D2474" s="9" t="s">
        <v>52</v>
      </c>
      <c r="E2474" s="9" t="s">
        <v>53</v>
      </c>
      <c r="F2474" s="9">
        <v>278106.0</v>
      </c>
      <c r="G2474" s="9">
        <v>2.523201743E7</v>
      </c>
      <c r="H2474" s="9">
        <v>2.666708022E7</v>
      </c>
      <c r="I2474" s="9">
        <v>2.444913218E7</v>
      </c>
      <c r="J2474" s="9">
        <v>0.0</v>
      </c>
      <c r="K2474" s="9">
        <v>0.0</v>
      </c>
      <c r="L2474" s="9" t="s">
        <v>59</v>
      </c>
      <c r="M2474" s="9" t="s">
        <v>62</v>
      </c>
      <c r="N2474" s="9">
        <v>6303655.47</v>
      </c>
      <c r="O2474" s="9">
        <v>6303655.47</v>
      </c>
      <c r="P2474" s="9">
        <v>320524.85</v>
      </c>
      <c r="Q2474" s="9">
        <v>320524.85</v>
      </c>
      <c r="R2474" s="9" t="s">
        <v>56</v>
      </c>
      <c r="S2474" s="9" t="s">
        <v>57</v>
      </c>
      <c r="T2474" s="9" t="s">
        <v>58</v>
      </c>
    </row>
    <row r="2475" ht="15.75" customHeight="1">
      <c r="A2475" s="9">
        <v>2194055.0</v>
      </c>
      <c r="B2475" s="9">
        <v>8.018769E7</v>
      </c>
      <c r="C2475" s="9">
        <v>47489.0</v>
      </c>
      <c r="D2475" s="9" t="s">
        <v>52</v>
      </c>
      <c r="E2475" s="9" t="s">
        <v>53</v>
      </c>
      <c r="F2475" s="9">
        <v>279172.0</v>
      </c>
      <c r="G2475" s="9">
        <v>8.018769E7</v>
      </c>
      <c r="H2475" s="9">
        <v>8.1772671E7</v>
      </c>
      <c r="I2475" s="9">
        <v>3874128.76</v>
      </c>
      <c r="J2475" s="9">
        <v>1534619.21</v>
      </c>
      <c r="K2475" s="9">
        <v>1877120.0</v>
      </c>
      <c r="L2475" s="9" t="s">
        <v>59</v>
      </c>
      <c r="M2475" s="9" t="s">
        <v>112</v>
      </c>
      <c r="N2475" s="9">
        <v>2783000.0</v>
      </c>
      <c r="O2475" s="9">
        <v>2783000.0</v>
      </c>
      <c r="P2475" s="9">
        <v>642699.54</v>
      </c>
      <c r="Q2475" s="9">
        <v>642000.0</v>
      </c>
      <c r="R2475" s="9" t="s">
        <v>66</v>
      </c>
      <c r="S2475" s="9" t="s">
        <v>67</v>
      </c>
      <c r="T2475" s="9" t="s">
        <v>68</v>
      </c>
    </row>
    <row r="2476" ht="15.75" customHeight="1">
      <c r="A2476" s="9">
        <v>2194616.0</v>
      </c>
      <c r="B2476" s="9">
        <v>4.9282732E8</v>
      </c>
      <c r="C2476" s="9">
        <v>29538.0</v>
      </c>
      <c r="D2476" s="9" t="s">
        <v>52</v>
      </c>
      <c r="E2476" s="9" t="s">
        <v>53</v>
      </c>
      <c r="F2476" s="9">
        <v>227315.0</v>
      </c>
      <c r="G2476" s="9">
        <v>0.0</v>
      </c>
      <c r="M2476" s="9" t="s">
        <v>116</v>
      </c>
      <c r="N2476" s="9">
        <v>0.0</v>
      </c>
      <c r="O2476" s="9">
        <v>0.0</v>
      </c>
      <c r="R2476" s="9" t="s">
        <v>63</v>
      </c>
      <c r="S2476" s="9" t="s">
        <v>63</v>
      </c>
    </row>
    <row r="2477" ht="15.75" customHeight="1">
      <c r="A2477" s="9">
        <v>2195659.0</v>
      </c>
      <c r="B2477" s="9">
        <v>6958724.0</v>
      </c>
      <c r="C2477" s="9">
        <v>39157.0</v>
      </c>
      <c r="D2477" s="9" t="s">
        <v>52</v>
      </c>
      <c r="E2477" s="9" t="s">
        <v>52</v>
      </c>
      <c r="F2477" s="9">
        <v>228423.0</v>
      </c>
      <c r="G2477" s="9">
        <v>0.0</v>
      </c>
      <c r="H2477" s="9">
        <v>8482875.01</v>
      </c>
      <c r="I2477" s="9">
        <v>7971450.82</v>
      </c>
      <c r="J2477" s="9">
        <v>0.0</v>
      </c>
      <c r="K2477" s="9">
        <v>0.0</v>
      </c>
      <c r="L2477" s="9" t="s">
        <v>59</v>
      </c>
      <c r="M2477" s="9" t="s">
        <v>116</v>
      </c>
      <c r="R2477" s="9" t="s">
        <v>57</v>
      </c>
      <c r="S2477" s="9" t="s">
        <v>57</v>
      </c>
    </row>
    <row r="2478" ht="15.75" customHeight="1">
      <c r="A2478" s="9">
        <v>2196338.0</v>
      </c>
      <c r="B2478" s="9">
        <v>4701415.0</v>
      </c>
      <c r="C2478" s="9">
        <v>32055.0</v>
      </c>
      <c r="D2478" s="9" t="s">
        <v>52</v>
      </c>
      <c r="E2478" s="9" t="s">
        <v>53</v>
      </c>
      <c r="F2478" s="9">
        <v>291089.0</v>
      </c>
      <c r="G2478" s="9">
        <v>5056579.94</v>
      </c>
      <c r="H2478" s="9">
        <v>5056579.94</v>
      </c>
      <c r="I2478" s="9">
        <v>5036620.5</v>
      </c>
      <c r="J2478" s="9">
        <v>0.0</v>
      </c>
      <c r="K2478" s="9">
        <v>0.0</v>
      </c>
      <c r="L2478" s="9" t="s">
        <v>69</v>
      </c>
      <c r="M2478" s="9" t="s">
        <v>55</v>
      </c>
      <c r="N2478" s="9">
        <v>4747283.58</v>
      </c>
      <c r="O2478" s="9">
        <v>4747283.58</v>
      </c>
      <c r="P2478" s="9">
        <v>189891.34</v>
      </c>
      <c r="Q2478" s="9">
        <v>189891.34</v>
      </c>
      <c r="R2478" s="9" t="s">
        <v>60</v>
      </c>
      <c r="S2478" s="9" t="s">
        <v>57</v>
      </c>
      <c r="T2478" s="9" t="s">
        <v>61</v>
      </c>
      <c r="V2478" s="9">
        <v>4747283.58</v>
      </c>
      <c r="W2478" s="9">
        <v>189891.34</v>
      </c>
      <c r="X2478" s="9">
        <v>0.0</v>
      </c>
    </row>
    <row r="2479" ht="15.75" customHeight="1">
      <c r="A2479" s="9">
        <v>2197342.0</v>
      </c>
      <c r="B2479" s="9">
        <v>6891348.0</v>
      </c>
      <c r="C2479" s="9">
        <v>45238.0</v>
      </c>
      <c r="D2479" s="9" t="s">
        <v>52</v>
      </c>
      <c r="E2479" s="9" t="s">
        <v>53</v>
      </c>
      <c r="F2479" s="9">
        <v>287218.0</v>
      </c>
      <c r="G2479" s="9">
        <v>2296558.33</v>
      </c>
      <c r="H2479" s="9">
        <v>2296558.33</v>
      </c>
      <c r="I2479" s="9">
        <v>2843681.0</v>
      </c>
      <c r="J2479" s="9">
        <v>0.0</v>
      </c>
      <c r="K2479" s="9">
        <v>0.0</v>
      </c>
      <c r="L2479" s="9" t="s">
        <v>59</v>
      </c>
      <c r="M2479" s="9" t="s">
        <v>62</v>
      </c>
      <c r="N2479" s="9">
        <v>1078723.07</v>
      </c>
      <c r="O2479" s="9">
        <v>970850.77</v>
      </c>
      <c r="P2479" s="9">
        <v>57390.19</v>
      </c>
      <c r="Q2479" s="9">
        <v>57390.19</v>
      </c>
      <c r="R2479" s="9" t="s">
        <v>63</v>
      </c>
      <c r="S2479" s="9" t="s">
        <v>63</v>
      </c>
    </row>
    <row r="2480" ht="15.75" customHeight="1">
      <c r="A2480" s="9">
        <v>2199689.0</v>
      </c>
      <c r="B2480" s="9">
        <v>1684226.0</v>
      </c>
      <c r="C2480" s="9">
        <v>32314.0</v>
      </c>
      <c r="D2480" s="9" t="s">
        <v>52</v>
      </c>
      <c r="E2480" s="9" t="s">
        <v>53</v>
      </c>
      <c r="F2480" s="9">
        <v>272438.0</v>
      </c>
      <c r="G2480" s="9">
        <v>564272.54</v>
      </c>
      <c r="H2480" s="9">
        <v>564272.54</v>
      </c>
      <c r="I2480" s="9">
        <v>541992.96</v>
      </c>
      <c r="J2480" s="9">
        <v>0.0</v>
      </c>
      <c r="K2480" s="9">
        <v>0.0</v>
      </c>
      <c r="L2480" s="9" t="s">
        <v>59</v>
      </c>
      <c r="M2480" s="9" t="s">
        <v>55</v>
      </c>
      <c r="N2480" s="9">
        <v>564273.0</v>
      </c>
      <c r="O2480" s="9">
        <v>526017.2</v>
      </c>
      <c r="R2480" s="9" t="s">
        <v>72</v>
      </c>
      <c r="S2480" s="9" t="s">
        <v>57</v>
      </c>
      <c r="T2480" s="9" t="s">
        <v>73</v>
      </c>
      <c r="V2480" s="9">
        <v>541992.96</v>
      </c>
      <c r="W2480" s="9">
        <v>0.0</v>
      </c>
      <c r="X2480" s="9">
        <v>0.0</v>
      </c>
    </row>
    <row r="2481" ht="15.75" customHeight="1">
      <c r="A2481" s="9">
        <v>2201393.0</v>
      </c>
      <c r="B2481" s="9">
        <v>1284690.0</v>
      </c>
      <c r="C2481" s="9">
        <v>39338.0</v>
      </c>
      <c r="D2481" s="9" t="s">
        <v>52</v>
      </c>
      <c r="E2481" s="9" t="s">
        <v>53</v>
      </c>
      <c r="F2481" s="9">
        <v>284113.0</v>
      </c>
      <c r="G2481" s="9">
        <v>2159618.61</v>
      </c>
      <c r="H2481" s="9">
        <v>2248822.45</v>
      </c>
      <c r="I2481" s="9">
        <v>1747904.6</v>
      </c>
      <c r="J2481" s="9">
        <v>42300.0</v>
      </c>
      <c r="K2481" s="9">
        <v>127500.0</v>
      </c>
      <c r="L2481" s="9" t="s">
        <v>59</v>
      </c>
      <c r="M2481" s="9" t="s">
        <v>55</v>
      </c>
      <c r="N2481" s="9">
        <v>1999646.86</v>
      </c>
      <c r="O2481" s="9">
        <v>1999646.86</v>
      </c>
      <c r="P2481" s="9">
        <v>99983.0</v>
      </c>
      <c r="Q2481" s="9">
        <v>99983.0</v>
      </c>
      <c r="R2481" s="9" t="s">
        <v>70</v>
      </c>
      <c r="S2481" s="9" t="s">
        <v>57</v>
      </c>
      <c r="T2481" s="9" t="s">
        <v>71</v>
      </c>
    </row>
    <row r="2482" ht="15.75" customHeight="1">
      <c r="A2482" s="9">
        <v>2209849.0</v>
      </c>
      <c r="B2482" s="9">
        <v>257956.34</v>
      </c>
      <c r="C2482" s="9">
        <v>44247.0</v>
      </c>
      <c r="D2482" s="9" t="s">
        <v>52</v>
      </c>
      <c r="E2482" s="9" t="s">
        <v>53</v>
      </c>
      <c r="F2482" s="9">
        <v>170194.0</v>
      </c>
      <c r="G2482" s="9">
        <v>504784.64</v>
      </c>
      <c r="H2482" s="9">
        <v>709188.62</v>
      </c>
      <c r="I2482" s="9">
        <v>681447.8</v>
      </c>
      <c r="J2482" s="9">
        <v>0.0</v>
      </c>
      <c r="K2482" s="9">
        <v>0.0</v>
      </c>
      <c r="L2482" s="9" t="s">
        <v>69</v>
      </c>
      <c r="M2482" s="9" t="s">
        <v>55</v>
      </c>
      <c r="R2482" s="9" t="s">
        <v>56</v>
      </c>
      <c r="S2482" s="9" t="s">
        <v>57</v>
      </c>
      <c r="T2482" s="9" t="s">
        <v>58</v>
      </c>
      <c r="V2482" s="9">
        <v>652213.55</v>
      </c>
      <c r="W2482" s="9">
        <v>14364.0</v>
      </c>
      <c r="X2482" s="9">
        <v>0.0</v>
      </c>
    </row>
    <row r="2483" ht="15.75" customHeight="1">
      <c r="A2483" s="9">
        <v>2213000.0</v>
      </c>
      <c r="B2483" s="9">
        <v>5.0135875E7</v>
      </c>
      <c r="C2483" s="9">
        <v>26631.0</v>
      </c>
      <c r="D2483" s="9" t="s">
        <v>52</v>
      </c>
      <c r="E2483" s="9" t="s">
        <v>53</v>
      </c>
      <c r="F2483" s="9">
        <v>216903.0</v>
      </c>
      <c r="G2483" s="9">
        <v>4.849263505E7</v>
      </c>
      <c r="H2483" s="9">
        <v>4.849263505E7</v>
      </c>
      <c r="I2483" s="9">
        <v>4.836135652E7</v>
      </c>
      <c r="J2483" s="9">
        <v>0.0</v>
      </c>
      <c r="K2483" s="9">
        <v>0.0</v>
      </c>
      <c r="L2483" s="9" t="s">
        <v>59</v>
      </c>
      <c r="M2483" s="9" t="s">
        <v>55</v>
      </c>
      <c r="N2483" s="9">
        <v>4.649911183E7</v>
      </c>
      <c r="O2483" s="9">
        <v>4.649911183E7</v>
      </c>
      <c r="P2483" s="9">
        <v>1394973.35</v>
      </c>
      <c r="Q2483" s="9">
        <v>1394973.35</v>
      </c>
      <c r="R2483" s="9" t="s">
        <v>56</v>
      </c>
      <c r="S2483" s="9" t="s">
        <v>57</v>
      </c>
      <c r="T2483" s="9" t="s">
        <v>58</v>
      </c>
      <c r="V2483" s="9">
        <v>5.0008155E7</v>
      </c>
      <c r="W2483" s="9">
        <v>0.0</v>
      </c>
      <c r="X2483" s="9">
        <v>0.0</v>
      </c>
    </row>
    <row r="2484" ht="15.75" customHeight="1">
      <c r="A2484" s="9">
        <v>2214954.0</v>
      </c>
      <c r="B2484" s="9">
        <v>1060250.0</v>
      </c>
      <c r="C2484" s="9">
        <v>31558.0</v>
      </c>
      <c r="D2484" s="9" t="s">
        <v>52</v>
      </c>
      <c r="E2484" s="9" t="s">
        <v>53</v>
      </c>
      <c r="F2484" s="9">
        <v>184612.0</v>
      </c>
      <c r="G2484" s="9">
        <v>1737190.0</v>
      </c>
      <c r="H2484" s="9">
        <v>1864361.58</v>
      </c>
      <c r="I2484" s="9">
        <v>1827147.9</v>
      </c>
      <c r="J2484" s="9">
        <v>0.0</v>
      </c>
      <c r="K2484" s="9">
        <v>0.0</v>
      </c>
      <c r="L2484" s="9" t="s">
        <v>59</v>
      </c>
      <c r="M2484" s="9" t="s">
        <v>55</v>
      </c>
      <c r="N2484" s="9">
        <v>1422565.8</v>
      </c>
      <c r="O2484" s="9">
        <v>1376561.27</v>
      </c>
      <c r="P2484" s="9">
        <v>35504.53</v>
      </c>
      <c r="Q2484" s="9">
        <v>35504.53</v>
      </c>
      <c r="R2484" s="9" t="s">
        <v>60</v>
      </c>
      <c r="S2484" s="9" t="s">
        <v>57</v>
      </c>
      <c r="T2484" s="9" t="s">
        <v>61</v>
      </c>
      <c r="V2484" s="9">
        <v>1647664.17</v>
      </c>
      <c r="W2484" s="9">
        <v>35504.53</v>
      </c>
      <c r="X2484" s="9">
        <v>0.0</v>
      </c>
    </row>
    <row r="2485" ht="15.75" customHeight="1">
      <c r="A2485" s="9">
        <v>2215833.0</v>
      </c>
      <c r="B2485" s="9">
        <v>6492235.0</v>
      </c>
      <c r="C2485" s="9">
        <v>46855.0</v>
      </c>
      <c r="D2485" s="9" t="s">
        <v>52</v>
      </c>
      <c r="E2485" s="9" t="s">
        <v>53</v>
      </c>
      <c r="F2485" s="9">
        <v>208984.0</v>
      </c>
      <c r="G2485" s="9">
        <v>6849015.99</v>
      </c>
      <c r="H2485" s="9">
        <v>3.878548259E7</v>
      </c>
      <c r="I2485" s="9">
        <v>3.006073256E7</v>
      </c>
      <c r="J2485" s="9">
        <v>2548445.35</v>
      </c>
      <c r="K2485" s="9">
        <v>3474430.0</v>
      </c>
      <c r="L2485" s="9" t="s">
        <v>59</v>
      </c>
      <c r="M2485" s="9" t="s">
        <v>55</v>
      </c>
      <c r="R2485" s="9" t="s">
        <v>81</v>
      </c>
      <c r="S2485" s="9" t="s">
        <v>82</v>
      </c>
      <c r="T2485" s="9" t="s">
        <v>83</v>
      </c>
      <c r="U2485" s="9" t="s">
        <v>84</v>
      </c>
    </row>
    <row r="2486" ht="15.75" customHeight="1">
      <c r="A2486" s="9">
        <v>2568567.0</v>
      </c>
      <c r="B2486" s="9">
        <v>2.655115051E8</v>
      </c>
      <c r="C2486" s="9">
        <v>47030.0</v>
      </c>
      <c r="D2486" s="9" t="s">
        <v>52</v>
      </c>
      <c r="E2486" s="9" t="s">
        <v>126</v>
      </c>
      <c r="F2486" s="9">
        <v>2568567.0</v>
      </c>
      <c r="H2486" s="9">
        <v>2.6146978519E8</v>
      </c>
      <c r="I2486" s="9">
        <v>1779735.82</v>
      </c>
      <c r="J2486" s="9">
        <v>637674.04</v>
      </c>
      <c r="K2486" s="9">
        <v>2473652.0</v>
      </c>
      <c r="L2486" s="9" t="s">
        <v>59</v>
      </c>
      <c r="M2486" s="9" t="s">
        <v>65</v>
      </c>
      <c r="N2486" s="9">
        <v>4152294.66</v>
      </c>
      <c r="O2486" s="9">
        <v>3736655.26</v>
      </c>
      <c r="P2486" s="9">
        <v>862354.86</v>
      </c>
      <c r="Q2486" s="9">
        <v>979737.76</v>
      </c>
      <c r="R2486" s="9" t="s">
        <v>66</v>
      </c>
      <c r="S2486" s="9" t="s">
        <v>67</v>
      </c>
      <c r="T2486" s="9" t="s">
        <v>68</v>
      </c>
    </row>
    <row r="2487" ht="15.75" customHeight="1">
      <c r="A2487" s="9">
        <v>2614652.0</v>
      </c>
      <c r="B2487" s="9">
        <v>1253150.14</v>
      </c>
      <c r="C2487" s="9">
        <v>48249.0</v>
      </c>
      <c r="D2487" s="9" t="s">
        <v>52</v>
      </c>
      <c r="E2487" s="9" t="s">
        <v>103</v>
      </c>
      <c r="F2487" s="9">
        <v>2614652.0</v>
      </c>
      <c r="H2487" s="9">
        <v>1253150.14</v>
      </c>
      <c r="I2487" s="9">
        <v>1225955.72</v>
      </c>
      <c r="J2487" s="9">
        <v>850115.72</v>
      </c>
      <c r="K2487" s="9">
        <v>877310.0</v>
      </c>
      <c r="L2487" s="9" t="s">
        <v>59</v>
      </c>
      <c r="M2487" s="9" t="s">
        <v>55</v>
      </c>
      <c r="R2487" s="9" t="s">
        <v>94</v>
      </c>
      <c r="S2487" s="9" t="s">
        <v>57</v>
      </c>
      <c r="T2487" s="9" t="s">
        <v>95</v>
      </c>
    </row>
    <row r="2488" ht="15.75" customHeight="1">
      <c r="A2488" s="9">
        <v>2656700.0</v>
      </c>
      <c r="B2488" s="9">
        <v>1.200380841E7</v>
      </c>
      <c r="C2488" s="9">
        <v>48659.0</v>
      </c>
      <c r="D2488" s="9" t="s">
        <v>52</v>
      </c>
      <c r="E2488" s="9" t="s">
        <v>87</v>
      </c>
      <c r="F2488" s="9">
        <v>2656700.0</v>
      </c>
      <c r="H2488" s="9">
        <v>1.194438361E7</v>
      </c>
      <c r="I2488" s="9">
        <v>0.0</v>
      </c>
      <c r="J2488" s="9">
        <v>0.0</v>
      </c>
      <c r="K2488" s="9">
        <v>0.0</v>
      </c>
      <c r="L2488" s="9" t="s">
        <v>59</v>
      </c>
      <c r="M2488" s="9" t="s">
        <v>65</v>
      </c>
      <c r="R2488" s="9" t="s">
        <v>100</v>
      </c>
      <c r="S2488" s="9" t="s">
        <v>101</v>
      </c>
      <c r="T2488" s="9" t="s">
        <v>102</v>
      </c>
    </row>
    <row r="2489" ht="15.75" customHeight="1">
      <c r="A2489" s="9">
        <v>2667253.0</v>
      </c>
      <c r="B2489" s="9">
        <v>461830.11</v>
      </c>
      <c r="C2489" s="9">
        <v>48254.0</v>
      </c>
      <c r="D2489" s="9" t="s">
        <v>52</v>
      </c>
      <c r="E2489" s="9" t="s">
        <v>103</v>
      </c>
      <c r="F2489" s="9">
        <v>2667253.0</v>
      </c>
      <c r="H2489" s="9">
        <v>461830.11</v>
      </c>
      <c r="I2489" s="9">
        <v>438610.27</v>
      </c>
      <c r="J2489" s="9">
        <v>438610.27</v>
      </c>
      <c r="K2489" s="9">
        <v>461831.0</v>
      </c>
      <c r="L2489" s="9" t="s">
        <v>59</v>
      </c>
      <c r="M2489" s="9" t="s">
        <v>55</v>
      </c>
      <c r="N2489" s="9">
        <v>438610.2</v>
      </c>
      <c r="O2489" s="9">
        <v>438610.2</v>
      </c>
      <c r="R2489" s="9" t="s">
        <v>94</v>
      </c>
      <c r="S2489" s="9" t="s">
        <v>57</v>
      </c>
      <c r="T2489" s="9" t="s">
        <v>95</v>
      </c>
    </row>
    <row r="2490" ht="15.75" customHeight="1">
      <c r="A2490" s="9">
        <v>2674984.0</v>
      </c>
      <c r="B2490" s="9">
        <v>3396820.81</v>
      </c>
      <c r="C2490" s="9">
        <v>48303.0</v>
      </c>
      <c r="D2490" s="9" t="s">
        <v>52</v>
      </c>
      <c r="E2490" s="9" t="s">
        <v>103</v>
      </c>
      <c r="F2490" s="9">
        <v>2674984.0</v>
      </c>
      <c r="H2490" s="9">
        <v>3396820.81</v>
      </c>
      <c r="I2490" s="9">
        <v>4834274.78</v>
      </c>
      <c r="J2490" s="9">
        <v>4834274.78</v>
      </c>
      <c r="K2490" s="9">
        <v>3396821.0</v>
      </c>
      <c r="L2490" s="9" t="s">
        <v>59</v>
      </c>
      <c r="M2490" s="9" t="s">
        <v>55</v>
      </c>
      <c r="N2490" s="9">
        <v>3396820.81</v>
      </c>
      <c r="O2490" s="9">
        <v>3144423.36</v>
      </c>
      <c r="R2490" s="9" t="s">
        <v>94</v>
      </c>
      <c r="S2490" s="9" t="s">
        <v>57</v>
      </c>
      <c r="T2490" s="9" t="s">
        <v>95</v>
      </c>
    </row>
    <row r="2491" ht="15.75" customHeight="1">
      <c r="A2491" s="9">
        <v>2215965.0</v>
      </c>
      <c r="B2491" s="9">
        <v>2388965.0</v>
      </c>
      <c r="C2491" s="9">
        <v>26629.0</v>
      </c>
      <c r="D2491" s="9" t="s">
        <v>52</v>
      </c>
      <c r="E2491" s="9" t="s">
        <v>53</v>
      </c>
      <c r="F2491" s="9">
        <v>208033.0</v>
      </c>
      <c r="G2491" s="9">
        <v>2405849.79</v>
      </c>
      <c r="H2491" s="9">
        <v>2405849.79</v>
      </c>
      <c r="I2491" s="9">
        <v>2395250.0</v>
      </c>
      <c r="J2491" s="9">
        <v>0.0</v>
      </c>
      <c r="K2491" s="9">
        <v>0.0</v>
      </c>
      <c r="L2491" s="9" t="s">
        <v>59</v>
      </c>
      <c r="M2491" s="9" t="s">
        <v>55</v>
      </c>
      <c r="N2491" s="9">
        <v>2329089.59</v>
      </c>
      <c r="O2491" s="9">
        <v>2329050.0</v>
      </c>
      <c r="P2491" s="9">
        <v>66260.27</v>
      </c>
      <c r="Q2491" s="9">
        <v>66200.0</v>
      </c>
      <c r="R2491" s="9" t="s">
        <v>60</v>
      </c>
      <c r="S2491" s="9" t="s">
        <v>57</v>
      </c>
      <c r="T2491" s="9" t="s">
        <v>61</v>
      </c>
      <c r="V2491" s="9">
        <v>2329050.0</v>
      </c>
      <c r="W2491" s="9">
        <v>66200.0</v>
      </c>
      <c r="X2491" s="9">
        <v>0.0</v>
      </c>
    </row>
    <row r="2492" ht="15.75" customHeight="1">
      <c r="A2492" s="9">
        <v>2216533.0</v>
      </c>
      <c r="B2492" s="9">
        <v>418155.34</v>
      </c>
      <c r="C2492" s="9">
        <v>32120.0</v>
      </c>
      <c r="D2492" s="9" t="s">
        <v>52</v>
      </c>
      <c r="E2492" s="9" t="s">
        <v>53</v>
      </c>
      <c r="F2492" s="9">
        <v>201640.0</v>
      </c>
      <c r="G2492" s="9">
        <v>570509.24</v>
      </c>
      <c r="H2492" s="9">
        <v>570509.24</v>
      </c>
      <c r="I2492" s="9">
        <v>557809.24</v>
      </c>
      <c r="J2492" s="9">
        <v>0.0</v>
      </c>
      <c r="K2492" s="9">
        <v>0.0</v>
      </c>
      <c r="L2492" s="9" t="s">
        <v>59</v>
      </c>
      <c r="M2492" s="9" t="s">
        <v>55</v>
      </c>
      <c r="N2492" s="9">
        <v>533009.24</v>
      </c>
      <c r="O2492" s="9">
        <v>533009.24</v>
      </c>
      <c r="P2492" s="9">
        <v>26500.0</v>
      </c>
      <c r="Q2492" s="9">
        <v>0.0</v>
      </c>
      <c r="R2492" s="9" t="s">
        <v>56</v>
      </c>
      <c r="S2492" s="9" t="s">
        <v>57</v>
      </c>
      <c r="T2492" s="9" t="s">
        <v>58</v>
      </c>
      <c r="V2492" s="9">
        <v>533009.24</v>
      </c>
      <c r="W2492" s="9">
        <v>0.0</v>
      </c>
      <c r="X2492" s="9">
        <v>0.0</v>
      </c>
    </row>
    <row r="2493" ht="15.75" customHeight="1">
      <c r="A2493" s="9">
        <v>2219920.0</v>
      </c>
      <c r="B2493" s="9">
        <v>1.7428859E7</v>
      </c>
      <c r="C2493" s="9">
        <v>27026.0</v>
      </c>
      <c r="D2493" s="9" t="s">
        <v>52</v>
      </c>
      <c r="E2493" s="9" t="s">
        <v>53</v>
      </c>
      <c r="F2493" s="9">
        <v>241261.0</v>
      </c>
      <c r="G2493" s="9">
        <v>1.966783022E7</v>
      </c>
      <c r="H2493" s="9">
        <v>1.966783022E7</v>
      </c>
      <c r="I2493" s="9">
        <v>1.966782981E7</v>
      </c>
      <c r="J2493" s="9">
        <v>0.0</v>
      </c>
      <c r="K2493" s="9">
        <v>0.0</v>
      </c>
      <c r="L2493" s="9" t="s">
        <v>59</v>
      </c>
      <c r="M2493" s="9" t="s">
        <v>55</v>
      </c>
      <c r="N2493" s="9">
        <v>1.630791112E7</v>
      </c>
      <c r="O2493" s="9">
        <v>1.630791112E7</v>
      </c>
      <c r="P2493" s="9">
        <v>680022.0</v>
      </c>
      <c r="Q2493" s="9">
        <v>680022.0</v>
      </c>
      <c r="R2493" s="9" t="s">
        <v>60</v>
      </c>
      <c r="S2493" s="9" t="s">
        <v>57</v>
      </c>
      <c r="T2493" s="9" t="s">
        <v>61</v>
      </c>
      <c r="V2493" s="9">
        <v>1.630791112E7</v>
      </c>
      <c r="W2493" s="9">
        <v>680022.4</v>
      </c>
      <c r="X2493" s="9">
        <v>0.0</v>
      </c>
    </row>
    <row r="2494" ht="15.75" customHeight="1">
      <c r="A2494" s="9">
        <v>2224607.0</v>
      </c>
      <c r="B2494" s="9">
        <v>1013742.24</v>
      </c>
      <c r="C2494" s="9">
        <v>40095.0</v>
      </c>
      <c r="D2494" s="9" t="s">
        <v>52</v>
      </c>
      <c r="E2494" s="9" t="s">
        <v>53</v>
      </c>
      <c r="F2494" s="9">
        <v>243416.0</v>
      </c>
      <c r="G2494" s="9">
        <v>1354541.21</v>
      </c>
      <c r="H2494" s="9">
        <v>1335347.92</v>
      </c>
      <c r="I2494" s="9">
        <v>1301117.74</v>
      </c>
      <c r="J2494" s="9">
        <v>0.0</v>
      </c>
      <c r="K2494" s="9">
        <v>0.0</v>
      </c>
      <c r="L2494" s="9" t="s">
        <v>69</v>
      </c>
      <c r="M2494" s="9" t="s">
        <v>55</v>
      </c>
      <c r="N2494" s="9">
        <v>1290117.74</v>
      </c>
      <c r="O2494" s="9">
        <v>1290117.74</v>
      </c>
      <c r="R2494" s="9" t="s">
        <v>72</v>
      </c>
      <c r="S2494" s="9" t="s">
        <v>57</v>
      </c>
      <c r="T2494" s="9" t="s">
        <v>73</v>
      </c>
      <c r="V2494" s="9">
        <v>1324347.92</v>
      </c>
      <c r="W2494" s="9">
        <v>0.0</v>
      </c>
      <c r="X2494" s="9">
        <v>0.0</v>
      </c>
    </row>
    <row r="2495" ht="15.75" customHeight="1">
      <c r="A2495" s="9">
        <v>2224650.0</v>
      </c>
      <c r="B2495" s="9">
        <v>9962328.0</v>
      </c>
      <c r="C2495" s="9">
        <v>44265.0</v>
      </c>
      <c r="D2495" s="9" t="s">
        <v>52</v>
      </c>
      <c r="E2495" s="9" t="s">
        <v>53</v>
      </c>
      <c r="F2495" s="9">
        <v>234540.0</v>
      </c>
      <c r="G2495" s="9">
        <v>1.174987263E7</v>
      </c>
      <c r="H2495" s="9">
        <v>1.667168546E7</v>
      </c>
      <c r="I2495" s="9">
        <v>1.614567176E7</v>
      </c>
      <c r="J2495" s="9">
        <v>0.0</v>
      </c>
      <c r="K2495" s="9">
        <v>0.0</v>
      </c>
      <c r="L2495" s="9" t="s">
        <v>69</v>
      </c>
      <c r="M2495" s="9" t="s">
        <v>62</v>
      </c>
      <c r="N2495" s="9">
        <v>4930666.01</v>
      </c>
      <c r="O2495" s="9">
        <v>4584402.0</v>
      </c>
      <c r="P2495" s="9">
        <v>369986.7</v>
      </c>
      <c r="Q2495" s="9">
        <v>282193.25</v>
      </c>
      <c r="R2495" s="9" t="s">
        <v>56</v>
      </c>
      <c r="S2495" s="9" t="s">
        <v>57</v>
      </c>
      <c r="T2495" s="9" t="s">
        <v>58</v>
      </c>
      <c r="V2495" s="9">
        <v>4801008.98</v>
      </c>
      <c r="W2495" s="9">
        <v>307193.25</v>
      </c>
      <c r="X2495" s="9">
        <v>0.0</v>
      </c>
    </row>
    <row r="2496" ht="15.75" customHeight="1">
      <c r="A2496" s="9">
        <v>2225786.0</v>
      </c>
      <c r="B2496" s="9">
        <v>322143.08</v>
      </c>
      <c r="C2496" s="9">
        <v>32145.0</v>
      </c>
      <c r="D2496" s="9" t="s">
        <v>52</v>
      </c>
      <c r="E2496" s="9" t="s">
        <v>53</v>
      </c>
      <c r="F2496" s="9">
        <v>242360.0</v>
      </c>
      <c r="G2496" s="9">
        <v>327120.67</v>
      </c>
      <c r="H2496" s="9">
        <v>327120.67</v>
      </c>
      <c r="I2496" s="9">
        <v>239866.97</v>
      </c>
      <c r="J2496" s="9">
        <v>0.0</v>
      </c>
      <c r="K2496" s="9">
        <v>0.0</v>
      </c>
      <c r="L2496" s="9" t="s">
        <v>59</v>
      </c>
      <c r="M2496" s="9" t="s">
        <v>55</v>
      </c>
      <c r="N2496" s="9">
        <v>238115.0</v>
      </c>
      <c r="O2496" s="9">
        <v>238115.0</v>
      </c>
      <c r="P2496" s="9">
        <v>0.0</v>
      </c>
      <c r="Q2496" s="9">
        <v>0.0</v>
      </c>
      <c r="R2496" s="9" t="s">
        <v>56</v>
      </c>
      <c r="S2496" s="9" t="s">
        <v>57</v>
      </c>
      <c r="T2496" s="9" t="s">
        <v>58</v>
      </c>
      <c r="V2496" s="9">
        <v>216369.0</v>
      </c>
      <c r="W2496" s="9">
        <v>0.0</v>
      </c>
      <c r="X2496" s="9">
        <v>0.0</v>
      </c>
    </row>
    <row r="2497" ht="15.75" customHeight="1">
      <c r="A2497" s="9">
        <v>2225843.0</v>
      </c>
      <c r="B2497" s="9">
        <v>3299815.0</v>
      </c>
      <c r="C2497" s="9">
        <v>39162.0</v>
      </c>
      <c r="D2497" s="9" t="s">
        <v>52</v>
      </c>
      <c r="E2497" s="9" t="s">
        <v>52</v>
      </c>
      <c r="F2497" s="9">
        <v>126950.0</v>
      </c>
      <c r="G2497" s="9">
        <v>3299815.0</v>
      </c>
      <c r="H2497" s="9">
        <v>3299815.0</v>
      </c>
      <c r="I2497" s="9">
        <v>0.0</v>
      </c>
      <c r="J2497" s="9">
        <v>0.0</v>
      </c>
      <c r="K2497" s="9">
        <v>0.0</v>
      </c>
      <c r="L2497" s="9" t="s">
        <v>54</v>
      </c>
      <c r="M2497" s="9" t="s">
        <v>116</v>
      </c>
      <c r="R2497" s="9" t="s">
        <v>117</v>
      </c>
      <c r="S2497" s="9" t="s">
        <v>57</v>
      </c>
      <c r="T2497" s="9" t="s">
        <v>118</v>
      </c>
    </row>
    <row r="2498" ht="15.75" customHeight="1">
      <c r="A2498" s="9">
        <v>2235939.0</v>
      </c>
      <c r="B2498" s="9">
        <v>1244298.0</v>
      </c>
      <c r="C2498" s="9">
        <v>39159.0</v>
      </c>
      <c r="D2498" s="9" t="s">
        <v>52</v>
      </c>
      <c r="E2498" s="9" t="s">
        <v>52</v>
      </c>
      <c r="F2498" s="9">
        <v>205179.0</v>
      </c>
      <c r="G2498" s="9">
        <v>1244298.0</v>
      </c>
      <c r="H2498" s="9">
        <v>1244298.0</v>
      </c>
      <c r="I2498" s="9">
        <v>0.0</v>
      </c>
      <c r="J2498" s="9">
        <v>0.0</v>
      </c>
      <c r="K2498" s="9">
        <v>0.0</v>
      </c>
      <c r="L2498" s="9" t="s">
        <v>54</v>
      </c>
      <c r="M2498" s="9" t="s">
        <v>116</v>
      </c>
      <c r="R2498" s="9" t="s">
        <v>117</v>
      </c>
      <c r="S2498" s="9" t="s">
        <v>57</v>
      </c>
      <c r="T2498" s="9" t="s">
        <v>118</v>
      </c>
    </row>
    <row r="2499" ht="15.75" customHeight="1">
      <c r="A2499" s="9">
        <v>2236164.0</v>
      </c>
      <c r="B2499" s="9">
        <v>1.7589708E7</v>
      </c>
      <c r="C2499" s="9">
        <v>44253.0</v>
      </c>
      <c r="D2499" s="9" t="s">
        <v>52</v>
      </c>
      <c r="E2499" s="9" t="s">
        <v>53</v>
      </c>
      <c r="F2499" s="9">
        <v>232492.0</v>
      </c>
      <c r="G2499" s="9">
        <v>1.803565339E7</v>
      </c>
      <c r="H2499" s="9">
        <v>1.941925036E7</v>
      </c>
      <c r="I2499" s="9">
        <v>1.941206655E7</v>
      </c>
      <c r="J2499" s="9">
        <v>0.0</v>
      </c>
      <c r="K2499" s="9">
        <v>0.0</v>
      </c>
      <c r="L2499" s="9" t="s">
        <v>59</v>
      </c>
      <c r="M2499" s="9" t="s">
        <v>55</v>
      </c>
      <c r="N2499" s="9">
        <v>1.70148155E7</v>
      </c>
      <c r="O2499" s="9">
        <v>1.531333395E7</v>
      </c>
      <c r="P2499" s="9">
        <v>638023.68</v>
      </c>
      <c r="Q2499" s="9">
        <v>574221.32</v>
      </c>
      <c r="R2499" s="9" t="s">
        <v>56</v>
      </c>
      <c r="S2499" s="9" t="s">
        <v>57</v>
      </c>
      <c r="T2499" s="9" t="s">
        <v>58</v>
      </c>
    </row>
    <row r="2500" ht="15.75" customHeight="1">
      <c r="A2500" s="9">
        <v>2236439.0</v>
      </c>
      <c r="B2500" s="9">
        <v>8799384.0</v>
      </c>
      <c r="C2500" s="9">
        <v>39542.0</v>
      </c>
      <c r="D2500" s="9" t="s">
        <v>52</v>
      </c>
      <c r="E2500" s="9" t="s">
        <v>53</v>
      </c>
      <c r="F2500" s="9">
        <v>245971.0</v>
      </c>
      <c r="G2500" s="9">
        <v>7952605.16</v>
      </c>
      <c r="H2500" s="9">
        <v>7952605.16</v>
      </c>
      <c r="I2500" s="9">
        <v>7482417.18</v>
      </c>
      <c r="J2500" s="9">
        <v>0.0</v>
      </c>
      <c r="K2500" s="9">
        <v>0.0</v>
      </c>
      <c r="L2500" s="9" t="s">
        <v>59</v>
      </c>
      <c r="M2500" s="9" t="s">
        <v>55</v>
      </c>
      <c r="N2500" s="9">
        <v>7509542.17</v>
      </c>
      <c r="O2500" s="9">
        <v>7500000.0</v>
      </c>
      <c r="P2500" s="9">
        <v>337929.4</v>
      </c>
      <c r="Q2500" s="9">
        <v>337929.4</v>
      </c>
      <c r="R2500" s="9" t="s">
        <v>72</v>
      </c>
      <c r="S2500" s="9" t="s">
        <v>57</v>
      </c>
      <c r="T2500" s="9" t="s">
        <v>73</v>
      </c>
      <c r="V2500" s="9">
        <v>7134487.89</v>
      </c>
      <c r="W2500" s="9">
        <v>337929.29</v>
      </c>
      <c r="X2500" s="9">
        <v>0.0</v>
      </c>
    </row>
    <row r="2501" ht="15.75" customHeight="1">
      <c r="A2501" s="9">
        <v>2237532.0</v>
      </c>
      <c r="B2501" s="9">
        <v>6402594.0</v>
      </c>
      <c r="C2501" s="9">
        <v>39352.0</v>
      </c>
      <c r="D2501" s="9" t="s">
        <v>52</v>
      </c>
      <c r="E2501" s="9" t="s">
        <v>53</v>
      </c>
      <c r="F2501" s="9">
        <v>264154.0</v>
      </c>
      <c r="G2501" s="9">
        <v>1.089557936E7</v>
      </c>
      <c r="H2501" s="9">
        <v>1.094928456E7</v>
      </c>
      <c r="I2501" s="9">
        <v>1.089557903E7</v>
      </c>
      <c r="J2501" s="9">
        <v>0.0</v>
      </c>
      <c r="K2501" s="9">
        <v>0.0</v>
      </c>
      <c r="L2501" s="9" t="s">
        <v>59</v>
      </c>
      <c r="M2501" s="9" t="s">
        <v>55</v>
      </c>
      <c r="N2501" s="9">
        <v>1.029063971E7</v>
      </c>
      <c r="O2501" s="9">
        <v>1.029063971E7</v>
      </c>
      <c r="P2501" s="9">
        <v>472939.65</v>
      </c>
      <c r="Q2501" s="9">
        <v>472939.7</v>
      </c>
      <c r="R2501" s="9" t="s">
        <v>94</v>
      </c>
      <c r="S2501" s="9" t="s">
        <v>57</v>
      </c>
      <c r="T2501" s="9" t="s">
        <v>95</v>
      </c>
    </row>
    <row r="2502" ht="15.75" customHeight="1">
      <c r="A2502" s="9">
        <v>2239715.0</v>
      </c>
      <c r="B2502" s="9">
        <v>339829.0</v>
      </c>
      <c r="C2502" s="9">
        <v>44256.0</v>
      </c>
      <c r="D2502" s="9" t="s">
        <v>52</v>
      </c>
      <c r="E2502" s="9" t="s">
        <v>53</v>
      </c>
      <c r="F2502" s="9">
        <v>273999.0</v>
      </c>
      <c r="G2502" s="9">
        <v>3926192.96</v>
      </c>
      <c r="H2502" s="9">
        <v>3573988.61</v>
      </c>
      <c r="I2502" s="9">
        <v>3505054.9</v>
      </c>
      <c r="J2502" s="9">
        <v>0.0</v>
      </c>
      <c r="K2502" s="9">
        <v>0.0</v>
      </c>
      <c r="L2502" s="9" t="s">
        <v>69</v>
      </c>
      <c r="M2502" s="9" t="s">
        <v>55</v>
      </c>
      <c r="N2502" s="9">
        <v>3796555.24</v>
      </c>
      <c r="O2502" s="9">
        <v>3796555.24</v>
      </c>
      <c r="P2502" s="9">
        <v>171372.0</v>
      </c>
      <c r="Q2502" s="9">
        <v>171372.0</v>
      </c>
      <c r="R2502" s="9" t="s">
        <v>72</v>
      </c>
      <c r="S2502" s="9" t="s">
        <v>57</v>
      </c>
      <c r="T2502" s="9" t="s">
        <v>73</v>
      </c>
      <c r="V2502" s="9">
        <v>3376916.39</v>
      </c>
      <c r="W2502" s="9">
        <v>197757.56</v>
      </c>
      <c r="X2502" s="9">
        <v>0.0</v>
      </c>
    </row>
    <row r="2503" ht="15.75" customHeight="1">
      <c r="A2503" s="9">
        <v>2241980.0</v>
      </c>
      <c r="B2503" s="9">
        <v>5407643.0</v>
      </c>
      <c r="C2503" s="9">
        <v>37360.0</v>
      </c>
      <c r="D2503" s="9" t="s">
        <v>52</v>
      </c>
      <c r="E2503" s="9" t="s">
        <v>53</v>
      </c>
      <c r="F2503" s="9">
        <v>283709.0</v>
      </c>
      <c r="G2503" s="9">
        <v>5017293.86</v>
      </c>
      <c r="H2503" s="9">
        <v>5017293.86</v>
      </c>
      <c r="I2503" s="9">
        <v>4904434.77</v>
      </c>
      <c r="J2503" s="9">
        <v>0.0</v>
      </c>
      <c r="K2503" s="9">
        <v>0.0</v>
      </c>
      <c r="L2503" s="9" t="s">
        <v>59</v>
      </c>
      <c r="M2503" s="9" t="s">
        <v>55</v>
      </c>
      <c r="N2503" s="9">
        <v>4522293.86</v>
      </c>
      <c r="O2503" s="9">
        <v>4522293.86</v>
      </c>
      <c r="P2503" s="9">
        <v>255000.0</v>
      </c>
      <c r="Q2503" s="9">
        <v>229500.0</v>
      </c>
      <c r="R2503" s="9" t="s">
        <v>60</v>
      </c>
      <c r="S2503" s="9" t="s">
        <v>57</v>
      </c>
      <c r="T2503" s="9" t="s">
        <v>61</v>
      </c>
      <c r="V2503" s="9">
        <v>4577423.16</v>
      </c>
      <c r="W2503" s="9">
        <v>229500.0</v>
      </c>
      <c r="X2503" s="9">
        <v>0.0</v>
      </c>
    </row>
    <row r="2504" ht="15.75" customHeight="1">
      <c r="A2504" s="9">
        <v>2245138.0</v>
      </c>
      <c r="B2504" s="9">
        <v>5867219.0</v>
      </c>
      <c r="C2504" s="9">
        <v>39356.0</v>
      </c>
      <c r="D2504" s="9" t="s">
        <v>52</v>
      </c>
      <c r="E2504" s="9" t="s">
        <v>53</v>
      </c>
      <c r="F2504" s="9">
        <v>296448.0</v>
      </c>
      <c r="G2504" s="9">
        <v>7590471.16</v>
      </c>
      <c r="H2504" s="9">
        <v>7590471.16</v>
      </c>
      <c r="I2504" s="9">
        <v>7533140.65</v>
      </c>
      <c r="J2504" s="9">
        <v>0.0</v>
      </c>
      <c r="K2504" s="9">
        <v>0.0</v>
      </c>
      <c r="L2504" s="9" t="s">
        <v>69</v>
      </c>
      <c r="M2504" s="9" t="s">
        <v>55</v>
      </c>
      <c r="N2504" s="9">
        <v>7295141.22</v>
      </c>
      <c r="O2504" s="9">
        <v>7295141.22</v>
      </c>
      <c r="P2504" s="9">
        <v>255329.94</v>
      </c>
      <c r="Q2504" s="9">
        <v>237999.43</v>
      </c>
      <c r="R2504" s="9" t="s">
        <v>60</v>
      </c>
      <c r="S2504" s="9" t="s">
        <v>57</v>
      </c>
      <c r="T2504" s="9" t="s">
        <v>61</v>
      </c>
      <c r="V2504" s="9">
        <v>7295141.22</v>
      </c>
      <c r="W2504" s="9">
        <v>237999.43</v>
      </c>
      <c r="X2504" s="9">
        <v>0.0</v>
      </c>
    </row>
    <row r="2505" ht="15.75" customHeight="1">
      <c r="A2505" s="9">
        <v>2246292.0</v>
      </c>
      <c r="B2505" s="9">
        <v>1507691.0</v>
      </c>
      <c r="C2505" s="9">
        <v>39590.0</v>
      </c>
      <c r="D2505" s="9" t="s">
        <v>52</v>
      </c>
      <c r="E2505" s="9" t="s">
        <v>53</v>
      </c>
      <c r="F2505" s="9">
        <v>300669.0</v>
      </c>
      <c r="G2505" s="9">
        <v>1851573.96</v>
      </c>
      <c r="H2505" s="9">
        <v>1851573.96</v>
      </c>
      <c r="I2505" s="9">
        <v>1831587.66</v>
      </c>
      <c r="J2505" s="9">
        <v>0.0</v>
      </c>
      <c r="K2505" s="9">
        <v>0.0</v>
      </c>
      <c r="L2505" s="9" t="s">
        <v>59</v>
      </c>
      <c r="M2505" s="9" t="s">
        <v>55</v>
      </c>
      <c r="N2505" s="9">
        <v>1712691.52</v>
      </c>
      <c r="O2505" s="9">
        <v>1696309.25</v>
      </c>
      <c r="R2505" s="9" t="s">
        <v>56</v>
      </c>
      <c r="S2505" s="9" t="s">
        <v>57</v>
      </c>
      <c r="T2505" s="9" t="s">
        <v>58</v>
      </c>
      <c r="V2505" s="9">
        <v>1695880.19</v>
      </c>
      <c r="W2505" s="9">
        <v>10000.0</v>
      </c>
      <c r="X2505" s="9">
        <v>1683730.19</v>
      </c>
    </row>
    <row r="2506" ht="15.75" customHeight="1">
      <c r="A2506" s="9">
        <v>2251972.0</v>
      </c>
      <c r="B2506" s="9">
        <v>8831284.0</v>
      </c>
      <c r="C2506" s="9">
        <v>45623.0</v>
      </c>
      <c r="D2506" s="9" t="s">
        <v>52</v>
      </c>
      <c r="E2506" s="9" t="s">
        <v>53</v>
      </c>
      <c r="F2506" s="9">
        <v>224323.0</v>
      </c>
      <c r="G2506" s="9">
        <v>9065664.3</v>
      </c>
      <c r="H2506" s="9">
        <v>1.8851038E7</v>
      </c>
      <c r="I2506" s="9">
        <v>1.3863249E7</v>
      </c>
      <c r="J2506" s="9">
        <v>1936237.0</v>
      </c>
      <c r="K2506" s="9">
        <v>2630693.0</v>
      </c>
      <c r="L2506" s="9" t="s">
        <v>59</v>
      </c>
      <c r="M2506" s="9" t="s">
        <v>62</v>
      </c>
      <c r="R2506" s="9" t="s">
        <v>94</v>
      </c>
      <c r="S2506" s="9" t="s">
        <v>57</v>
      </c>
      <c r="T2506" s="9" t="s">
        <v>95</v>
      </c>
    </row>
    <row r="2507" ht="15.75" customHeight="1">
      <c r="A2507" s="9">
        <v>2265251.0</v>
      </c>
      <c r="B2507" s="9">
        <v>2956160.0</v>
      </c>
      <c r="C2507" s="9">
        <v>33188.0</v>
      </c>
      <c r="D2507" s="9" t="s">
        <v>52</v>
      </c>
      <c r="E2507" s="9" t="s">
        <v>53</v>
      </c>
      <c r="F2507" s="9">
        <v>317491.0</v>
      </c>
      <c r="G2507" s="9">
        <v>2430581.54</v>
      </c>
      <c r="H2507" s="9">
        <v>2430581.54</v>
      </c>
      <c r="I2507" s="9">
        <v>2358128.46</v>
      </c>
      <c r="J2507" s="9">
        <v>0.0</v>
      </c>
      <c r="K2507" s="9">
        <v>0.0</v>
      </c>
      <c r="L2507" s="9" t="s">
        <v>59</v>
      </c>
      <c r="M2507" s="9" t="s">
        <v>55</v>
      </c>
      <c r="N2507" s="9">
        <v>2295728.46</v>
      </c>
      <c r="O2507" s="9">
        <v>2295728.46</v>
      </c>
      <c r="R2507" s="9" t="s">
        <v>56</v>
      </c>
      <c r="S2507" s="9" t="s">
        <v>57</v>
      </c>
      <c r="T2507" s="9" t="s">
        <v>58</v>
      </c>
      <c r="V2507" s="9">
        <v>2295728.46</v>
      </c>
      <c r="W2507" s="9">
        <v>0.0</v>
      </c>
      <c r="X2507" s="9">
        <v>0.0</v>
      </c>
    </row>
    <row r="2508" ht="15.75" customHeight="1">
      <c r="A2508" s="9">
        <v>2268952.0</v>
      </c>
      <c r="B2508" s="9">
        <v>2319763.0</v>
      </c>
      <c r="C2508" s="9">
        <v>33189.0</v>
      </c>
      <c r="D2508" s="9" t="s">
        <v>52</v>
      </c>
      <c r="E2508" s="9" t="s">
        <v>53</v>
      </c>
      <c r="F2508" s="9">
        <v>318925.0</v>
      </c>
      <c r="G2508" s="9">
        <v>2438937.37</v>
      </c>
      <c r="H2508" s="9">
        <v>2438937.37</v>
      </c>
      <c r="I2508" s="9">
        <v>2419998.0</v>
      </c>
      <c r="J2508" s="9">
        <v>0.0</v>
      </c>
      <c r="K2508" s="9">
        <v>0.0</v>
      </c>
      <c r="L2508" s="9" t="s">
        <v>54</v>
      </c>
      <c r="M2508" s="9" t="s">
        <v>55</v>
      </c>
      <c r="N2508" s="9">
        <v>2350425.0</v>
      </c>
      <c r="O2508" s="9">
        <v>2272075.09</v>
      </c>
      <c r="P2508" s="9">
        <v>70000.0</v>
      </c>
      <c r="Q2508" s="9">
        <v>0.0</v>
      </c>
      <c r="R2508" s="9" t="s">
        <v>72</v>
      </c>
      <c r="S2508" s="9" t="s">
        <v>57</v>
      </c>
      <c r="T2508" s="9" t="s">
        <v>73</v>
      </c>
      <c r="V2508" s="9">
        <v>2289257.35</v>
      </c>
      <c r="W2508" s="9">
        <v>0.0</v>
      </c>
      <c r="X2508" s="9">
        <v>0.0</v>
      </c>
    </row>
    <row r="2509" ht="15.75" customHeight="1">
      <c r="A2509" s="9">
        <v>2273475.0</v>
      </c>
      <c r="B2509" s="9">
        <v>1924045.0</v>
      </c>
      <c r="C2509" s="9">
        <v>41941.0</v>
      </c>
      <c r="D2509" s="9" t="s">
        <v>52</v>
      </c>
      <c r="E2509" s="9" t="s">
        <v>53</v>
      </c>
      <c r="F2509" s="9">
        <v>320468.0</v>
      </c>
      <c r="G2509" s="9">
        <v>2321378.94</v>
      </c>
      <c r="H2509" s="9">
        <v>2550525.92</v>
      </c>
      <c r="I2509" s="9">
        <v>2140772.48</v>
      </c>
      <c r="J2509" s="9">
        <v>0.0</v>
      </c>
      <c r="K2509" s="9">
        <v>0.0</v>
      </c>
      <c r="L2509" s="9" t="s">
        <v>59</v>
      </c>
      <c r="M2509" s="9" t="s">
        <v>55</v>
      </c>
      <c r="N2509" s="9">
        <v>2150226.68</v>
      </c>
      <c r="O2509" s="9">
        <v>1935204.02</v>
      </c>
      <c r="P2509" s="9">
        <v>1075511.33</v>
      </c>
      <c r="Q2509" s="9">
        <v>107511.33</v>
      </c>
      <c r="R2509" s="9" t="s">
        <v>56</v>
      </c>
      <c r="S2509" s="9" t="s">
        <v>57</v>
      </c>
      <c r="T2509" s="9" t="s">
        <v>58</v>
      </c>
      <c r="V2509" s="9">
        <v>1908525.23</v>
      </c>
      <c r="W2509" s="9">
        <v>182048.96</v>
      </c>
      <c r="X2509" s="9">
        <v>0.0</v>
      </c>
    </row>
    <row r="2510" ht="15.75" customHeight="1">
      <c r="A2510" s="9">
        <v>2274511.0</v>
      </c>
      <c r="B2510" s="9">
        <v>1.9366446E7</v>
      </c>
      <c r="C2510" s="9">
        <v>37693.0</v>
      </c>
      <c r="D2510" s="9" t="s">
        <v>52</v>
      </c>
      <c r="E2510" s="9" t="s">
        <v>53</v>
      </c>
      <c r="F2510" s="9">
        <v>318550.0</v>
      </c>
      <c r="G2510" s="9">
        <v>2.024623672E7</v>
      </c>
      <c r="H2510" s="9">
        <v>2.024623672E7</v>
      </c>
      <c r="I2510" s="9">
        <v>1.967092301E7</v>
      </c>
      <c r="J2510" s="9">
        <v>0.0</v>
      </c>
      <c r="K2510" s="9">
        <v>0.0</v>
      </c>
      <c r="L2510" s="9" t="s">
        <v>69</v>
      </c>
      <c r="M2510" s="9" t="s">
        <v>55</v>
      </c>
      <c r="N2510" s="9">
        <v>1.877215681E7</v>
      </c>
      <c r="O2510" s="9">
        <v>1.877215681E7</v>
      </c>
      <c r="P2510" s="9">
        <v>399915.0</v>
      </c>
      <c r="Q2510" s="9">
        <v>399916.16</v>
      </c>
      <c r="R2510" s="9" t="s">
        <v>72</v>
      </c>
      <c r="S2510" s="9" t="s">
        <v>57</v>
      </c>
      <c r="T2510" s="9" t="s">
        <v>73</v>
      </c>
      <c r="V2510" s="9">
        <v>1.877215681E7</v>
      </c>
      <c r="W2510" s="9">
        <v>873828.8</v>
      </c>
      <c r="X2510" s="9">
        <v>0.0</v>
      </c>
    </row>
    <row r="2511" ht="15.75" customHeight="1">
      <c r="A2511" s="9">
        <v>2283110.0</v>
      </c>
      <c r="B2511" s="9">
        <v>9492519.0</v>
      </c>
      <c r="C2511" s="9">
        <v>37741.0</v>
      </c>
      <c r="D2511" s="9" t="s">
        <v>52</v>
      </c>
      <c r="E2511" s="9" t="s">
        <v>103</v>
      </c>
      <c r="F2511" s="9">
        <v>324616.0</v>
      </c>
      <c r="G2511" s="9">
        <v>4062965.0</v>
      </c>
      <c r="H2511" s="9">
        <v>1.298174374E7</v>
      </c>
      <c r="I2511" s="9">
        <v>3081640.84</v>
      </c>
      <c r="J2511" s="9">
        <v>1372097.67</v>
      </c>
      <c r="K2511" s="9">
        <v>7836393.0</v>
      </c>
      <c r="L2511" s="9" t="s">
        <v>59</v>
      </c>
      <c r="M2511" s="9" t="s">
        <v>55</v>
      </c>
      <c r="R2511" s="9" t="s">
        <v>155</v>
      </c>
      <c r="S2511" s="9" t="s">
        <v>82</v>
      </c>
      <c r="T2511" s="9" t="s">
        <v>83</v>
      </c>
      <c r="U2511" s="9" t="s">
        <v>156</v>
      </c>
    </row>
    <row r="2512" ht="15.75" customHeight="1">
      <c r="A2512" s="9">
        <v>2284271.0</v>
      </c>
      <c r="B2512" s="9">
        <v>1.9075479E7</v>
      </c>
      <c r="C2512" s="9">
        <v>37747.0</v>
      </c>
      <c r="D2512" s="9" t="s">
        <v>52</v>
      </c>
      <c r="E2512" s="9" t="s">
        <v>53</v>
      </c>
      <c r="F2512" s="9">
        <v>326042.0</v>
      </c>
      <c r="G2512" s="9">
        <v>1.988178864E7</v>
      </c>
      <c r="H2512" s="9">
        <v>1.988178864E7</v>
      </c>
      <c r="I2512" s="9">
        <v>1.791495967E7</v>
      </c>
      <c r="J2512" s="9">
        <v>0.0</v>
      </c>
      <c r="K2512" s="9">
        <v>0.0</v>
      </c>
      <c r="L2512" s="9" t="s">
        <v>69</v>
      </c>
      <c r="M2512" s="9" t="s">
        <v>55</v>
      </c>
      <c r="N2512" s="9">
        <v>1.722039822E7</v>
      </c>
      <c r="O2512" s="9">
        <v>1.598E7</v>
      </c>
      <c r="P2512" s="9">
        <v>798906.28</v>
      </c>
      <c r="Q2512" s="9">
        <v>744000.0</v>
      </c>
      <c r="R2512" s="9" t="s">
        <v>56</v>
      </c>
      <c r="S2512" s="9" t="s">
        <v>57</v>
      </c>
      <c r="T2512" s="9" t="s">
        <v>58</v>
      </c>
      <c r="V2512" s="9">
        <v>1.777906724E7</v>
      </c>
      <c r="W2512" s="9">
        <v>0.0</v>
      </c>
      <c r="X2512" s="9">
        <v>0.0</v>
      </c>
    </row>
    <row r="2513" ht="15.75" customHeight="1">
      <c r="A2513" s="9">
        <v>2284371.0</v>
      </c>
      <c r="B2513" s="9">
        <v>1.9134246E7</v>
      </c>
      <c r="C2513" s="9">
        <v>46856.0</v>
      </c>
      <c r="D2513" s="9" t="s">
        <v>52</v>
      </c>
      <c r="E2513" s="9" t="s">
        <v>53</v>
      </c>
      <c r="F2513" s="9">
        <v>326091.0</v>
      </c>
      <c r="G2513" s="9">
        <v>2.433341216E7</v>
      </c>
      <c r="H2513" s="9">
        <v>2.56073289E7</v>
      </c>
      <c r="I2513" s="9">
        <v>1.480702345E7</v>
      </c>
      <c r="J2513" s="9">
        <v>48000.0</v>
      </c>
      <c r="K2513" s="9">
        <v>184240.0</v>
      </c>
      <c r="L2513" s="9" t="s">
        <v>59</v>
      </c>
      <c r="M2513" s="9" t="s">
        <v>55</v>
      </c>
      <c r="N2513" s="9">
        <v>2.350606806E7</v>
      </c>
      <c r="O2513" s="9">
        <v>2.350606806E7</v>
      </c>
      <c r="P2513" s="9">
        <v>0.0</v>
      </c>
      <c r="Q2513" s="9">
        <v>373344.1</v>
      </c>
      <c r="R2513" s="9" t="s">
        <v>63</v>
      </c>
      <c r="S2513" s="9" t="s">
        <v>63</v>
      </c>
    </row>
    <row r="2514" ht="15.75" customHeight="1">
      <c r="A2514" s="9">
        <v>2286250.0</v>
      </c>
      <c r="B2514" s="9">
        <v>3.723139079E7</v>
      </c>
      <c r="C2514" s="9">
        <v>45530.0</v>
      </c>
      <c r="D2514" s="9" t="s">
        <v>52</v>
      </c>
      <c r="E2514" s="9" t="s">
        <v>87</v>
      </c>
      <c r="F2514" s="9">
        <v>2286250.0</v>
      </c>
      <c r="H2514" s="9">
        <v>3.918382026E7</v>
      </c>
      <c r="I2514" s="9">
        <v>0.0</v>
      </c>
      <c r="J2514" s="9">
        <v>0.0</v>
      </c>
      <c r="K2514" s="9">
        <v>0.0</v>
      </c>
      <c r="L2514" s="9" t="s">
        <v>59</v>
      </c>
      <c r="M2514" s="9" t="s">
        <v>65</v>
      </c>
      <c r="N2514" s="9">
        <v>3.603234066E7</v>
      </c>
      <c r="O2514" s="9">
        <v>3.603234066E7</v>
      </c>
      <c r="P2514" s="9">
        <v>3303493.81</v>
      </c>
      <c r="Q2514" s="9">
        <v>2973144.43</v>
      </c>
      <c r="R2514" s="9" t="s">
        <v>66</v>
      </c>
      <c r="S2514" s="9" t="s">
        <v>67</v>
      </c>
      <c r="T2514" s="9" t="s">
        <v>68</v>
      </c>
    </row>
    <row r="2515" ht="15.75" customHeight="1">
      <c r="A2515" s="9">
        <v>2290748.0</v>
      </c>
      <c r="B2515" s="9">
        <v>3258587.0</v>
      </c>
      <c r="C2515" s="9">
        <v>39358.0</v>
      </c>
      <c r="D2515" s="9" t="s">
        <v>52</v>
      </c>
      <c r="E2515" s="9" t="s">
        <v>53</v>
      </c>
      <c r="F2515" s="9">
        <v>332272.0</v>
      </c>
      <c r="G2515" s="9">
        <v>2394070.72</v>
      </c>
      <c r="H2515" s="9">
        <v>2394070.72</v>
      </c>
      <c r="I2515" s="9">
        <v>2274051.72</v>
      </c>
      <c r="J2515" s="9">
        <v>0.0</v>
      </c>
      <c r="K2515" s="9">
        <v>0.0</v>
      </c>
      <c r="L2515" s="9" t="s">
        <v>69</v>
      </c>
      <c r="M2515" s="9" t="s">
        <v>55</v>
      </c>
      <c r="N2515" s="9">
        <v>2242892.03</v>
      </c>
      <c r="O2515" s="9">
        <v>2242892.03</v>
      </c>
      <c r="R2515" s="9" t="s">
        <v>60</v>
      </c>
      <c r="S2515" s="9" t="s">
        <v>57</v>
      </c>
      <c r="T2515" s="9" t="s">
        <v>61</v>
      </c>
      <c r="V2515" s="9">
        <v>2242892.03</v>
      </c>
      <c r="W2515" s="9">
        <v>0.0</v>
      </c>
      <c r="X2515" s="9">
        <v>0.0</v>
      </c>
    </row>
    <row r="2516" ht="15.75" customHeight="1">
      <c r="A2516" s="9">
        <v>2292977.0</v>
      </c>
      <c r="B2516" s="9">
        <v>1.1020134E7</v>
      </c>
      <c r="C2516" s="9">
        <v>39341.0</v>
      </c>
      <c r="D2516" s="9" t="s">
        <v>52</v>
      </c>
      <c r="E2516" s="9" t="s">
        <v>53</v>
      </c>
      <c r="F2516" s="9">
        <v>334275.0</v>
      </c>
      <c r="G2516" s="9">
        <v>1.0550202E7</v>
      </c>
      <c r="H2516" s="9">
        <v>1.0550202E7</v>
      </c>
      <c r="I2516" s="9">
        <v>1.077738417E7</v>
      </c>
      <c r="J2516" s="9">
        <v>0.0</v>
      </c>
      <c r="K2516" s="9">
        <v>0.0</v>
      </c>
      <c r="L2516" s="9" t="s">
        <v>59</v>
      </c>
      <c r="M2516" s="9" t="s">
        <v>55</v>
      </c>
      <c r="N2516" s="9">
        <v>1.008128364E7</v>
      </c>
      <c r="O2516" s="9">
        <v>1.008128364E7</v>
      </c>
      <c r="P2516" s="9">
        <v>371454.81</v>
      </c>
      <c r="Q2516" s="9">
        <v>371454.81</v>
      </c>
      <c r="R2516" s="9" t="s">
        <v>60</v>
      </c>
      <c r="S2516" s="9" t="s">
        <v>57</v>
      </c>
      <c r="T2516" s="9" t="s">
        <v>61</v>
      </c>
      <c r="V2516" s="9">
        <v>1.01787472E7</v>
      </c>
      <c r="W2516" s="9">
        <v>371454.81</v>
      </c>
      <c r="X2516" s="9">
        <v>0.0</v>
      </c>
    </row>
    <row r="2517" ht="15.75" customHeight="1">
      <c r="A2517" s="9">
        <v>2309532.0</v>
      </c>
      <c r="B2517" s="9">
        <v>2.8657221E7</v>
      </c>
      <c r="C2517" s="9">
        <v>37631.0</v>
      </c>
      <c r="D2517" s="9" t="s">
        <v>52</v>
      </c>
      <c r="E2517" s="9" t="s">
        <v>53</v>
      </c>
      <c r="F2517" s="9">
        <v>287485.0</v>
      </c>
      <c r="G2517" s="9">
        <v>5.102661125E7</v>
      </c>
      <c r="H2517" s="9">
        <v>9.641063319E7</v>
      </c>
      <c r="I2517" s="9">
        <v>2359718.8</v>
      </c>
      <c r="J2517" s="9">
        <v>0.0</v>
      </c>
      <c r="K2517" s="9">
        <v>0.0</v>
      </c>
      <c r="L2517" s="9" t="s">
        <v>69</v>
      </c>
      <c r="M2517" s="9" t="s">
        <v>65</v>
      </c>
      <c r="N2517" s="9">
        <v>1704707.0</v>
      </c>
      <c r="O2517" s="9">
        <v>1589133.0</v>
      </c>
      <c r="P2517" s="9">
        <v>354542.8</v>
      </c>
      <c r="Q2517" s="9">
        <v>300000.0</v>
      </c>
      <c r="R2517" s="9" t="s">
        <v>72</v>
      </c>
      <c r="S2517" s="9" t="s">
        <v>57</v>
      </c>
      <c r="T2517" s="9" t="s">
        <v>73</v>
      </c>
      <c r="V2517" s="9">
        <v>1622504.8</v>
      </c>
      <c r="W2517" s="9">
        <v>305580.0</v>
      </c>
    </row>
    <row r="2518" ht="15.75" customHeight="1">
      <c r="A2518" s="9">
        <v>2310668.0</v>
      </c>
      <c r="B2518" s="9">
        <v>3507743.0</v>
      </c>
      <c r="C2518" s="9">
        <v>40317.0</v>
      </c>
      <c r="D2518" s="9" t="s">
        <v>52</v>
      </c>
      <c r="E2518" s="9" t="s">
        <v>53</v>
      </c>
      <c r="F2518" s="9">
        <v>348158.0</v>
      </c>
      <c r="G2518" s="9">
        <v>2964589.97</v>
      </c>
      <c r="H2518" s="9">
        <v>2964589.97</v>
      </c>
      <c r="I2518" s="9">
        <v>2758284.8</v>
      </c>
      <c r="J2518" s="9">
        <v>0.0</v>
      </c>
      <c r="K2518" s="9">
        <v>0.0</v>
      </c>
      <c r="L2518" s="9" t="s">
        <v>69</v>
      </c>
      <c r="M2518" s="9" t="s">
        <v>55</v>
      </c>
      <c r="N2518" s="9">
        <v>2636972.36</v>
      </c>
      <c r="O2518" s="9">
        <v>2458194.0</v>
      </c>
      <c r="P2518" s="9">
        <v>143148.59</v>
      </c>
      <c r="Q2518" s="9">
        <v>121312.8</v>
      </c>
      <c r="R2518" s="9" t="s">
        <v>56</v>
      </c>
      <c r="S2518" s="9" t="s">
        <v>57</v>
      </c>
      <c r="T2518" s="9" t="s">
        <v>58</v>
      </c>
      <c r="V2518" s="9">
        <v>2606972.0</v>
      </c>
      <c r="W2518" s="9">
        <v>121312.8</v>
      </c>
      <c r="X2518" s="9">
        <v>0.0</v>
      </c>
    </row>
    <row r="2519" ht="15.75" customHeight="1">
      <c r="A2519" s="9">
        <v>2312047.0</v>
      </c>
      <c r="B2519" s="9">
        <v>3278757.0</v>
      </c>
      <c r="C2519" s="9">
        <v>39343.0</v>
      </c>
      <c r="D2519" s="9" t="s">
        <v>52</v>
      </c>
      <c r="E2519" s="9" t="s">
        <v>53</v>
      </c>
      <c r="F2519" s="9">
        <v>349219.0</v>
      </c>
      <c r="G2519" s="9">
        <v>1925246.45</v>
      </c>
      <c r="H2519" s="9">
        <v>1872767.24</v>
      </c>
      <c r="I2519" s="9">
        <v>1862767.22</v>
      </c>
      <c r="J2519" s="9">
        <v>0.0</v>
      </c>
      <c r="K2519" s="9">
        <v>0.0</v>
      </c>
      <c r="L2519" s="9" t="s">
        <v>69</v>
      </c>
      <c r="M2519" s="9" t="s">
        <v>55</v>
      </c>
      <c r="N2519" s="9">
        <v>1751751.95</v>
      </c>
      <c r="O2519" s="9">
        <v>1484500.36</v>
      </c>
      <c r="P2519" s="9">
        <v>138585.59</v>
      </c>
      <c r="Q2519" s="9">
        <v>117445.42</v>
      </c>
      <c r="R2519" s="9" t="s">
        <v>60</v>
      </c>
      <c r="S2519" s="9" t="s">
        <v>57</v>
      </c>
      <c r="T2519" s="9" t="s">
        <v>61</v>
      </c>
      <c r="V2519" s="9">
        <v>1684809.82</v>
      </c>
      <c r="W2519" s="9">
        <v>117445.42</v>
      </c>
      <c r="X2519" s="9">
        <v>0.0</v>
      </c>
    </row>
    <row r="2520" ht="15.75" customHeight="1">
      <c r="A2520" s="9">
        <v>2317527.0</v>
      </c>
      <c r="B2520" s="9">
        <v>1.1845253E7</v>
      </c>
      <c r="C2520" s="9">
        <v>47197.0</v>
      </c>
      <c r="D2520" s="9" t="s">
        <v>52</v>
      </c>
      <c r="E2520" s="9" t="s">
        <v>53</v>
      </c>
      <c r="F2520" s="9">
        <v>354678.0</v>
      </c>
      <c r="G2520" s="9">
        <v>1.136823094E7</v>
      </c>
      <c r="H2520" s="9">
        <v>1.125025719E7</v>
      </c>
      <c r="I2520" s="9">
        <v>6542182.48</v>
      </c>
      <c r="J2520" s="9">
        <v>104566.02</v>
      </c>
      <c r="K2520" s="9">
        <v>3637573.0</v>
      </c>
      <c r="L2520" s="9" t="s">
        <v>59</v>
      </c>
      <c r="M2520" s="9" t="s">
        <v>55</v>
      </c>
      <c r="N2520" s="9">
        <v>1.066581488E7</v>
      </c>
      <c r="O2520" s="9">
        <v>1.066000001E7</v>
      </c>
      <c r="P2520" s="9">
        <v>527842.31</v>
      </c>
      <c r="Q2520" s="9">
        <v>519924.68</v>
      </c>
      <c r="R2520" s="9" t="s">
        <v>106</v>
      </c>
      <c r="S2520" s="9" t="s">
        <v>82</v>
      </c>
      <c r="T2520" s="9" t="s">
        <v>107</v>
      </c>
      <c r="U2520" s="9" t="s">
        <v>108</v>
      </c>
    </row>
    <row r="2521" ht="15.75" customHeight="1">
      <c r="A2521" s="9">
        <v>2317970.0</v>
      </c>
      <c r="B2521" s="9">
        <v>5584369.0</v>
      </c>
      <c r="C2521" s="9">
        <v>45570.0</v>
      </c>
      <c r="D2521" s="9" t="s">
        <v>52</v>
      </c>
      <c r="E2521" s="9" t="s">
        <v>53</v>
      </c>
      <c r="F2521" s="9">
        <v>355068.0</v>
      </c>
      <c r="G2521" s="9">
        <v>6767373.12</v>
      </c>
      <c r="H2521" s="9">
        <v>1.041471946E7</v>
      </c>
      <c r="I2521" s="9">
        <v>8767463.0</v>
      </c>
      <c r="J2521" s="9">
        <v>0.0</v>
      </c>
      <c r="K2521" s="9">
        <v>0.0</v>
      </c>
      <c r="L2521" s="9" t="s">
        <v>59</v>
      </c>
      <c r="M2521" s="9" t="s">
        <v>62</v>
      </c>
      <c r="R2521" s="9" t="s">
        <v>94</v>
      </c>
      <c r="S2521" s="9" t="s">
        <v>57</v>
      </c>
      <c r="T2521" s="9" t="s">
        <v>95</v>
      </c>
    </row>
    <row r="2522" ht="15.75" customHeight="1">
      <c r="A2522" s="9">
        <v>2334657.0</v>
      </c>
      <c r="B2522" s="9">
        <v>1.0258727E7</v>
      </c>
      <c r="C2522" s="9">
        <v>44255.0</v>
      </c>
      <c r="D2522" s="9" t="s">
        <v>52</v>
      </c>
      <c r="E2522" s="9" t="s">
        <v>53</v>
      </c>
      <c r="F2522" s="9">
        <v>373799.0</v>
      </c>
      <c r="G2522" s="9">
        <v>6699355.99</v>
      </c>
      <c r="H2522" s="9">
        <v>6463768.46</v>
      </c>
      <c r="I2522" s="9">
        <v>5650005.79</v>
      </c>
      <c r="J2522" s="9">
        <v>117200.0</v>
      </c>
      <c r="K2522" s="9">
        <v>159201.0</v>
      </c>
      <c r="L2522" s="9" t="s">
        <v>59</v>
      </c>
      <c r="M2522" s="9" t="s">
        <v>55</v>
      </c>
      <c r="N2522" s="9">
        <v>6208910.47</v>
      </c>
      <c r="O2522" s="9">
        <v>5900000.0</v>
      </c>
      <c r="P2522" s="9">
        <v>310445.52</v>
      </c>
      <c r="Q2522" s="9">
        <v>310445.52</v>
      </c>
      <c r="R2522" s="9" t="s">
        <v>77</v>
      </c>
      <c r="S2522" s="9" t="s">
        <v>78</v>
      </c>
      <c r="T2522" s="9" t="s">
        <v>79</v>
      </c>
      <c r="U2522" s="9" t="s">
        <v>80</v>
      </c>
    </row>
    <row r="2523" ht="15.75" customHeight="1">
      <c r="A2523" s="9">
        <v>2336311.0</v>
      </c>
      <c r="B2523" s="9">
        <v>3348949.0</v>
      </c>
      <c r="C2523" s="9">
        <v>40307.0</v>
      </c>
      <c r="D2523" s="9" t="s">
        <v>52</v>
      </c>
      <c r="E2523" s="9" t="s">
        <v>53</v>
      </c>
      <c r="F2523" s="9">
        <v>375357.0</v>
      </c>
      <c r="G2523" s="9">
        <v>3844554.8</v>
      </c>
      <c r="H2523" s="9">
        <v>3927462.31</v>
      </c>
      <c r="I2523" s="9">
        <v>3822430.63</v>
      </c>
      <c r="J2523" s="9">
        <v>0.0</v>
      </c>
      <c r="K2523" s="9">
        <v>37667.0</v>
      </c>
      <c r="L2523" s="9" t="s">
        <v>59</v>
      </c>
      <c r="M2523" s="9" t="s">
        <v>55</v>
      </c>
      <c r="N2523" s="9">
        <v>3858766.68</v>
      </c>
      <c r="O2523" s="9">
        <v>3593885.23</v>
      </c>
      <c r="P2523" s="9">
        <v>115763.0</v>
      </c>
      <c r="Q2523" s="9">
        <v>85350.69</v>
      </c>
      <c r="R2523" s="9" t="s">
        <v>56</v>
      </c>
      <c r="S2523" s="9" t="s">
        <v>57</v>
      </c>
      <c r="T2523" s="9" t="s">
        <v>58</v>
      </c>
      <c r="V2523" s="9">
        <v>0.0</v>
      </c>
      <c r="W2523" s="9">
        <v>0.0</v>
      </c>
      <c r="X2523" s="9">
        <v>0.0</v>
      </c>
    </row>
    <row r="2524" ht="15.75" customHeight="1">
      <c r="A2524" s="9">
        <v>2339612.0</v>
      </c>
      <c r="B2524" s="9">
        <v>3.0723145E7</v>
      </c>
      <c r="C2524" s="9">
        <v>37964.0</v>
      </c>
      <c r="D2524" s="9" t="s">
        <v>52</v>
      </c>
      <c r="E2524" s="9" t="s">
        <v>157</v>
      </c>
      <c r="F2524" s="9">
        <v>224157.0</v>
      </c>
      <c r="G2524" s="9">
        <v>3.0723145E7</v>
      </c>
      <c r="H2524" s="9">
        <v>3.0723145E7</v>
      </c>
      <c r="I2524" s="9">
        <v>0.0</v>
      </c>
      <c r="J2524" s="9">
        <v>0.0</v>
      </c>
      <c r="K2524" s="9">
        <v>0.0</v>
      </c>
      <c r="L2524" s="9" t="s">
        <v>54</v>
      </c>
      <c r="M2524" s="9" t="s">
        <v>116</v>
      </c>
      <c r="R2524" s="9" t="s">
        <v>60</v>
      </c>
      <c r="S2524" s="9" t="s">
        <v>57</v>
      </c>
      <c r="T2524" s="9" t="s">
        <v>61</v>
      </c>
    </row>
    <row r="2525" ht="15.75" customHeight="1">
      <c r="A2525" s="9">
        <v>2340591.0</v>
      </c>
      <c r="B2525" s="9">
        <v>1.192217E7</v>
      </c>
      <c r="C2525" s="9">
        <v>40609.0</v>
      </c>
      <c r="D2525" s="9" t="s">
        <v>52</v>
      </c>
      <c r="E2525" s="9" t="s">
        <v>53</v>
      </c>
      <c r="F2525" s="9">
        <v>379384.0</v>
      </c>
      <c r="G2525" s="9">
        <v>1.097296229E7</v>
      </c>
      <c r="H2525" s="9">
        <v>1.17298229E7</v>
      </c>
      <c r="I2525" s="9">
        <v>1.169640133E7</v>
      </c>
      <c r="J2525" s="9">
        <v>0.0</v>
      </c>
      <c r="K2525" s="9">
        <v>0.0</v>
      </c>
      <c r="L2525" s="9" t="s">
        <v>69</v>
      </c>
      <c r="M2525" s="9" t="s">
        <v>55</v>
      </c>
      <c r="N2525" s="9">
        <v>1.0379735E7</v>
      </c>
      <c r="O2525" s="9">
        <v>1.037070907E7</v>
      </c>
      <c r="P2525" s="9">
        <v>498227.29</v>
      </c>
      <c r="Q2525" s="9">
        <v>498000.0</v>
      </c>
      <c r="R2525" s="9" t="s">
        <v>60</v>
      </c>
      <c r="S2525" s="9" t="s">
        <v>57</v>
      </c>
      <c r="T2525" s="9" t="s">
        <v>61</v>
      </c>
      <c r="V2525" s="9">
        <v>1.135461728E7</v>
      </c>
      <c r="W2525" s="9">
        <v>498000.0</v>
      </c>
      <c r="X2525" s="9">
        <v>0.0</v>
      </c>
    </row>
    <row r="2526" ht="15.75" customHeight="1">
      <c r="A2526" s="9">
        <v>2378970.0</v>
      </c>
      <c r="B2526" s="9">
        <v>4264507.0</v>
      </c>
      <c r="C2526" s="9">
        <v>48307.0</v>
      </c>
      <c r="D2526" s="9" t="s">
        <v>52</v>
      </c>
      <c r="E2526" s="9" t="s">
        <v>53</v>
      </c>
      <c r="F2526" s="9">
        <v>387354.0</v>
      </c>
      <c r="G2526" s="9">
        <v>4539999.67</v>
      </c>
      <c r="H2526" s="9">
        <v>4488642.42</v>
      </c>
      <c r="I2526" s="9">
        <v>683173.53</v>
      </c>
      <c r="J2526" s="9">
        <v>392973.53</v>
      </c>
      <c r="K2526" s="9">
        <v>1470857.0</v>
      </c>
      <c r="L2526" s="9" t="s">
        <v>59</v>
      </c>
      <c r="M2526" s="9" t="s">
        <v>55</v>
      </c>
      <c r="N2526" s="9">
        <v>3929973.1</v>
      </c>
      <c r="O2526" s="9">
        <v>3929973.1</v>
      </c>
      <c r="R2526" s="9" t="s">
        <v>141</v>
      </c>
      <c r="S2526" s="9" t="s">
        <v>101</v>
      </c>
      <c r="T2526" s="9" t="s">
        <v>142</v>
      </c>
    </row>
    <row r="2527" ht="15.75" customHeight="1">
      <c r="A2527" s="9">
        <v>2401048.0</v>
      </c>
      <c r="B2527" s="9">
        <v>1.2722114E7</v>
      </c>
      <c r="C2527" s="9">
        <v>31451.0</v>
      </c>
      <c r="D2527" s="9" t="s">
        <v>52</v>
      </c>
      <c r="E2527" s="9" t="s">
        <v>53</v>
      </c>
      <c r="F2527" s="9">
        <v>301867.0</v>
      </c>
      <c r="G2527" s="9">
        <v>0.0</v>
      </c>
      <c r="M2527" s="9" t="s">
        <v>116</v>
      </c>
      <c r="N2527" s="9">
        <v>125000.0</v>
      </c>
      <c r="O2527" s="9">
        <v>115000.0</v>
      </c>
      <c r="R2527" s="9" t="s">
        <v>60</v>
      </c>
      <c r="S2527" s="9" t="s">
        <v>57</v>
      </c>
      <c r="T2527" s="9" t="s">
        <v>61</v>
      </c>
      <c r="V2527" s="9">
        <v>115000.0</v>
      </c>
    </row>
    <row r="2528" ht="15.75" customHeight="1">
      <c r="A2528" s="9">
        <v>2410090.0</v>
      </c>
      <c r="B2528" s="9">
        <v>321868.59</v>
      </c>
      <c r="C2528" s="9">
        <v>46776.0</v>
      </c>
      <c r="D2528" s="9" t="s">
        <v>52</v>
      </c>
      <c r="E2528" s="9" t="s">
        <v>111</v>
      </c>
      <c r="F2528" s="9">
        <v>2410090.0</v>
      </c>
      <c r="H2528" s="9">
        <v>366415.81</v>
      </c>
      <c r="I2528" s="9">
        <v>293944.05</v>
      </c>
      <c r="J2528" s="9">
        <v>64159.25</v>
      </c>
      <c r="K2528" s="9">
        <v>75651.0</v>
      </c>
      <c r="L2528" s="9" t="s">
        <v>59</v>
      </c>
      <c r="M2528" s="9" t="s">
        <v>55</v>
      </c>
      <c r="N2528" s="9">
        <v>4059968.02</v>
      </c>
      <c r="O2528" s="9">
        <v>3653971.24</v>
      </c>
      <c r="R2528" s="9" t="s">
        <v>115</v>
      </c>
      <c r="S2528" s="9" t="s">
        <v>115</v>
      </c>
    </row>
    <row r="2529" ht="15.75" customHeight="1">
      <c r="A2529" s="9">
        <v>2410515.0</v>
      </c>
      <c r="B2529" s="9">
        <v>1635701.0</v>
      </c>
      <c r="C2529" s="9">
        <v>40336.0</v>
      </c>
      <c r="D2529" s="9" t="s">
        <v>52</v>
      </c>
      <c r="E2529" s="9" t="s">
        <v>111</v>
      </c>
      <c r="F2529" s="9">
        <v>2410515.0</v>
      </c>
      <c r="G2529" s="9">
        <v>1635701.0</v>
      </c>
      <c r="H2529" s="9">
        <v>1635701.0</v>
      </c>
      <c r="I2529" s="9">
        <v>10000.0</v>
      </c>
      <c r="J2529" s="9">
        <v>0.0</v>
      </c>
      <c r="K2529" s="9">
        <v>0.0</v>
      </c>
      <c r="L2529" s="9" t="s">
        <v>59</v>
      </c>
      <c r="M2529" s="9" t="s">
        <v>65</v>
      </c>
      <c r="N2529" s="9">
        <v>1365001.91</v>
      </c>
      <c r="O2529" s="9">
        <v>1296751.82</v>
      </c>
      <c r="R2529" s="9" t="s">
        <v>63</v>
      </c>
      <c r="S2529" s="9" t="s">
        <v>63</v>
      </c>
    </row>
    <row r="2530" ht="15.75" customHeight="1">
      <c r="A2530" s="9">
        <v>2410994.0</v>
      </c>
      <c r="B2530" s="9">
        <v>1445849.39</v>
      </c>
      <c r="C2530" s="9">
        <v>40341.0</v>
      </c>
      <c r="D2530" s="9" t="s">
        <v>52</v>
      </c>
      <c r="E2530" s="9" t="s">
        <v>111</v>
      </c>
      <c r="F2530" s="9">
        <v>2410994.0</v>
      </c>
      <c r="G2530" s="9">
        <v>1445849.39</v>
      </c>
      <c r="H2530" s="9">
        <v>4185597.5</v>
      </c>
      <c r="I2530" s="9">
        <v>4165075.76</v>
      </c>
      <c r="J2530" s="9">
        <v>0.0</v>
      </c>
      <c r="K2530" s="9">
        <v>20519.0</v>
      </c>
      <c r="L2530" s="9" t="s">
        <v>59</v>
      </c>
      <c r="M2530" s="9" t="s">
        <v>65</v>
      </c>
      <c r="N2530" s="9">
        <v>131000.0</v>
      </c>
      <c r="O2530" s="9">
        <v>131000.0</v>
      </c>
      <c r="R2530" s="9" t="s">
        <v>127</v>
      </c>
      <c r="S2530" s="9" t="s">
        <v>57</v>
      </c>
      <c r="T2530" s="9" t="s">
        <v>128</v>
      </c>
    </row>
    <row r="2531" ht="15.75" customHeight="1">
      <c r="A2531" s="9">
        <v>2426720.0</v>
      </c>
      <c r="B2531" s="9">
        <v>1155573.6</v>
      </c>
      <c r="C2531" s="9">
        <v>44025.0</v>
      </c>
      <c r="D2531" s="9" t="s">
        <v>52</v>
      </c>
      <c r="E2531" s="9" t="s">
        <v>53</v>
      </c>
      <c r="F2531" s="9">
        <v>2426720.0</v>
      </c>
      <c r="G2531" s="9">
        <v>1155573.6</v>
      </c>
      <c r="H2531" s="9">
        <v>1112961.76</v>
      </c>
      <c r="I2531" s="9">
        <v>1073812.06</v>
      </c>
      <c r="J2531" s="9">
        <v>0.0</v>
      </c>
      <c r="K2531" s="9">
        <v>0.0</v>
      </c>
      <c r="L2531" s="9" t="s">
        <v>59</v>
      </c>
      <c r="M2531" s="9" t="s">
        <v>55</v>
      </c>
      <c r="N2531" s="9">
        <v>1132523.94</v>
      </c>
      <c r="O2531" s="9">
        <v>1019271.55</v>
      </c>
      <c r="P2531" s="9">
        <v>63421.34</v>
      </c>
      <c r="Q2531" s="9">
        <v>57079.21</v>
      </c>
      <c r="R2531" s="9" t="s">
        <v>72</v>
      </c>
      <c r="S2531" s="9" t="s">
        <v>57</v>
      </c>
      <c r="T2531" s="9" t="s">
        <v>73</v>
      </c>
      <c r="V2531" s="9">
        <v>999172.39</v>
      </c>
      <c r="W2531" s="9">
        <v>38898.52</v>
      </c>
      <c r="X2531" s="9">
        <v>0.0</v>
      </c>
    </row>
    <row r="2532" ht="15.75" customHeight="1">
      <c r="A2532" s="9">
        <v>2428088.0</v>
      </c>
      <c r="B2532" s="9">
        <v>1.8906255036E8</v>
      </c>
      <c r="C2532" s="9">
        <v>44269.0</v>
      </c>
      <c r="D2532" s="9" t="s">
        <v>52</v>
      </c>
      <c r="E2532" s="9" t="s">
        <v>103</v>
      </c>
      <c r="F2532" s="9">
        <v>2428088.0</v>
      </c>
      <c r="H2532" s="9">
        <v>2.0362877619E8</v>
      </c>
      <c r="I2532" s="9">
        <v>66175.8</v>
      </c>
      <c r="J2532" s="9">
        <v>65290.0</v>
      </c>
      <c r="K2532" s="9">
        <v>277874.0</v>
      </c>
      <c r="L2532" s="9" t="s">
        <v>59</v>
      </c>
      <c r="M2532" s="9" t="s">
        <v>65</v>
      </c>
      <c r="R2532" s="9" t="s">
        <v>100</v>
      </c>
      <c r="S2532" s="9" t="s">
        <v>101</v>
      </c>
      <c r="T2532" s="9" t="s">
        <v>102</v>
      </c>
    </row>
    <row r="2533" ht="15.75" customHeight="1">
      <c r="A2533" s="9">
        <v>2436055.0</v>
      </c>
      <c r="B2533" s="9">
        <v>83618.19</v>
      </c>
      <c r="C2533" s="9">
        <v>43290.0</v>
      </c>
      <c r="D2533" s="9" t="s">
        <v>52</v>
      </c>
      <c r="E2533" s="9" t="s">
        <v>111</v>
      </c>
      <c r="F2533" s="9">
        <v>2436055.0</v>
      </c>
      <c r="G2533" s="9">
        <v>83618.19</v>
      </c>
      <c r="H2533" s="9">
        <v>86059.59</v>
      </c>
      <c r="I2533" s="9">
        <v>0.0</v>
      </c>
      <c r="J2533" s="9">
        <v>0.0</v>
      </c>
      <c r="K2533" s="9">
        <v>0.0</v>
      </c>
      <c r="L2533" s="9" t="s">
        <v>59</v>
      </c>
      <c r="M2533" s="9" t="s">
        <v>55</v>
      </c>
      <c r="R2533" s="9" t="s">
        <v>75</v>
      </c>
      <c r="S2533" s="9" t="s">
        <v>57</v>
      </c>
      <c r="T2533" s="9" t="s">
        <v>76</v>
      </c>
    </row>
    <row r="2534" ht="15.75" customHeight="1">
      <c r="A2534" s="9">
        <v>2436062.0</v>
      </c>
      <c r="B2534" s="9">
        <v>161034.59</v>
      </c>
      <c r="C2534" s="9">
        <v>43293.0</v>
      </c>
      <c r="D2534" s="9" t="s">
        <v>52</v>
      </c>
      <c r="E2534" s="9" t="s">
        <v>111</v>
      </c>
      <c r="F2534" s="9">
        <v>2436062.0</v>
      </c>
      <c r="G2534" s="9">
        <v>161034.59</v>
      </c>
      <c r="H2534" s="9">
        <v>164407.79</v>
      </c>
      <c r="I2534" s="9">
        <v>5816.49</v>
      </c>
      <c r="J2534" s="9">
        <v>0.0</v>
      </c>
      <c r="K2534" s="9">
        <v>0.0</v>
      </c>
      <c r="L2534" s="9" t="s">
        <v>59</v>
      </c>
      <c r="M2534" s="9" t="s">
        <v>55</v>
      </c>
      <c r="R2534" s="9" t="s">
        <v>94</v>
      </c>
      <c r="S2534" s="9" t="s">
        <v>57</v>
      </c>
      <c r="T2534" s="9" t="s">
        <v>95</v>
      </c>
    </row>
    <row r="2535" ht="15.75" customHeight="1">
      <c r="A2535" s="9">
        <v>2436069.0</v>
      </c>
      <c r="B2535" s="9">
        <v>208842.38</v>
      </c>
      <c r="C2535" s="9">
        <v>43408.0</v>
      </c>
      <c r="D2535" s="9" t="s">
        <v>52</v>
      </c>
      <c r="E2535" s="9" t="s">
        <v>111</v>
      </c>
      <c r="F2535" s="9">
        <v>2436069.0</v>
      </c>
      <c r="G2535" s="9">
        <v>208842.38</v>
      </c>
      <c r="H2535" s="9">
        <v>215420.78</v>
      </c>
      <c r="I2535" s="9">
        <v>9426.52</v>
      </c>
      <c r="J2535" s="9">
        <v>0.0</v>
      </c>
      <c r="K2535" s="9">
        <v>0.0</v>
      </c>
      <c r="L2535" s="9" t="s">
        <v>59</v>
      </c>
      <c r="M2535" s="9" t="s">
        <v>55</v>
      </c>
      <c r="R2535" s="9" t="s">
        <v>70</v>
      </c>
      <c r="S2535" s="9" t="s">
        <v>57</v>
      </c>
      <c r="T2535" s="9" t="s">
        <v>71</v>
      </c>
    </row>
    <row r="2536" ht="15.75" customHeight="1">
      <c r="A2536" s="9">
        <v>2436219.0</v>
      </c>
      <c r="B2536" s="9">
        <v>83258.54</v>
      </c>
      <c r="C2536" s="9">
        <v>43212.0</v>
      </c>
      <c r="D2536" s="9" t="s">
        <v>52</v>
      </c>
      <c r="E2536" s="9" t="s">
        <v>111</v>
      </c>
      <c r="F2536" s="9">
        <v>2436219.0</v>
      </c>
      <c r="G2536" s="9">
        <v>83258.54</v>
      </c>
      <c r="H2536" s="9">
        <v>86000.01</v>
      </c>
      <c r="I2536" s="9">
        <v>0.0</v>
      </c>
      <c r="J2536" s="9">
        <v>0.0</v>
      </c>
      <c r="K2536" s="9">
        <v>0.0</v>
      </c>
      <c r="L2536" s="9" t="s">
        <v>59</v>
      </c>
      <c r="M2536" s="9" t="s">
        <v>55</v>
      </c>
      <c r="R2536" s="9" t="s">
        <v>94</v>
      </c>
      <c r="S2536" s="9" t="s">
        <v>57</v>
      </c>
      <c r="T2536" s="9" t="s">
        <v>95</v>
      </c>
    </row>
    <row r="2537" ht="15.75" customHeight="1">
      <c r="A2537" s="9">
        <v>2436255.0</v>
      </c>
      <c r="B2537" s="9">
        <v>103259.68</v>
      </c>
      <c r="C2537" s="9">
        <v>43403.0</v>
      </c>
      <c r="D2537" s="9" t="s">
        <v>52</v>
      </c>
      <c r="E2537" s="9" t="s">
        <v>111</v>
      </c>
      <c r="F2537" s="9">
        <v>2436255.0</v>
      </c>
      <c r="G2537" s="9">
        <v>103259.68</v>
      </c>
      <c r="H2537" s="9">
        <v>106386.08</v>
      </c>
      <c r="I2537" s="9">
        <v>3896.0</v>
      </c>
      <c r="J2537" s="9">
        <v>0.0</v>
      </c>
      <c r="K2537" s="9">
        <v>0.0</v>
      </c>
      <c r="L2537" s="9" t="s">
        <v>59</v>
      </c>
      <c r="M2537" s="9" t="s">
        <v>55</v>
      </c>
      <c r="R2537" s="9" t="s">
        <v>94</v>
      </c>
      <c r="S2537" s="9" t="s">
        <v>57</v>
      </c>
      <c r="T2537" s="9" t="s">
        <v>95</v>
      </c>
    </row>
    <row r="2538" ht="15.75" customHeight="1">
      <c r="A2538" s="9">
        <v>2436262.0</v>
      </c>
      <c r="B2538" s="9">
        <v>185599.41</v>
      </c>
      <c r="C2538" s="9">
        <v>43430.0</v>
      </c>
      <c r="D2538" s="9" t="s">
        <v>52</v>
      </c>
      <c r="E2538" s="9" t="s">
        <v>111</v>
      </c>
      <c r="F2538" s="9">
        <v>2436262.0</v>
      </c>
      <c r="G2538" s="9">
        <v>185599.41</v>
      </c>
      <c r="H2538" s="9">
        <v>189336.73</v>
      </c>
      <c r="I2538" s="9">
        <v>12209.0</v>
      </c>
      <c r="J2538" s="9">
        <v>0.0</v>
      </c>
      <c r="K2538" s="9">
        <v>0.0</v>
      </c>
      <c r="L2538" s="9" t="s">
        <v>59</v>
      </c>
      <c r="M2538" s="9" t="s">
        <v>55</v>
      </c>
      <c r="R2538" s="9" t="s">
        <v>56</v>
      </c>
      <c r="S2538" s="9" t="s">
        <v>57</v>
      </c>
      <c r="T2538" s="9" t="s">
        <v>58</v>
      </c>
    </row>
    <row r="2539" ht="15.75" customHeight="1">
      <c r="A2539" s="9">
        <v>2436394.0</v>
      </c>
      <c r="B2539" s="9">
        <v>139070.55</v>
      </c>
      <c r="C2539" s="9">
        <v>43074.0</v>
      </c>
      <c r="D2539" s="9" t="s">
        <v>52</v>
      </c>
      <c r="E2539" s="9" t="s">
        <v>111</v>
      </c>
      <c r="F2539" s="9">
        <v>2436394.0</v>
      </c>
      <c r="G2539" s="9">
        <v>139070.55</v>
      </c>
      <c r="H2539" s="9">
        <v>140901.75</v>
      </c>
      <c r="I2539" s="9">
        <v>6295.6</v>
      </c>
      <c r="J2539" s="9">
        <v>0.0</v>
      </c>
      <c r="K2539" s="9">
        <v>0.0</v>
      </c>
      <c r="L2539" s="9" t="s">
        <v>59</v>
      </c>
      <c r="M2539" s="9" t="s">
        <v>55</v>
      </c>
      <c r="R2539" s="9" t="s">
        <v>94</v>
      </c>
      <c r="S2539" s="9" t="s">
        <v>57</v>
      </c>
      <c r="T2539" s="9" t="s">
        <v>95</v>
      </c>
    </row>
    <row r="2540" ht="15.75" customHeight="1">
      <c r="A2540" s="9">
        <v>2436405.0</v>
      </c>
      <c r="B2540" s="9">
        <v>152095.94</v>
      </c>
      <c r="C2540" s="9">
        <v>43113.0</v>
      </c>
      <c r="D2540" s="9" t="s">
        <v>52</v>
      </c>
      <c r="E2540" s="9" t="s">
        <v>111</v>
      </c>
      <c r="F2540" s="9">
        <v>2436405.0</v>
      </c>
      <c r="G2540" s="9">
        <v>152095.94</v>
      </c>
      <c r="H2540" s="9">
        <v>155963.44</v>
      </c>
      <c r="I2540" s="9">
        <v>0.0</v>
      </c>
      <c r="J2540" s="9">
        <v>0.0</v>
      </c>
      <c r="K2540" s="9">
        <v>0.0</v>
      </c>
      <c r="L2540" s="9" t="s">
        <v>59</v>
      </c>
      <c r="M2540" s="9" t="s">
        <v>55</v>
      </c>
      <c r="R2540" s="9" t="s">
        <v>141</v>
      </c>
      <c r="S2540" s="9" t="s">
        <v>101</v>
      </c>
      <c r="T2540" s="9" t="s">
        <v>142</v>
      </c>
    </row>
    <row r="2541" ht="15.75" customHeight="1">
      <c r="A2541" s="9">
        <v>2436412.0</v>
      </c>
      <c r="B2541" s="9">
        <v>175834.79</v>
      </c>
      <c r="C2541" s="9">
        <v>43407.0</v>
      </c>
      <c r="D2541" s="9" t="s">
        <v>52</v>
      </c>
      <c r="E2541" s="9" t="s">
        <v>111</v>
      </c>
      <c r="F2541" s="9">
        <v>2436412.0</v>
      </c>
      <c r="G2541" s="9">
        <v>175834.79</v>
      </c>
      <c r="H2541" s="9">
        <v>178235.89</v>
      </c>
      <c r="I2541" s="9">
        <v>9691.74</v>
      </c>
      <c r="J2541" s="9">
        <v>0.0</v>
      </c>
      <c r="K2541" s="9">
        <v>0.0</v>
      </c>
      <c r="L2541" s="9" t="s">
        <v>59</v>
      </c>
      <c r="M2541" s="9" t="s">
        <v>55</v>
      </c>
      <c r="R2541" s="9" t="s">
        <v>70</v>
      </c>
      <c r="S2541" s="9" t="s">
        <v>57</v>
      </c>
      <c r="T2541" s="9" t="s">
        <v>71</v>
      </c>
    </row>
    <row r="2542" ht="15.75" customHeight="1">
      <c r="A2542" s="9">
        <v>2436419.0</v>
      </c>
      <c r="B2542" s="9">
        <v>104600.01</v>
      </c>
      <c r="C2542" s="9">
        <v>43393.0</v>
      </c>
      <c r="D2542" s="9" t="s">
        <v>52</v>
      </c>
      <c r="E2542" s="9" t="s">
        <v>111</v>
      </c>
      <c r="F2542" s="9">
        <v>2436419.0</v>
      </c>
      <c r="G2542" s="9">
        <v>104600.01</v>
      </c>
      <c r="H2542" s="9">
        <v>107092.31</v>
      </c>
      <c r="I2542" s="9">
        <v>3190.43</v>
      </c>
      <c r="J2542" s="9">
        <v>0.0</v>
      </c>
      <c r="K2542" s="9">
        <v>0.0</v>
      </c>
      <c r="L2542" s="9" t="s">
        <v>59</v>
      </c>
      <c r="M2542" s="9" t="s">
        <v>55</v>
      </c>
      <c r="R2542" s="9" t="s">
        <v>70</v>
      </c>
      <c r="S2542" s="9" t="s">
        <v>57</v>
      </c>
      <c r="T2542" s="9" t="s">
        <v>71</v>
      </c>
    </row>
    <row r="2543" ht="15.75" customHeight="1">
      <c r="A2543" s="9">
        <v>2436462.0</v>
      </c>
      <c r="B2543" s="9">
        <v>51856.63</v>
      </c>
      <c r="C2543" s="9">
        <v>43334.0</v>
      </c>
      <c r="D2543" s="9" t="s">
        <v>52</v>
      </c>
      <c r="E2543" s="9" t="s">
        <v>111</v>
      </c>
      <c r="F2543" s="9">
        <v>2436462.0</v>
      </c>
      <c r="G2543" s="9">
        <v>51856.63</v>
      </c>
      <c r="H2543" s="9">
        <v>53724.33</v>
      </c>
      <c r="I2543" s="9">
        <v>3433.0</v>
      </c>
      <c r="J2543" s="9">
        <v>0.0</v>
      </c>
      <c r="K2543" s="9">
        <v>0.0</v>
      </c>
      <c r="L2543" s="9" t="s">
        <v>59</v>
      </c>
      <c r="M2543" s="9" t="s">
        <v>55</v>
      </c>
      <c r="R2543" s="9" t="s">
        <v>56</v>
      </c>
      <c r="S2543" s="9" t="s">
        <v>57</v>
      </c>
      <c r="T2543" s="9" t="s">
        <v>58</v>
      </c>
    </row>
    <row r="2544" ht="15.75" customHeight="1">
      <c r="A2544" s="9">
        <v>2436469.0</v>
      </c>
      <c r="B2544" s="9">
        <v>145117.84</v>
      </c>
      <c r="C2544" s="9">
        <v>43346.0</v>
      </c>
      <c r="D2544" s="9" t="s">
        <v>52</v>
      </c>
      <c r="E2544" s="9" t="s">
        <v>111</v>
      </c>
      <c r="F2544" s="9">
        <v>2436469.0</v>
      </c>
      <c r="G2544" s="9">
        <v>145117.84</v>
      </c>
      <c r="H2544" s="9">
        <v>148984.84</v>
      </c>
      <c r="I2544" s="9">
        <v>8311.4</v>
      </c>
      <c r="J2544" s="9">
        <v>0.0</v>
      </c>
      <c r="K2544" s="9">
        <v>0.0</v>
      </c>
      <c r="L2544" s="9" t="s">
        <v>59</v>
      </c>
      <c r="M2544" s="9" t="s">
        <v>55</v>
      </c>
      <c r="R2544" s="9" t="s">
        <v>56</v>
      </c>
      <c r="S2544" s="9" t="s">
        <v>57</v>
      </c>
      <c r="T2544" s="9" t="s">
        <v>58</v>
      </c>
    </row>
    <row r="2545" ht="15.75" customHeight="1">
      <c r="A2545" s="9">
        <v>2436480.0</v>
      </c>
      <c r="B2545" s="9">
        <v>267638.76</v>
      </c>
      <c r="C2545" s="9">
        <v>43064.0</v>
      </c>
      <c r="D2545" s="9" t="s">
        <v>52</v>
      </c>
      <c r="E2545" s="9" t="s">
        <v>111</v>
      </c>
      <c r="F2545" s="9">
        <v>2436480.0</v>
      </c>
      <c r="G2545" s="9">
        <v>267638.76</v>
      </c>
      <c r="H2545" s="9">
        <v>272580.96</v>
      </c>
      <c r="I2545" s="9">
        <v>6588.45</v>
      </c>
      <c r="J2545" s="9">
        <v>0.0</v>
      </c>
      <c r="K2545" s="9">
        <v>0.0</v>
      </c>
      <c r="L2545" s="9" t="s">
        <v>59</v>
      </c>
      <c r="M2545" s="9" t="s">
        <v>55</v>
      </c>
      <c r="R2545" s="9" t="s">
        <v>94</v>
      </c>
      <c r="S2545" s="9" t="s">
        <v>57</v>
      </c>
      <c r="T2545" s="9" t="s">
        <v>95</v>
      </c>
    </row>
    <row r="2546" ht="15.75" customHeight="1">
      <c r="A2546" s="9">
        <v>2436837.0</v>
      </c>
      <c r="B2546" s="9">
        <v>169878.66</v>
      </c>
      <c r="C2546" s="9">
        <v>43318.0</v>
      </c>
      <c r="D2546" s="9" t="s">
        <v>52</v>
      </c>
      <c r="E2546" s="9" t="s">
        <v>111</v>
      </c>
      <c r="F2546" s="9">
        <v>2436837.0</v>
      </c>
      <c r="G2546" s="9">
        <v>169878.66</v>
      </c>
      <c r="H2546" s="9">
        <v>173865.98</v>
      </c>
      <c r="I2546" s="9">
        <v>7768.0</v>
      </c>
      <c r="J2546" s="9">
        <v>0.0</v>
      </c>
      <c r="K2546" s="9">
        <v>0.0</v>
      </c>
      <c r="L2546" s="9" t="s">
        <v>59</v>
      </c>
      <c r="M2546" s="9" t="s">
        <v>55</v>
      </c>
      <c r="R2546" s="9" t="s">
        <v>70</v>
      </c>
      <c r="S2546" s="9" t="s">
        <v>57</v>
      </c>
      <c r="T2546" s="9" t="s">
        <v>71</v>
      </c>
    </row>
    <row r="2547" ht="15.75" customHeight="1">
      <c r="A2547" s="9">
        <v>2436855.0</v>
      </c>
      <c r="B2547" s="9">
        <v>180234.94</v>
      </c>
      <c r="C2547" s="9">
        <v>43117.0</v>
      </c>
      <c r="D2547" s="9" t="s">
        <v>52</v>
      </c>
      <c r="E2547" s="9" t="s">
        <v>111</v>
      </c>
      <c r="F2547" s="9">
        <v>2436855.0</v>
      </c>
      <c r="G2547" s="9">
        <v>180234.94</v>
      </c>
      <c r="H2547" s="9">
        <v>182038.44</v>
      </c>
      <c r="I2547" s="9">
        <v>9499.25</v>
      </c>
      <c r="J2547" s="9">
        <v>0.0</v>
      </c>
      <c r="K2547" s="9">
        <v>0.0</v>
      </c>
      <c r="L2547" s="9" t="s">
        <v>59</v>
      </c>
      <c r="M2547" s="9" t="s">
        <v>55</v>
      </c>
      <c r="R2547" s="9" t="s">
        <v>56</v>
      </c>
      <c r="S2547" s="9" t="s">
        <v>57</v>
      </c>
      <c r="T2547" s="9" t="s">
        <v>58</v>
      </c>
    </row>
    <row r="2548" ht="15.75" customHeight="1">
      <c r="A2548" s="9">
        <v>2436862.0</v>
      </c>
      <c r="B2548" s="9">
        <v>167882.25</v>
      </c>
      <c r="C2548" s="9">
        <v>43153.0</v>
      </c>
      <c r="D2548" s="9" t="s">
        <v>52</v>
      </c>
      <c r="E2548" s="9" t="s">
        <v>111</v>
      </c>
      <c r="F2548" s="9">
        <v>2436862.0</v>
      </c>
      <c r="G2548" s="9">
        <v>167882.25</v>
      </c>
      <c r="H2548" s="9">
        <v>171431.75</v>
      </c>
      <c r="I2548" s="9">
        <v>10007.2</v>
      </c>
      <c r="J2548" s="9">
        <v>0.0</v>
      </c>
      <c r="K2548" s="9">
        <v>0.0</v>
      </c>
      <c r="L2548" s="9" t="s">
        <v>59</v>
      </c>
      <c r="M2548" s="9" t="s">
        <v>55</v>
      </c>
      <c r="R2548" s="9" t="s">
        <v>94</v>
      </c>
      <c r="S2548" s="9" t="s">
        <v>57</v>
      </c>
      <c r="T2548" s="9" t="s">
        <v>95</v>
      </c>
    </row>
    <row r="2549" ht="15.75" customHeight="1">
      <c r="A2549" s="9">
        <v>2436873.0</v>
      </c>
      <c r="B2549" s="9">
        <v>224942.68</v>
      </c>
      <c r="C2549" s="9">
        <v>43062.0</v>
      </c>
      <c r="D2549" s="9" t="s">
        <v>52</v>
      </c>
      <c r="E2549" s="9" t="s">
        <v>111</v>
      </c>
      <c r="F2549" s="9">
        <v>2436873.0</v>
      </c>
      <c r="G2549" s="9">
        <v>224942.68</v>
      </c>
      <c r="H2549" s="9">
        <v>230177.68</v>
      </c>
      <c r="I2549" s="9">
        <v>9229.42</v>
      </c>
      <c r="J2549" s="9">
        <v>0.0</v>
      </c>
      <c r="K2549" s="9">
        <v>0.0</v>
      </c>
      <c r="L2549" s="9" t="s">
        <v>59</v>
      </c>
      <c r="M2549" s="9" t="s">
        <v>55</v>
      </c>
      <c r="R2549" s="9" t="s">
        <v>56</v>
      </c>
      <c r="S2549" s="9" t="s">
        <v>57</v>
      </c>
      <c r="T2549" s="9" t="s">
        <v>58</v>
      </c>
    </row>
    <row r="2550" ht="15.75" customHeight="1">
      <c r="A2550" s="9">
        <v>2436880.0</v>
      </c>
      <c r="B2550" s="9">
        <v>101587.57</v>
      </c>
      <c r="C2550" s="9">
        <v>43348.0</v>
      </c>
      <c r="D2550" s="9" t="s">
        <v>52</v>
      </c>
      <c r="E2550" s="9" t="s">
        <v>111</v>
      </c>
      <c r="F2550" s="9">
        <v>2436880.0</v>
      </c>
      <c r="G2550" s="9">
        <v>101587.57</v>
      </c>
      <c r="H2550" s="9">
        <v>132072.3</v>
      </c>
      <c r="I2550" s="9">
        <v>0.0</v>
      </c>
      <c r="J2550" s="9">
        <v>0.0</v>
      </c>
      <c r="K2550" s="9">
        <v>0.0</v>
      </c>
      <c r="L2550" s="9" t="s">
        <v>59</v>
      </c>
      <c r="M2550" s="9" t="s">
        <v>55</v>
      </c>
      <c r="R2550" s="9" t="s">
        <v>141</v>
      </c>
      <c r="S2550" s="9" t="s">
        <v>101</v>
      </c>
      <c r="T2550" s="9" t="s">
        <v>142</v>
      </c>
    </row>
    <row r="2551" ht="15.75" customHeight="1">
      <c r="A2551" s="9">
        <v>2437616.0</v>
      </c>
      <c r="B2551" s="9">
        <v>174610.57</v>
      </c>
      <c r="C2551" s="9">
        <v>43382.0</v>
      </c>
      <c r="D2551" s="9" t="s">
        <v>52</v>
      </c>
      <c r="E2551" s="9" t="s">
        <v>111</v>
      </c>
      <c r="F2551" s="9">
        <v>2437616.0</v>
      </c>
      <c r="G2551" s="9">
        <v>174610.57</v>
      </c>
      <c r="H2551" s="9">
        <v>179221.97</v>
      </c>
      <c r="I2551" s="9">
        <v>9465.28</v>
      </c>
      <c r="J2551" s="9">
        <v>0.0</v>
      </c>
      <c r="K2551" s="9">
        <v>0.0</v>
      </c>
      <c r="L2551" s="9" t="s">
        <v>59</v>
      </c>
      <c r="M2551" s="9" t="s">
        <v>55</v>
      </c>
      <c r="R2551" s="9" t="s">
        <v>94</v>
      </c>
      <c r="S2551" s="9" t="s">
        <v>57</v>
      </c>
      <c r="T2551" s="9" t="s">
        <v>95</v>
      </c>
    </row>
    <row r="2552" ht="15.75" customHeight="1">
      <c r="A2552" s="9">
        <v>2437684.0</v>
      </c>
      <c r="B2552" s="9">
        <v>66742.26</v>
      </c>
      <c r="C2552" s="9">
        <v>43258.0</v>
      </c>
      <c r="D2552" s="9" t="s">
        <v>52</v>
      </c>
      <c r="E2552" s="9" t="s">
        <v>111</v>
      </c>
      <c r="F2552" s="9">
        <v>2437684.0</v>
      </c>
      <c r="G2552" s="9">
        <v>66742.26</v>
      </c>
      <c r="H2552" s="9">
        <v>70010.28</v>
      </c>
      <c r="I2552" s="9">
        <v>0.0</v>
      </c>
      <c r="J2552" s="9">
        <v>0.0</v>
      </c>
      <c r="K2552" s="9">
        <v>0.0</v>
      </c>
      <c r="L2552" s="9" t="s">
        <v>59</v>
      </c>
      <c r="M2552" s="9" t="s">
        <v>55</v>
      </c>
      <c r="R2552" s="9" t="s">
        <v>94</v>
      </c>
      <c r="S2552" s="9" t="s">
        <v>57</v>
      </c>
      <c r="T2552" s="9" t="s">
        <v>95</v>
      </c>
    </row>
    <row r="2553" ht="15.75" customHeight="1">
      <c r="A2553" s="9">
        <v>2438502.0</v>
      </c>
      <c r="B2553" s="9">
        <v>66716.17</v>
      </c>
      <c r="C2553" s="9">
        <v>43123.0</v>
      </c>
      <c r="D2553" s="9" t="s">
        <v>52</v>
      </c>
      <c r="E2553" s="9" t="s">
        <v>111</v>
      </c>
      <c r="F2553" s="9">
        <v>2438502.0</v>
      </c>
      <c r="G2553" s="9">
        <v>66716.17</v>
      </c>
      <c r="H2553" s="9">
        <v>68442.67</v>
      </c>
      <c r="I2553" s="9">
        <v>0.0</v>
      </c>
      <c r="J2553" s="9">
        <v>0.0</v>
      </c>
      <c r="K2553" s="9">
        <v>0.0</v>
      </c>
      <c r="L2553" s="9" t="s">
        <v>59</v>
      </c>
      <c r="M2553" s="9" t="s">
        <v>55</v>
      </c>
      <c r="R2553" s="9" t="s">
        <v>56</v>
      </c>
      <c r="S2553" s="9" t="s">
        <v>57</v>
      </c>
      <c r="T2553" s="9" t="s">
        <v>58</v>
      </c>
    </row>
    <row r="2554" ht="15.75" customHeight="1">
      <c r="A2554" s="9">
        <v>2438652.0</v>
      </c>
      <c r="B2554" s="9">
        <v>203221.52</v>
      </c>
      <c r="C2554" s="9">
        <v>43384.0</v>
      </c>
      <c r="D2554" s="9" t="s">
        <v>52</v>
      </c>
      <c r="E2554" s="9" t="s">
        <v>111</v>
      </c>
      <c r="F2554" s="9">
        <v>2438652.0</v>
      </c>
      <c r="G2554" s="9">
        <v>203221.52</v>
      </c>
      <c r="H2554" s="9">
        <v>204556.32</v>
      </c>
      <c r="I2554" s="9">
        <v>12209.0</v>
      </c>
      <c r="J2554" s="9">
        <v>0.0</v>
      </c>
      <c r="K2554" s="9">
        <v>0.0</v>
      </c>
      <c r="L2554" s="9" t="s">
        <v>59</v>
      </c>
      <c r="M2554" s="9" t="s">
        <v>55</v>
      </c>
      <c r="R2554" s="9" t="s">
        <v>72</v>
      </c>
      <c r="S2554" s="9" t="s">
        <v>57</v>
      </c>
      <c r="T2554" s="9" t="s">
        <v>73</v>
      </c>
      <c r="V2554" s="9">
        <v>184260.95</v>
      </c>
    </row>
    <row r="2555" ht="15.75" customHeight="1">
      <c r="A2555" s="9">
        <v>2438677.0</v>
      </c>
      <c r="B2555" s="9">
        <v>190849.7</v>
      </c>
      <c r="C2555" s="9">
        <v>43119.0</v>
      </c>
      <c r="D2555" s="9" t="s">
        <v>52</v>
      </c>
      <c r="E2555" s="9" t="s">
        <v>111</v>
      </c>
      <c r="F2555" s="9">
        <v>2438677.0</v>
      </c>
      <c r="G2555" s="9">
        <v>190849.7</v>
      </c>
      <c r="H2555" s="9">
        <v>193106.7</v>
      </c>
      <c r="I2555" s="9">
        <v>7471.4</v>
      </c>
      <c r="J2555" s="9">
        <v>0.0</v>
      </c>
      <c r="K2555" s="9">
        <v>0.0</v>
      </c>
      <c r="L2555" s="9" t="s">
        <v>59</v>
      </c>
      <c r="M2555" s="9" t="s">
        <v>55</v>
      </c>
      <c r="R2555" s="9" t="s">
        <v>94</v>
      </c>
      <c r="S2555" s="9" t="s">
        <v>57</v>
      </c>
      <c r="T2555" s="9" t="s">
        <v>95</v>
      </c>
    </row>
    <row r="2556" ht="15.75" customHeight="1">
      <c r="A2556" s="9">
        <v>2438702.0</v>
      </c>
      <c r="B2556" s="9">
        <v>105943.39</v>
      </c>
      <c r="C2556" s="9">
        <v>43070.0</v>
      </c>
      <c r="D2556" s="9" t="s">
        <v>52</v>
      </c>
      <c r="E2556" s="9" t="s">
        <v>111</v>
      </c>
      <c r="F2556" s="9">
        <v>2438702.0</v>
      </c>
      <c r="G2556" s="9">
        <v>105943.39</v>
      </c>
      <c r="H2556" s="9">
        <v>109409.79</v>
      </c>
      <c r="I2556" s="9">
        <v>3889.2</v>
      </c>
      <c r="J2556" s="9">
        <v>0.0</v>
      </c>
      <c r="K2556" s="9">
        <v>0.0</v>
      </c>
      <c r="L2556" s="9" t="s">
        <v>59</v>
      </c>
      <c r="M2556" s="9" t="s">
        <v>55</v>
      </c>
      <c r="R2556" s="9" t="s">
        <v>94</v>
      </c>
      <c r="S2556" s="9" t="s">
        <v>57</v>
      </c>
      <c r="T2556" s="9" t="s">
        <v>95</v>
      </c>
    </row>
    <row r="2557" ht="15.75" customHeight="1">
      <c r="A2557" s="9">
        <v>2438709.0</v>
      </c>
      <c r="B2557" s="9">
        <v>70089.12</v>
      </c>
      <c r="C2557" s="9">
        <v>43110.0</v>
      </c>
      <c r="D2557" s="9" t="s">
        <v>52</v>
      </c>
      <c r="E2557" s="9" t="s">
        <v>111</v>
      </c>
      <c r="F2557" s="9">
        <v>2438709.0</v>
      </c>
      <c r="G2557" s="9">
        <v>70089.12</v>
      </c>
      <c r="H2557" s="9">
        <v>71892.62</v>
      </c>
      <c r="I2557" s="9">
        <v>0.0</v>
      </c>
      <c r="J2557" s="9">
        <v>0.0</v>
      </c>
      <c r="K2557" s="9">
        <v>0.0</v>
      </c>
      <c r="L2557" s="9" t="s">
        <v>69</v>
      </c>
      <c r="M2557" s="9" t="s">
        <v>55</v>
      </c>
      <c r="R2557" s="9" t="s">
        <v>94</v>
      </c>
      <c r="S2557" s="9" t="s">
        <v>57</v>
      </c>
      <c r="T2557" s="9" t="s">
        <v>95</v>
      </c>
    </row>
    <row r="2558" ht="15.75" customHeight="1">
      <c r="A2558" s="9">
        <v>2439195.0</v>
      </c>
      <c r="B2558" s="9">
        <v>140615.33</v>
      </c>
      <c r="C2558" s="9">
        <v>43159.0</v>
      </c>
      <c r="D2558" s="9" t="s">
        <v>52</v>
      </c>
      <c r="E2558" s="9" t="s">
        <v>111</v>
      </c>
      <c r="F2558" s="9">
        <v>2439195.0</v>
      </c>
      <c r="G2558" s="9">
        <v>140615.33</v>
      </c>
      <c r="H2558" s="9">
        <v>146214.33</v>
      </c>
      <c r="I2558" s="9">
        <v>1908.22</v>
      </c>
      <c r="J2558" s="9">
        <v>0.0</v>
      </c>
      <c r="K2558" s="9">
        <v>0.0</v>
      </c>
      <c r="L2558" s="9" t="s">
        <v>59</v>
      </c>
      <c r="M2558" s="9" t="s">
        <v>55</v>
      </c>
      <c r="R2558" s="9" t="s">
        <v>94</v>
      </c>
      <c r="S2558" s="9" t="s">
        <v>57</v>
      </c>
      <c r="T2558" s="9" t="s">
        <v>95</v>
      </c>
    </row>
    <row r="2559" ht="15.75" customHeight="1">
      <c r="A2559" s="9">
        <v>2439227.0</v>
      </c>
      <c r="B2559" s="9">
        <v>93986.04</v>
      </c>
      <c r="C2559" s="9">
        <v>43087.0</v>
      </c>
      <c r="D2559" s="9" t="s">
        <v>52</v>
      </c>
      <c r="E2559" s="9" t="s">
        <v>111</v>
      </c>
      <c r="F2559" s="9">
        <v>2439227.0</v>
      </c>
      <c r="G2559" s="9">
        <v>93986.04</v>
      </c>
      <c r="H2559" s="9">
        <v>97452.44</v>
      </c>
      <c r="I2559" s="9">
        <v>4736.0</v>
      </c>
      <c r="J2559" s="9">
        <v>0.0</v>
      </c>
      <c r="K2559" s="9">
        <v>0.0</v>
      </c>
      <c r="L2559" s="9" t="s">
        <v>59</v>
      </c>
      <c r="M2559" s="9" t="s">
        <v>55</v>
      </c>
      <c r="R2559" s="9" t="s">
        <v>94</v>
      </c>
      <c r="S2559" s="9" t="s">
        <v>57</v>
      </c>
      <c r="T2559" s="9" t="s">
        <v>95</v>
      </c>
    </row>
    <row r="2560" ht="15.75" customHeight="1">
      <c r="A2560" s="9">
        <v>2439238.0</v>
      </c>
      <c r="B2560" s="9">
        <v>65262.28</v>
      </c>
      <c r="C2560" s="9">
        <v>43191.0</v>
      </c>
      <c r="D2560" s="9" t="s">
        <v>52</v>
      </c>
      <c r="E2560" s="9" t="s">
        <v>111</v>
      </c>
      <c r="F2560" s="9">
        <v>2439238.0</v>
      </c>
      <c r="G2560" s="9">
        <v>65262.28</v>
      </c>
      <c r="H2560" s="9">
        <v>69834.92</v>
      </c>
      <c r="I2560" s="9">
        <v>0.0</v>
      </c>
      <c r="J2560" s="9">
        <v>0.0</v>
      </c>
      <c r="K2560" s="9">
        <v>0.0</v>
      </c>
      <c r="L2560" s="9" t="s">
        <v>59</v>
      </c>
      <c r="M2560" s="9" t="s">
        <v>55</v>
      </c>
      <c r="R2560" s="9" t="s">
        <v>75</v>
      </c>
      <c r="S2560" s="9" t="s">
        <v>57</v>
      </c>
      <c r="T2560" s="9" t="s">
        <v>76</v>
      </c>
    </row>
    <row r="2561" ht="15.75" customHeight="1">
      <c r="A2561" s="9">
        <v>2439245.0</v>
      </c>
      <c r="B2561" s="9">
        <v>93796.45</v>
      </c>
      <c r="C2561" s="9">
        <v>43417.0</v>
      </c>
      <c r="D2561" s="9" t="s">
        <v>52</v>
      </c>
      <c r="E2561" s="9" t="s">
        <v>111</v>
      </c>
      <c r="F2561" s="9">
        <v>2439245.0</v>
      </c>
      <c r="G2561" s="9">
        <v>93796.45</v>
      </c>
      <c r="H2561" s="9">
        <v>96845.25</v>
      </c>
      <c r="I2561" s="9">
        <v>0.0</v>
      </c>
      <c r="J2561" s="9">
        <v>0.0</v>
      </c>
      <c r="K2561" s="9">
        <v>0.0</v>
      </c>
      <c r="L2561" s="9" t="s">
        <v>59</v>
      </c>
      <c r="M2561" s="9" t="s">
        <v>55</v>
      </c>
      <c r="R2561" s="9" t="s">
        <v>94</v>
      </c>
      <c r="S2561" s="9" t="s">
        <v>57</v>
      </c>
      <c r="T2561" s="9" t="s">
        <v>95</v>
      </c>
    </row>
    <row r="2562" ht="15.75" customHeight="1">
      <c r="A2562" s="9">
        <v>2439252.0</v>
      </c>
      <c r="B2562" s="9">
        <v>85311.61</v>
      </c>
      <c r="C2562" s="9">
        <v>43072.0</v>
      </c>
      <c r="D2562" s="9" t="s">
        <v>52</v>
      </c>
      <c r="E2562" s="9" t="s">
        <v>111</v>
      </c>
      <c r="F2562" s="9">
        <v>2439252.0</v>
      </c>
      <c r="G2562" s="9">
        <v>85311.61</v>
      </c>
      <c r="H2562" s="9">
        <v>88718.01</v>
      </c>
      <c r="I2562" s="9">
        <v>5920.0</v>
      </c>
      <c r="J2562" s="9">
        <v>0.0</v>
      </c>
      <c r="K2562" s="9">
        <v>0.0</v>
      </c>
      <c r="L2562" s="9" t="s">
        <v>59</v>
      </c>
      <c r="M2562" s="9" t="s">
        <v>55</v>
      </c>
      <c r="R2562" s="9" t="s">
        <v>56</v>
      </c>
      <c r="S2562" s="9" t="s">
        <v>57</v>
      </c>
      <c r="T2562" s="9" t="s">
        <v>58</v>
      </c>
    </row>
    <row r="2563" ht="15.75" customHeight="1">
      <c r="A2563" s="9">
        <v>2439288.0</v>
      </c>
      <c r="B2563" s="9">
        <v>226449.89</v>
      </c>
      <c r="C2563" s="9">
        <v>43201.0</v>
      </c>
      <c r="D2563" s="9" t="s">
        <v>52</v>
      </c>
      <c r="E2563" s="9" t="s">
        <v>111</v>
      </c>
      <c r="F2563" s="9">
        <v>2439288.0</v>
      </c>
      <c r="G2563" s="9">
        <v>226449.89</v>
      </c>
      <c r="H2563" s="9">
        <v>232180.13</v>
      </c>
      <c r="I2563" s="9">
        <v>0.0</v>
      </c>
      <c r="J2563" s="9">
        <v>0.0</v>
      </c>
      <c r="K2563" s="9">
        <v>0.0</v>
      </c>
      <c r="L2563" s="9" t="s">
        <v>59</v>
      </c>
      <c r="M2563" s="9" t="s">
        <v>55</v>
      </c>
      <c r="R2563" s="9" t="s">
        <v>63</v>
      </c>
      <c r="S2563" s="9" t="s">
        <v>63</v>
      </c>
    </row>
    <row r="2564" ht="15.75" customHeight="1">
      <c r="A2564" s="9">
        <v>2439327.0</v>
      </c>
      <c r="B2564" s="9">
        <v>245403.67</v>
      </c>
      <c r="C2564" s="9">
        <v>43278.0</v>
      </c>
      <c r="D2564" s="9" t="s">
        <v>52</v>
      </c>
      <c r="E2564" s="9" t="s">
        <v>111</v>
      </c>
      <c r="F2564" s="9">
        <v>2439327.0</v>
      </c>
      <c r="G2564" s="9">
        <v>245403.67</v>
      </c>
      <c r="H2564" s="9">
        <v>252280.71</v>
      </c>
      <c r="I2564" s="9">
        <v>0.0</v>
      </c>
      <c r="J2564" s="9">
        <v>0.0</v>
      </c>
      <c r="K2564" s="9">
        <v>0.0</v>
      </c>
      <c r="L2564" s="9" t="s">
        <v>59</v>
      </c>
      <c r="M2564" s="9" t="s">
        <v>55</v>
      </c>
      <c r="R2564" s="9" t="s">
        <v>70</v>
      </c>
      <c r="S2564" s="9" t="s">
        <v>57</v>
      </c>
      <c r="T2564" s="9" t="s">
        <v>71</v>
      </c>
    </row>
    <row r="2565" ht="15.75" customHeight="1">
      <c r="A2565" s="9">
        <v>2439345.0</v>
      </c>
      <c r="B2565" s="9">
        <v>247341.28</v>
      </c>
      <c r="C2565" s="9">
        <v>43279.0</v>
      </c>
      <c r="D2565" s="9" t="s">
        <v>52</v>
      </c>
      <c r="E2565" s="9" t="s">
        <v>111</v>
      </c>
      <c r="F2565" s="9">
        <v>2439345.0</v>
      </c>
      <c r="G2565" s="9">
        <v>247341.28</v>
      </c>
      <c r="H2565" s="9">
        <v>256134.32</v>
      </c>
      <c r="I2565" s="9">
        <v>3895.16</v>
      </c>
      <c r="J2565" s="9">
        <v>0.0</v>
      </c>
      <c r="K2565" s="9">
        <v>0.0</v>
      </c>
      <c r="L2565" s="9" t="s">
        <v>59</v>
      </c>
      <c r="M2565" s="9" t="s">
        <v>55</v>
      </c>
      <c r="R2565" s="9" t="s">
        <v>94</v>
      </c>
      <c r="S2565" s="9" t="s">
        <v>57</v>
      </c>
      <c r="T2565" s="9" t="s">
        <v>95</v>
      </c>
    </row>
    <row r="2566" ht="15.75" customHeight="1">
      <c r="A2566" s="9">
        <v>2439402.0</v>
      </c>
      <c r="B2566" s="9">
        <v>126399.53</v>
      </c>
      <c r="C2566" s="9">
        <v>43308.0</v>
      </c>
      <c r="D2566" s="9" t="s">
        <v>52</v>
      </c>
      <c r="E2566" s="9" t="s">
        <v>111</v>
      </c>
      <c r="F2566" s="9">
        <v>2439402.0</v>
      </c>
      <c r="G2566" s="9">
        <v>126399.53</v>
      </c>
      <c r="H2566" s="9">
        <v>130545.43</v>
      </c>
      <c r="I2566" s="9">
        <v>0.0</v>
      </c>
      <c r="J2566" s="9">
        <v>0.0</v>
      </c>
      <c r="K2566" s="9">
        <v>0.0</v>
      </c>
      <c r="L2566" s="9" t="s">
        <v>59</v>
      </c>
      <c r="M2566" s="9" t="s">
        <v>55</v>
      </c>
      <c r="R2566" s="9" t="s">
        <v>94</v>
      </c>
      <c r="S2566" s="9" t="s">
        <v>57</v>
      </c>
      <c r="T2566" s="9" t="s">
        <v>95</v>
      </c>
    </row>
    <row r="2567" ht="15.75" customHeight="1">
      <c r="A2567" s="9">
        <v>2439431.0</v>
      </c>
      <c r="B2567" s="9">
        <v>98830.52</v>
      </c>
      <c r="C2567" s="9">
        <v>43098.0</v>
      </c>
      <c r="D2567" s="9" t="s">
        <v>52</v>
      </c>
      <c r="E2567" s="9" t="s">
        <v>111</v>
      </c>
      <c r="F2567" s="9">
        <v>2439431.0</v>
      </c>
      <c r="G2567" s="9">
        <v>98830.52</v>
      </c>
      <c r="H2567" s="9">
        <v>100292.52</v>
      </c>
      <c r="I2567" s="9">
        <v>5590.0</v>
      </c>
      <c r="J2567" s="9">
        <v>0.0</v>
      </c>
      <c r="K2567" s="9">
        <v>0.0</v>
      </c>
      <c r="L2567" s="9" t="s">
        <v>59</v>
      </c>
      <c r="M2567" s="9" t="s">
        <v>55</v>
      </c>
      <c r="R2567" s="9" t="s">
        <v>94</v>
      </c>
      <c r="S2567" s="9" t="s">
        <v>57</v>
      </c>
      <c r="T2567" s="9" t="s">
        <v>95</v>
      </c>
    </row>
    <row r="2568" ht="15.75" customHeight="1">
      <c r="A2568" s="9">
        <v>2439438.0</v>
      </c>
      <c r="B2568" s="9">
        <v>192378.37</v>
      </c>
      <c r="C2568" s="9">
        <v>43284.0</v>
      </c>
      <c r="D2568" s="9" t="s">
        <v>52</v>
      </c>
      <c r="E2568" s="9" t="s">
        <v>111</v>
      </c>
      <c r="F2568" s="9">
        <v>2439438.0</v>
      </c>
      <c r="G2568" s="9">
        <v>192378.37</v>
      </c>
      <c r="H2568" s="9">
        <v>198149.43</v>
      </c>
      <c r="I2568" s="9">
        <v>9767.2</v>
      </c>
      <c r="J2568" s="9">
        <v>0.0</v>
      </c>
      <c r="K2568" s="9">
        <v>0.0</v>
      </c>
      <c r="L2568" s="9" t="s">
        <v>59</v>
      </c>
      <c r="M2568" s="9" t="s">
        <v>55</v>
      </c>
      <c r="R2568" s="9" t="s">
        <v>94</v>
      </c>
      <c r="S2568" s="9" t="s">
        <v>57</v>
      </c>
      <c r="T2568" s="9" t="s">
        <v>95</v>
      </c>
    </row>
    <row r="2569" ht="15.75" customHeight="1">
      <c r="A2569" s="9">
        <v>2439452.0</v>
      </c>
      <c r="B2569" s="9">
        <v>159082.86</v>
      </c>
      <c r="C2569" s="9">
        <v>43073.0</v>
      </c>
      <c r="D2569" s="9" t="s">
        <v>52</v>
      </c>
      <c r="E2569" s="9" t="s">
        <v>111</v>
      </c>
      <c r="F2569" s="9">
        <v>2439452.0</v>
      </c>
      <c r="G2569" s="9">
        <v>159082.86</v>
      </c>
      <c r="H2569" s="9">
        <v>163355.26</v>
      </c>
      <c r="I2569" s="9">
        <v>5143.93</v>
      </c>
      <c r="J2569" s="9">
        <v>0.0</v>
      </c>
      <c r="K2569" s="9">
        <v>0.0</v>
      </c>
      <c r="L2569" s="9" t="s">
        <v>59</v>
      </c>
      <c r="M2569" s="9" t="s">
        <v>55</v>
      </c>
      <c r="R2569" s="9" t="s">
        <v>94</v>
      </c>
      <c r="S2569" s="9" t="s">
        <v>57</v>
      </c>
      <c r="T2569" s="9" t="s">
        <v>95</v>
      </c>
    </row>
    <row r="2570" ht="15.75" customHeight="1">
      <c r="A2570" s="9">
        <v>2439999.0</v>
      </c>
      <c r="B2570" s="9">
        <v>95085.62</v>
      </c>
      <c r="C2570" s="9">
        <v>43217.0</v>
      </c>
      <c r="D2570" s="9" t="s">
        <v>52</v>
      </c>
      <c r="E2570" s="9" t="s">
        <v>111</v>
      </c>
      <c r="F2570" s="9">
        <v>2439999.0</v>
      </c>
      <c r="G2570" s="9">
        <v>95085.62</v>
      </c>
      <c r="H2570" s="9">
        <v>97464.62</v>
      </c>
      <c r="I2570" s="9">
        <v>3620.0</v>
      </c>
      <c r="J2570" s="9">
        <v>0.0</v>
      </c>
      <c r="K2570" s="9">
        <v>0.0</v>
      </c>
      <c r="L2570" s="9" t="s">
        <v>59</v>
      </c>
      <c r="M2570" s="9" t="s">
        <v>55</v>
      </c>
      <c r="R2570" s="9" t="s">
        <v>56</v>
      </c>
      <c r="S2570" s="9" t="s">
        <v>57</v>
      </c>
      <c r="T2570" s="9" t="s">
        <v>58</v>
      </c>
    </row>
    <row r="2571" ht="15.75" customHeight="1">
      <c r="A2571" s="9">
        <v>2440006.0</v>
      </c>
      <c r="B2571" s="9">
        <v>304413.84</v>
      </c>
      <c r="C2571" s="9">
        <v>43415.0</v>
      </c>
      <c r="D2571" s="9" t="s">
        <v>52</v>
      </c>
      <c r="E2571" s="9" t="s">
        <v>111</v>
      </c>
      <c r="F2571" s="9">
        <v>2440006.0</v>
      </c>
      <c r="G2571" s="9">
        <v>304413.84</v>
      </c>
      <c r="H2571" s="9">
        <v>309447.24</v>
      </c>
      <c r="I2571" s="9">
        <v>0.0</v>
      </c>
      <c r="J2571" s="9">
        <v>0.0</v>
      </c>
      <c r="K2571" s="9">
        <v>0.0</v>
      </c>
      <c r="L2571" s="9" t="s">
        <v>59</v>
      </c>
      <c r="M2571" s="9" t="s">
        <v>55</v>
      </c>
      <c r="R2571" s="9" t="s">
        <v>70</v>
      </c>
      <c r="S2571" s="9" t="s">
        <v>57</v>
      </c>
      <c r="T2571" s="9" t="s">
        <v>71</v>
      </c>
    </row>
    <row r="2572" ht="15.75" customHeight="1">
      <c r="A2572" s="9">
        <v>2440013.0</v>
      </c>
      <c r="B2572" s="9">
        <v>379084.84</v>
      </c>
      <c r="C2572" s="9">
        <v>43223.0</v>
      </c>
      <c r="D2572" s="9" t="s">
        <v>52</v>
      </c>
      <c r="E2572" s="9" t="s">
        <v>111</v>
      </c>
      <c r="F2572" s="9">
        <v>2440013.0</v>
      </c>
      <c r="G2572" s="9">
        <v>379084.84</v>
      </c>
      <c r="H2572" s="9">
        <v>382849.84</v>
      </c>
      <c r="I2572" s="9">
        <v>11755.36</v>
      </c>
      <c r="J2572" s="9">
        <v>0.0</v>
      </c>
      <c r="K2572" s="9">
        <v>0.0</v>
      </c>
      <c r="L2572" s="9" t="s">
        <v>59</v>
      </c>
      <c r="M2572" s="9" t="s">
        <v>55</v>
      </c>
      <c r="R2572" s="9" t="s">
        <v>94</v>
      </c>
      <c r="S2572" s="9" t="s">
        <v>57</v>
      </c>
      <c r="T2572" s="9" t="s">
        <v>95</v>
      </c>
    </row>
    <row r="2573" ht="15.75" customHeight="1">
      <c r="A2573" s="9">
        <v>2440038.0</v>
      </c>
      <c r="B2573" s="9">
        <v>170503.32</v>
      </c>
      <c r="C2573" s="9">
        <v>43216.0</v>
      </c>
      <c r="D2573" s="9" t="s">
        <v>52</v>
      </c>
      <c r="E2573" s="9" t="s">
        <v>111</v>
      </c>
      <c r="F2573" s="9">
        <v>2440038.0</v>
      </c>
      <c r="G2573" s="9">
        <v>170503.32</v>
      </c>
      <c r="H2573" s="9">
        <v>173877.32</v>
      </c>
      <c r="I2573" s="9">
        <v>9374.25</v>
      </c>
      <c r="J2573" s="9">
        <v>0.0</v>
      </c>
      <c r="K2573" s="9">
        <v>0.0</v>
      </c>
      <c r="L2573" s="9" t="s">
        <v>59</v>
      </c>
      <c r="M2573" s="9" t="s">
        <v>55</v>
      </c>
      <c r="R2573" s="9" t="s">
        <v>56</v>
      </c>
      <c r="S2573" s="9" t="s">
        <v>57</v>
      </c>
      <c r="T2573" s="9" t="s">
        <v>58</v>
      </c>
    </row>
    <row r="2574" ht="15.75" customHeight="1">
      <c r="A2574" s="9">
        <v>2440424.0</v>
      </c>
      <c r="B2574" s="9">
        <v>440773.4</v>
      </c>
      <c r="C2574" s="9">
        <v>43214.0</v>
      </c>
      <c r="D2574" s="9" t="s">
        <v>52</v>
      </c>
      <c r="E2574" s="9" t="s">
        <v>111</v>
      </c>
      <c r="F2574" s="9">
        <v>2440424.0</v>
      </c>
      <c r="G2574" s="9">
        <v>440773.4</v>
      </c>
      <c r="H2574" s="9">
        <v>451042.4</v>
      </c>
      <c r="I2574" s="9">
        <v>0.0</v>
      </c>
      <c r="J2574" s="9">
        <v>0.0</v>
      </c>
      <c r="K2574" s="9">
        <v>0.0</v>
      </c>
      <c r="L2574" s="9" t="s">
        <v>59</v>
      </c>
      <c r="M2574" s="9" t="s">
        <v>55</v>
      </c>
      <c r="R2574" s="9" t="s">
        <v>63</v>
      </c>
      <c r="S2574" s="9" t="s">
        <v>63</v>
      </c>
    </row>
    <row r="2575" ht="15.75" customHeight="1">
      <c r="A2575" s="9">
        <v>2440481.0</v>
      </c>
      <c r="B2575" s="9">
        <v>134067.04</v>
      </c>
      <c r="C2575" s="9">
        <v>43272.0</v>
      </c>
      <c r="D2575" s="9" t="s">
        <v>52</v>
      </c>
      <c r="E2575" s="9" t="s">
        <v>111</v>
      </c>
      <c r="F2575" s="9">
        <v>2440481.0</v>
      </c>
      <c r="G2575" s="9">
        <v>134067.04</v>
      </c>
      <c r="H2575" s="9">
        <v>138928.42</v>
      </c>
      <c r="I2575" s="9">
        <v>0.0</v>
      </c>
      <c r="J2575" s="9">
        <v>0.0</v>
      </c>
      <c r="K2575" s="9">
        <v>0.0</v>
      </c>
      <c r="L2575" s="9" t="s">
        <v>59</v>
      </c>
      <c r="M2575" s="9" t="s">
        <v>55</v>
      </c>
      <c r="R2575" s="9" t="s">
        <v>94</v>
      </c>
      <c r="S2575" s="9" t="s">
        <v>57</v>
      </c>
      <c r="T2575" s="9" t="s">
        <v>95</v>
      </c>
    </row>
    <row r="2576" ht="15.75" customHeight="1">
      <c r="A2576" s="9">
        <v>2440492.0</v>
      </c>
      <c r="B2576" s="9">
        <v>116511.01</v>
      </c>
      <c r="C2576" s="9">
        <v>43233.0</v>
      </c>
      <c r="D2576" s="9" t="s">
        <v>52</v>
      </c>
      <c r="E2576" s="9" t="s">
        <v>111</v>
      </c>
      <c r="F2576" s="9">
        <v>2440492.0</v>
      </c>
      <c r="G2576" s="9">
        <v>116511.01</v>
      </c>
      <c r="H2576" s="9">
        <v>120405.01</v>
      </c>
      <c r="I2576" s="9">
        <v>1267.34</v>
      </c>
      <c r="J2576" s="9">
        <v>0.0</v>
      </c>
      <c r="K2576" s="9">
        <v>0.0</v>
      </c>
      <c r="L2576" s="9" t="s">
        <v>59</v>
      </c>
      <c r="M2576" s="9" t="s">
        <v>55</v>
      </c>
      <c r="R2576" s="9" t="s">
        <v>106</v>
      </c>
      <c r="S2576" s="9" t="s">
        <v>82</v>
      </c>
      <c r="T2576" s="9" t="s">
        <v>107</v>
      </c>
      <c r="U2576" s="9" t="s">
        <v>108</v>
      </c>
    </row>
    <row r="2577" ht="15.75" customHeight="1">
      <c r="A2577" s="9">
        <v>2440499.0</v>
      </c>
      <c r="B2577" s="9">
        <v>162325.6</v>
      </c>
      <c r="C2577" s="9">
        <v>43140.0</v>
      </c>
      <c r="D2577" s="9" t="s">
        <v>52</v>
      </c>
      <c r="E2577" s="9" t="s">
        <v>111</v>
      </c>
      <c r="F2577" s="9">
        <v>2440499.0</v>
      </c>
      <c r="G2577" s="9">
        <v>162325.6</v>
      </c>
      <c r="H2577" s="9">
        <v>164476.6</v>
      </c>
      <c r="I2577" s="9">
        <v>4525.23</v>
      </c>
      <c r="J2577" s="9">
        <v>0.0</v>
      </c>
      <c r="K2577" s="9">
        <v>0.0</v>
      </c>
      <c r="L2577" s="9" t="s">
        <v>59</v>
      </c>
      <c r="M2577" s="9" t="s">
        <v>55</v>
      </c>
      <c r="R2577" s="9" t="s">
        <v>94</v>
      </c>
      <c r="S2577" s="9" t="s">
        <v>57</v>
      </c>
      <c r="T2577" s="9" t="s">
        <v>95</v>
      </c>
    </row>
    <row r="2578" ht="15.75" customHeight="1">
      <c r="A2578" s="9">
        <v>2442235.0</v>
      </c>
      <c r="B2578" s="9">
        <v>427348.08</v>
      </c>
      <c r="C2578" s="9">
        <v>43090.0</v>
      </c>
      <c r="D2578" s="9" t="s">
        <v>52</v>
      </c>
      <c r="E2578" s="9" t="s">
        <v>111</v>
      </c>
      <c r="F2578" s="9">
        <v>2442235.0</v>
      </c>
      <c r="G2578" s="9">
        <v>427348.08</v>
      </c>
      <c r="H2578" s="9">
        <v>434579.08</v>
      </c>
      <c r="I2578" s="9">
        <v>0.0</v>
      </c>
      <c r="J2578" s="9">
        <v>0.0</v>
      </c>
      <c r="K2578" s="9">
        <v>0.0</v>
      </c>
      <c r="L2578" s="9" t="s">
        <v>59</v>
      </c>
      <c r="M2578" s="9" t="s">
        <v>55</v>
      </c>
      <c r="R2578" s="9" t="s">
        <v>75</v>
      </c>
      <c r="S2578" s="9" t="s">
        <v>57</v>
      </c>
      <c r="T2578" s="9" t="s">
        <v>76</v>
      </c>
    </row>
    <row r="2579" ht="15.75" customHeight="1">
      <c r="A2579" s="9">
        <v>2443957.0</v>
      </c>
      <c r="B2579" s="9">
        <v>1470846.58</v>
      </c>
      <c r="C2579" s="9">
        <v>47207.0</v>
      </c>
      <c r="D2579" s="9" t="s">
        <v>52</v>
      </c>
      <c r="E2579" s="9" t="s">
        <v>53</v>
      </c>
      <c r="F2579" s="9">
        <v>2443957.0</v>
      </c>
      <c r="G2579" s="9">
        <v>3743326.96</v>
      </c>
      <c r="H2579" s="9">
        <v>4265829.79</v>
      </c>
      <c r="I2579" s="9">
        <v>4243083.11</v>
      </c>
      <c r="J2579" s="9">
        <v>0.0</v>
      </c>
      <c r="K2579" s="9">
        <v>6999.0</v>
      </c>
      <c r="L2579" s="9" t="s">
        <v>59</v>
      </c>
      <c r="M2579" s="9" t="s">
        <v>55</v>
      </c>
      <c r="N2579" s="9">
        <v>4101469.12</v>
      </c>
      <c r="O2579" s="9">
        <v>4060454.45</v>
      </c>
      <c r="P2579" s="9">
        <v>175132.0</v>
      </c>
      <c r="Q2579" s="9">
        <v>166375.4</v>
      </c>
      <c r="R2579" s="9" t="s">
        <v>94</v>
      </c>
      <c r="S2579" s="9" t="s">
        <v>57</v>
      </c>
      <c r="T2579" s="9" t="s">
        <v>95</v>
      </c>
    </row>
    <row r="2580" ht="15.75" customHeight="1">
      <c r="A2580" s="9">
        <v>2452531.0</v>
      </c>
      <c r="B2580" s="9">
        <v>7463676.6</v>
      </c>
      <c r="C2580" s="9">
        <v>47210.0</v>
      </c>
      <c r="D2580" s="9" t="s">
        <v>52</v>
      </c>
      <c r="E2580" s="9" t="s">
        <v>53</v>
      </c>
      <c r="F2580" s="9">
        <v>2452531.0</v>
      </c>
      <c r="G2580" s="9">
        <v>1.338953953E7</v>
      </c>
      <c r="H2580" s="9">
        <v>1.338953389E7</v>
      </c>
      <c r="I2580" s="9">
        <v>1.302458147E7</v>
      </c>
      <c r="J2580" s="9">
        <v>0.0</v>
      </c>
      <c r="K2580" s="9">
        <v>140605.0</v>
      </c>
      <c r="L2580" s="9" t="s">
        <v>69</v>
      </c>
      <c r="M2580" s="9" t="s">
        <v>55</v>
      </c>
      <c r="N2580" s="9">
        <v>1.250189906E7</v>
      </c>
      <c r="O2580" s="9">
        <v>1.1652242E7</v>
      </c>
      <c r="P2580" s="9">
        <v>625094.95</v>
      </c>
      <c r="Q2580" s="9">
        <v>683220.0</v>
      </c>
      <c r="R2580" s="9" t="s">
        <v>56</v>
      </c>
      <c r="S2580" s="9" t="s">
        <v>57</v>
      </c>
      <c r="T2580" s="9" t="s">
        <v>58</v>
      </c>
    </row>
    <row r="2581" ht="15.75" customHeight="1">
      <c r="A2581" s="9">
        <v>2454335.0</v>
      </c>
      <c r="B2581" s="9">
        <v>1757891.5</v>
      </c>
      <c r="C2581" s="9">
        <v>46488.0</v>
      </c>
      <c r="D2581" s="9" t="s">
        <v>52</v>
      </c>
      <c r="E2581" s="9" t="s">
        <v>53</v>
      </c>
      <c r="F2581" s="9">
        <v>2454335.0</v>
      </c>
      <c r="G2581" s="9">
        <v>1620007.89</v>
      </c>
      <c r="H2581" s="9">
        <v>1742111.35</v>
      </c>
      <c r="I2581" s="9">
        <v>1512474.32</v>
      </c>
      <c r="J2581" s="9">
        <v>0.0</v>
      </c>
      <c r="K2581" s="9">
        <v>6466.0</v>
      </c>
      <c r="L2581" s="9" t="s">
        <v>59</v>
      </c>
      <c r="M2581" s="9" t="s">
        <v>55</v>
      </c>
      <c r="N2581" s="9">
        <v>1516476.5</v>
      </c>
      <c r="O2581" s="9">
        <v>1516476.5</v>
      </c>
      <c r="R2581" s="9" t="s">
        <v>56</v>
      </c>
      <c r="S2581" s="9" t="s">
        <v>57</v>
      </c>
      <c r="T2581" s="9" t="s">
        <v>58</v>
      </c>
    </row>
    <row r="2582" ht="15.75" customHeight="1">
      <c r="A2582" s="9">
        <v>2455046.0</v>
      </c>
      <c r="B2582" s="9">
        <v>3555085.68</v>
      </c>
      <c r="C2582" s="9">
        <v>43486.0</v>
      </c>
      <c r="D2582" s="9" t="s">
        <v>52</v>
      </c>
      <c r="E2582" s="9" t="s">
        <v>103</v>
      </c>
      <c r="F2582" s="9">
        <v>2455046.0</v>
      </c>
      <c r="H2582" s="9">
        <v>7824267.87</v>
      </c>
      <c r="I2582" s="9">
        <v>7824267.87</v>
      </c>
      <c r="J2582" s="9">
        <v>0.0</v>
      </c>
      <c r="K2582" s="9">
        <v>0.0</v>
      </c>
      <c r="L2582" s="9" t="s">
        <v>69</v>
      </c>
      <c r="M2582" s="9" t="s">
        <v>55</v>
      </c>
      <c r="N2582" s="9">
        <v>6849432.38</v>
      </c>
      <c r="O2582" s="9">
        <v>6849432.38</v>
      </c>
      <c r="P2582" s="9">
        <v>403459.0</v>
      </c>
      <c r="Q2582" s="9">
        <v>403459.0</v>
      </c>
      <c r="R2582" s="9" t="s">
        <v>119</v>
      </c>
      <c r="S2582" s="9" t="s">
        <v>120</v>
      </c>
      <c r="T2582" s="9" t="s">
        <v>121</v>
      </c>
      <c r="V2582" s="9">
        <v>7218992.57</v>
      </c>
    </row>
    <row r="2583" ht="15.75" customHeight="1">
      <c r="A2583" s="9">
        <v>2456357.0</v>
      </c>
      <c r="B2583" s="9">
        <v>6058768.85</v>
      </c>
      <c r="C2583" s="9">
        <v>44352.0</v>
      </c>
      <c r="D2583" s="9" t="s">
        <v>52</v>
      </c>
      <c r="E2583" s="9" t="s">
        <v>103</v>
      </c>
      <c r="F2583" s="9">
        <v>2456357.0</v>
      </c>
      <c r="H2583" s="9">
        <v>5456119.79</v>
      </c>
      <c r="I2583" s="9">
        <v>5479041.02</v>
      </c>
      <c r="J2583" s="9">
        <v>32452.23</v>
      </c>
      <c r="K2583" s="9">
        <v>37870.0</v>
      </c>
      <c r="L2583" s="9" t="s">
        <v>59</v>
      </c>
      <c r="M2583" s="9" t="s">
        <v>55</v>
      </c>
      <c r="N2583" s="9">
        <v>4465584.57</v>
      </c>
      <c r="O2583" s="9">
        <v>4465584.57</v>
      </c>
      <c r="P2583" s="9">
        <v>925117.43</v>
      </c>
      <c r="Q2583" s="9">
        <v>925117.43</v>
      </c>
      <c r="R2583" s="9" t="s">
        <v>72</v>
      </c>
      <c r="S2583" s="9" t="s">
        <v>57</v>
      </c>
      <c r="T2583" s="9" t="s">
        <v>73</v>
      </c>
      <c r="V2583" s="9">
        <v>4451465.09</v>
      </c>
    </row>
    <row r="2584" ht="15.75" customHeight="1">
      <c r="A2584" s="9">
        <v>2458572.0</v>
      </c>
      <c r="B2584" s="9">
        <v>8970936.74</v>
      </c>
      <c r="C2584" s="9">
        <v>47212.0</v>
      </c>
      <c r="D2584" s="9" t="s">
        <v>52</v>
      </c>
      <c r="E2584" s="9" t="s">
        <v>53</v>
      </c>
      <c r="F2584" s="9">
        <v>2458572.0</v>
      </c>
      <c r="G2584" s="9">
        <v>7839542.64</v>
      </c>
      <c r="H2584" s="9">
        <v>9110704.0</v>
      </c>
      <c r="I2584" s="9">
        <v>8305040.53</v>
      </c>
      <c r="J2584" s="9">
        <v>0.0</v>
      </c>
      <c r="K2584" s="9">
        <v>805663.0</v>
      </c>
      <c r="L2584" s="9" t="s">
        <v>59</v>
      </c>
      <c r="M2584" s="9" t="s">
        <v>55</v>
      </c>
      <c r="N2584" s="9">
        <v>9253502.12</v>
      </c>
      <c r="O2584" s="9">
        <v>8624954.0</v>
      </c>
      <c r="P2584" s="9">
        <v>462675.11</v>
      </c>
      <c r="Q2584" s="9">
        <v>430000.0</v>
      </c>
      <c r="R2584" s="9" t="s">
        <v>94</v>
      </c>
      <c r="S2584" s="9" t="s">
        <v>57</v>
      </c>
      <c r="T2584" s="9" t="s">
        <v>95</v>
      </c>
    </row>
    <row r="2585" ht="15.75" customHeight="1">
      <c r="A2585" s="9">
        <v>2461348.0</v>
      </c>
      <c r="B2585" s="9">
        <v>776524.1875</v>
      </c>
      <c r="C2585" s="9">
        <v>47452.0</v>
      </c>
      <c r="D2585" s="9" t="s">
        <v>52</v>
      </c>
      <c r="E2585" s="9" t="s">
        <v>53</v>
      </c>
      <c r="F2585" s="9">
        <v>2461348.0</v>
      </c>
      <c r="G2585" s="9">
        <v>1610947.15</v>
      </c>
      <c r="H2585" s="9">
        <v>1595437.24</v>
      </c>
      <c r="I2585" s="9">
        <v>1565426.3</v>
      </c>
      <c r="J2585" s="9">
        <v>30000.0</v>
      </c>
      <c r="K2585" s="9">
        <v>30000.0</v>
      </c>
      <c r="L2585" s="9" t="s">
        <v>59</v>
      </c>
      <c r="M2585" s="9" t="s">
        <v>55</v>
      </c>
      <c r="N2585" s="9">
        <v>1509980.99</v>
      </c>
      <c r="O2585" s="9">
        <v>1434481.94</v>
      </c>
      <c r="P2585" s="9">
        <v>80966.0</v>
      </c>
      <c r="Q2585" s="9">
        <v>80955.3</v>
      </c>
      <c r="R2585" s="9" t="s">
        <v>72</v>
      </c>
      <c r="S2585" s="9" t="s">
        <v>57</v>
      </c>
      <c r="T2585" s="9" t="s">
        <v>73</v>
      </c>
      <c r="V2585" s="9">
        <v>1461927.94</v>
      </c>
      <c r="W2585" s="9">
        <v>84635.92</v>
      </c>
      <c r="X2585" s="9">
        <v>0.0</v>
      </c>
    </row>
    <row r="2586" ht="15.75" customHeight="1">
      <c r="A2586" s="9">
        <v>2466053.0</v>
      </c>
      <c r="B2586" s="9">
        <v>6642781.16</v>
      </c>
      <c r="C2586" s="9">
        <v>46806.0</v>
      </c>
      <c r="D2586" s="9" t="s">
        <v>52</v>
      </c>
      <c r="E2586" s="9" t="s">
        <v>103</v>
      </c>
      <c r="F2586" s="9">
        <v>2466053.0</v>
      </c>
      <c r="H2586" s="9">
        <v>7300508.35</v>
      </c>
      <c r="I2586" s="9">
        <v>7552938.41</v>
      </c>
      <c r="J2586" s="9">
        <v>0.0</v>
      </c>
      <c r="K2586" s="9">
        <v>0.0</v>
      </c>
      <c r="L2586" s="9" t="s">
        <v>59</v>
      </c>
      <c r="M2586" s="9" t="s">
        <v>55</v>
      </c>
      <c r="N2586" s="9">
        <v>0.0</v>
      </c>
      <c r="O2586" s="9">
        <v>5736500.0</v>
      </c>
      <c r="R2586" s="9" t="s">
        <v>60</v>
      </c>
      <c r="S2586" s="9" t="s">
        <v>57</v>
      </c>
      <c r="T2586" s="9" t="s">
        <v>61</v>
      </c>
    </row>
    <row r="2587" ht="15.75" customHeight="1">
      <c r="A2587" s="9">
        <v>2497598.0</v>
      </c>
      <c r="B2587" s="9">
        <v>2.6146655166E8</v>
      </c>
      <c r="C2587" s="9">
        <v>47395.0</v>
      </c>
      <c r="D2587" s="9" t="s">
        <v>52</v>
      </c>
      <c r="E2587" s="9" t="s">
        <v>126</v>
      </c>
      <c r="F2587" s="9">
        <v>2497598.0</v>
      </c>
      <c r="H2587" s="9">
        <v>2.988799453E8</v>
      </c>
      <c r="I2587" s="9">
        <v>8.590605422E7</v>
      </c>
      <c r="J2587" s="9">
        <v>4.426963664E7</v>
      </c>
      <c r="K2587" s="9">
        <v>4.5673287E7</v>
      </c>
      <c r="L2587" s="9" t="s">
        <v>59</v>
      </c>
      <c r="M2587" s="9" t="s">
        <v>55</v>
      </c>
      <c r="N2587" s="9">
        <v>1.9565506032E8</v>
      </c>
      <c r="O2587" s="9">
        <v>2.0480865968E8</v>
      </c>
      <c r="P2587" s="9">
        <v>5995518.36</v>
      </c>
      <c r="Q2587" s="9">
        <v>5060152.7</v>
      </c>
      <c r="R2587" s="9" t="s">
        <v>135</v>
      </c>
      <c r="S2587" s="9" t="s">
        <v>82</v>
      </c>
      <c r="T2587" s="9" t="s">
        <v>83</v>
      </c>
      <c r="U2587" s="9" t="s">
        <v>136</v>
      </c>
    </row>
    <row r="2588" ht="15.75" customHeight="1">
      <c r="A2588" s="9">
        <v>2501199.0</v>
      </c>
      <c r="B2588" s="9">
        <v>7443804.68</v>
      </c>
      <c r="C2588" s="9">
        <v>45987.0</v>
      </c>
      <c r="D2588" s="9" t="s">
        <v>52</v>
      </c>
      <c r="E2588" s="9" t="s">
        <v>53</v>
      </c>
      <c r="F2588" s="9">
        <v>2501199.0</v>
      </c>
      <c r="G2588" s="9">
        <v>8679248.89</v>
      </c>
      <c r="H2588" s="9">
        <v>9394075.0</v>
      </c>
      <c r="I2588" s="9">
        <v>9383131.88</v>
      </c>
      <c r="J2588" s="9">
        <v>0.0</v>
      </c>
      <c r="K2588" s="9">
        <v>0.0</v>
      </c>
      <c r="L2588" s="9" t="s">
        <v>59</v>
      </c>
      <c r="M2588" s="9" t="s">
        <v>55</v>
      </c>
      <c r="N2588" s="9">
        <v>8229198.77</v>
      </c>
      <c r="O2588" s="9">
        <v>7669202.86</v>
      </c>
      <c r="P2588" s="9">
        <v>420050.12</v>
      </c>
      <c r="Q2588" s="9">
        <v>355920.0</v>
      </c>
      <c r="R2588" s="9" t="s">
        <v>56</v>
      </c>
      <c r="S2588" s="9" t="s">
        <v>57</v>
      </c>
      <c r="T2588" s="9" t="s">
        <v>58</v>
      </c>
      <c r="V2588" s="9">
        <v>7538479.29</v>
      </c>
      <c r="W2588" s="9">
        <v>409156.51</v>
      </c>
      <c r="X2588" s="9">
        <v>0.0</v>
      </c>
    </row>
    <row r="2589" ht="15.75" customHeight="1">
      <c r="A2589" s="9">
        <v>2518054.0</v>
      </c>
      <c r="B2589" s="9">
        <v>7299545.13</v>
      </c>
      <c r="C2589" s="9">
        <v>47225.0</v>
      </c>
      <c r="D2589" s="9" t="s">
        <v>52</v>
      </c>
      <c r="E2589" s="9" t="s">
        <v>53</v>
      </c>
      <c r="F2589" s="9">
        <v>2518054.0</v>
      </c>
      <c r="G2589" s="9">
        <v>1.126042903E7</v>
      </c>
      <c r="H2589" s="9">
        <v>1.156730356E7</v>
      </c>
      <c r="I2589" s="9">
        <v>1.1131166E7</v>
      </c>
      <c r="J2589" s="9">
        <v>0.0</v>
      </c>
      <c r="K2589" s="9">
        <v>0.0</v>
      </c>
      <c r="L2589" s="9" t="s">
        <v>59</v>
      </c>
      <c r="M2589" s="9" t="s">
        <v>55</v>
      </c>
      <c r="N2589" s="9">
        <v>1.112905283E7</v>
      </c>
      <c r="O2589" s="9">
        <v>1.037E7</v>
      </c>
      <c r="P2589" s="9">
        <v>556452.64</v>
      </c>
      <c r="Q2589" s="9">
        <v>514000.0</v>
      </c>
      <c r="R2589" s="9" t="s">
        <v>56</v>
      </c>
      <c r="S2589" s="9" t="s">
        <v>57</v>
      </c>
      <c r="T2589" s="9" t="s">
        <v>58</v>
      </c>
      <c r="V2589" s="9">
        <v>0.0</v>
      </c>
      <c r="W2589" s="9">
        <v>0.0</v>
      </c>
      <c r="X2589" s="9">
        <v>0.0</v>
      </c>
    </row>
    <row r="2590" ht="15.75" customHeight="1">
      <c r="A2590" s="9">
        <v>2519940.0</v>
      </c>
      <c r="B2590" s="9">
        <v>4.13092078E8</v>
      </c>
      <c r="C2590" s="9">
        <v>48098.0</v>
      </c>
      <c r="D2590" s="9" t="s">
        <v>52</v>
      </c>
      <c r="E2590" s="9" t="s">
        <v>154</v>
      </c>
      <c r="F2590" s="9">
        <v>2519940.0</v>
      </c>
      <c r="H2590" s="9">
        <v>4.5341715025E8</v>
      </c>
      <c r="I2590" s="9">
        <v>3.390789959E7</v>
      </c>
      <c r="J2590" s="9">
        <v>1.267593081E7</v>
      </c>
      <c r="K2590" s="9">
        <v>6.9691489E7</v>
      </c>
      <c r="L2590" s="9" t="s">
        <v>59</v>
      </c>
      <c r="M2590" s="9" t="s">
        <v>65</v>
      </c>
      <c r="N2590" s="9">
        <v>3.235535224E8</v>
      </c>
      <c r="O2590" s="9">
        <v>3.235535224E8</v>
      </c>
      <c r="R2590" s="9" t="s">
        <v>66</v>
      </c>
      <c r="S2590" s="9" t="s">
        <v>67</v>
      </c>
      <c r="T2590" s="9" t="s">
        <v>68</v>
      </c>
    </row>
    <row r="2591" ht="15.75" customHeight="1">
      <c r="A2591" s="9">
        <v>2523870.0</v>
      </c>
      <c r="B2591" s="9">
        <v>2.293897244E7</v>
      </c>
      <c r="C2591" s="9">
        <v>46886.0</v>
      </c>
      <c r="D2591" s="9" t="s">
        <v>52</v>
      </c>
      <c r="E2591" s="9" t="s">
        <v>126</v>
      </c>
      <c r="F2591" s="9">
        <v>2523870.0</v>
      </c>
      <c r="H2591" s="9">
        <v>2.342187324E7</v>
      </c>
      <c r="I2591" s="9">
        <v>1822581.6</v>
      </c>
      <c r="J2591" s="9">
        <v>919121.0</v>
      </c>
      <c r="K2591" s="9">
        <v>922220.0</v>
      </c>
      <c r="L2591" s="9" t="s">
        <v>59</v>
      </c>
      <c r="M2591" s="9" t="s">
        <v>65</v>
      </c>
      <c r="N2591" s="9">
        <v>1178128.52</v>
      </c>
      <c r="O2591" s="9">
        <v>1698526.5</v>
      </c>
      <c r="P2591" s="9">
        <v>539046.42</v>
      </c>
      <c r="Q2591" s="9">
        <v>712019.04</v>
      </c>
      <c r="R2591" s="9" t="s">
        <v>85</v>
      </c>
      <c r="S2591" s="9" t="s">
        <v>67</v>
      </c>
      <c r="T2591" s="9" t="s">
        <v>86</v>
      </c>
    </row>
    <row r="2592" ht="15.75" customHeight="1">
      <c r="A2592" s="9">
        <v>2614736.0</v>
      </c>
      <c r="B2592" s="9">
        <v>1907768.5</v>
      </c>
      <c r="C2592" s="9">
        <v>48250.0</v>
      </c>
      <c r="D2592" s="9" t="s">
        <v>52</v>
      </c>
      <c r="E2592" s="9" t="s">
        <v>103</v>
      </c>
      <c r="F2592" s="9">
        <v>2614736.0</v>
      </c>
      <c r="H2592" s="9">
        <v>1907768.5</v>
      </c>
      <c r="I2592" s="9">
        <v>1906800.0</v>
      </c>
      <c r="J2592" s="9">
        <v>1334760.0</v>
      </c>
      <c r="K2592" s="9">
        <v>1335728.0</v>
      </c>
      <c r="L2592" s="9" t="s">
        <v>59</v>
      </c>
      <c r="M2592" s="9" t="s">
        <v>55</v>
      </c>
      <c r="R2592" s="9" t="s">
        <v>94</v>
      </c>
      <c r="S2592" s="9" t="s">
        <v>57</v>
      </c>
      <c r="T2592" s="9" t="s">
        <v>95</v>
      </c>
    </row>
    <row r="2593" ht="15.75" customHeight="1">
      <c r="A2593" s="9">
        <v>2622281.0</v>
      </c>
      <c r="B2593" s="9">
        <v>9759668.51</v>
      </c>
      <c r="C2593" s="9">
        <v>48775.0</v>
      </c>
      <c r="D2593" s="9" t="s">
        <v>52</v>
      </c>
      <c r="E2593" s="9" t="s">
        <v>53</v>
      </c>
      <c r="F2593" s="9">
        <v>2622281.0</v>
      </c>
      <c r="G2593" s="9">
        <v>6085669.61</v>
      </c>
      <c r="H2593" s="9">
        <v>5966342.75</v>
      </c>
      <c r="I2593" s="9">
        <v>0.0</v>
      </c>
      <c r="J2593" s="9">
        <v>0.0</v>
      </c>
      <c r="K2593" s="9">
        <v>882422.0</v>
      </c>
      <c r="L2593" s="9" t="s">
        <v>59</v>
      </c>
      <c r="M2593" s="9" t="s">
        <v>55</v>
      </c>
      <c r="R2593" s="9" t="s">
        <v>122</v>
      </c>
      <c r="S2593" s="9" t="s">
        <v>101</v>
      </c>
      <c r="T2593" s="9" t="s">
        <v>123</v>
      </c>
    </row>
    <row r="2594" ht="15.75" customHeight="1">
      <c r="A2594" s="9">
        <v>2669166.0</v>
      </c>
      <c r="B2594" s="9">
        <v>607436.4</v>
      </c>
      <c r="C2594" s="9">
        <v>48257.0</v>
      </c>
      <c r="D2594" s="9" t="s">
        <v>52</v>
      </c>
      <c r="E2594" s="9" t="s">
        <v>103</v>
      </c>
      <c r="F2594" s="9">
        <v>2669166.0</v>
      </c>
      <c r="H2594" s="9">
        <v>607436.4</v>
      </c>
      <c r="I2594" s="9">
        <v>543834.05</v>
      </c>
      <c r="J2594" s="9">
        <v>543834.05</v>
      </c>
      <c r="K2594" s="9">
        <v>607437.0</v>
      </c>
      <c r="L2594" s="9" t="s">
        <v>59</v>
      </c>
      <c r="M2594" s="9" t="s">
        <v>55</v>
      </c>
      <c r="N2594" s="9">
        <v>543834.0</v>
      </c>
      <c r="O2594" s="9">
        <v>543834.0</v>
      </c>
      <c r="R2594" s="9" t="s">
        <v>94</v>
      </c>
      <c r="S2594" s="9" t="s">
        <v>57</v>
      </c>
      <c r="T2594" s="9" t="s">
        <v>95</v>
      </c>
    </row>
    <row r="2595" ht="15.75" customHeight="1">
      <c r="A2595" s="9">
        <v>2669684.0</v>
      </c>
      <c r="B2595" s="9">
        <v>804507.9</v>
      </c>
      <c r="C2595" s="9">
        <v>48294.0</v>
      </c>
      <c r="D2595" s="9" t="s">
        <v>52</v>
      </c>
      <c r="E2595" s="9" t="s">
        <v>103</v>
      </c>
      <c r="F2595" s="9">
        <v>2669684.0</v>
      </c>
      <c r="H2595" s="9">
        <v>895459.72</v>
      </c>
      <c r="I2595" s="9">
        <v>766496.19</v>
      </c>
      <c r="J2595" s="9">
        <v>766496.19</v>
      </c>
      <c r="K2595" s="9">
        <v>895460.0</v>
      </c>
      <c r="L2595" s="9" t="s">
        <v>59</v>
      </c>
      <c r="M2595" s="9" t="s">
        <v>55</v>
      </c>
      <c r="N2595" s="9">
        <v>766496.1</v>
      </c>
      <c r="O2595" s="9">
        <v>766496.1</v>
      </c>
      <c r="R2595" s="9" t="s">
        <v>94</v>
      </c>
      <c r="S2595" s="9" t="s">
        <v>57</v>
      </c>
      <c r="T2595" s="9" t="s">
        <v>95</v>
      </c>
    </row>
    <row r="2596" ht="15.75" customHeight="1">
      <c r="A2596" s="9">
        <v>2678483.0</v>
      </c>
      <c r="B2596" s="9">
        <v>6.906205665E7</v>
      </c>
      <c r="C2596" s="9">
        <v>48584.0</v>
      </c>
      <c r="D2596" s="9" t="s">
        <v>52</v>
      </c>
      <c r="E2596" s="9" t="s">
        <v>87</v>
      </c>
      <c r="F2596" s="9">
        <v>2678483.0</v>
      </c>
      <c r="H2596" s="9">
        <v>6.873352498E7</v>
      </c>
      <c r="I2596" s="9">
        <v>5265999.99</v>
      </c>
      <c r="J2596" s="9">
        <v>5265999.99</v>
      </c>
      <c r="K2596" s="9">
        <v>6795037.0</v>
      </c>
      <c r="L2596" s="9" t="s">
        <v>59</v>
      </c>
      <c r="M2596" s="9" t="s">
        <v>65</v>
      </c>
      <c r="R2596" s="9" t="s">
        <v>100</v>
      </c>
      <c r="S2596" s="9" t="s">
        <v>101</v>
      </c>
      <c r="T2596" s="9" t="s">
        <v>102</v>
      </c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2025-10-30T16:00:12Z</dcterms:created>
  <dc:creator>Rios Valdivieso Admer Raul</dc:creator>
</cp:coreProperties>
</file>